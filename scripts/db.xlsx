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clarallorensguillem/Desktop/"/>
    </mc:Choice>
  </mc:AlternateContent>
  <xr:revisionPtr revIDLastSave="0" documentId="13_ncr:1_{0139FD3B-A6C8-C142-9111-4E1FD4CCBEA9}" xr6:coauthVersionLast="47" xr6:coauthVersionMax="47" xr10:uidLastSave="{00000000-0000-0000-0000-000000000000}"/>
  <bookViews>
    <workbookView xWindow="14080" yWindow="640" windowWidth="15380" windowHeight="14460" tabRatio="500" activeTab="1" xr2:uid="{00000000-000D-0000-FFFF-FFFF00000000}"/>
  </bookViews>
  <sheets>
    <sheet name="README" sheetId="1" r:id="rId1"/>
    <sheet name="alimentos_master" sheetId="2" r:id="rId2"/>
    <sheet name="raciones" sheetId="3" r:id="rId3"/>
    <sheet name="equivalencias" sheetId="4" r:id="rId4"/>
    <sheet name="calculadora" sheetId="5" r:id="rId5"/>
    <sheet name="fuentes_y_criterios" sheetId="6" r:id="rId6"/>
    <sheet name="control_calidad" sheetId="7" r:id="rId7"/>
    <sheet name="nuevos_salsas_platos_carnes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57" i="2" l="1"/>
  <c r="J356" i="2"/>
  <c r="J355" i="2"/>
  <c r="I357" i="2"/>
  <c r="I356" i="2"/>
  <c r="I355" i="2"/>
  <c r="H357" i="2"/>
  <c r="H356" i="2"/>
  <c r="H355" i="2"/>
  <c r="J354" i="2"/>
  <c r="I354" i="2"/>
  <c r="H354" i="2"/>
  <c r="J353" i="2"/>
  <c r="J352" i="2"/>
  <c r="I353" i="2"/>
  <c r="I352" i="2"/>
  <c r="H353" i="2"/>
  <c r="H352" i="2"/>
  <c r="J351" i="2"/>
  <c r="I351" i="2"/>
  <c r="H351" i="2"/>
  <c r="J350" i="2"/>
  <c r="I350" i="2"/>
  <c r="H350" i="2"/>
  <c r="J349" i="2"/>
  <c r="I349" i="2"/>
  <c r="H349" i="2"/>
  <c r="J348" i="2"/>
  <c r="I348" i="2"/>
  <c r="H348" i="2"/>
  <c r="J347" i="2"/>
  <c r="I347" i="2"/>
  <c r="H347" i="2"/>
  <c r="J346" i="2"/>
  <c r="I346" i="2"/>
  <c r="H346" i="2"/>
  <c r="J345" i="2"/>
  <c r="I345" i="2"/>
  <c r="H345" i="2"/>
  <c r="J344" i="2"/>
  <c r="I344" i="2"/>
  <c r="H344" i="2"/>
  <c r="J343" i="2"/>
  <c r="I343" i="2"/>
  <c r="H343" i="2"/>
  <c r="J342" i="2"/>
  <c r="I342" i="2"/>
  <c r="H342" i="2"/>
  <c r="J341" i="2"/>
  <c r="I341" i="2"/>
  <c r="H341" i="2"/>
  <c r="J340" i="2"/>
  <c r="I340" i="2"/>
  <c r="H340" i="2"/>
  <c r="J339" i="2"/>
  <c r="I339" i="2"/>
  <c r="H339" i="2"/>
  <c r="J338" i="2"/>
  <c r="J337" i="2"/>
  <c r="I338" i="2"/>
  <c r="I337" i="2"/>
  <c r="H338" i="2"/>
  <c r="H337" i="2"/>
  <c r="J336" i="2"/>
  <c r="I336" i="2"/>
  <c r="H336" i="2"/>
  <c r="J335" i="2"/>
  <c r="I335" i="2"/>
  <c r="H335" i="2"/>
  <c r="J334" i="2"/>
  <c r="J333" i="2"/>
  <c r="I334" i="2"/>
  <c r="I333" i="2"/>
  <c r="H334" i="2"/>
  <c r="H333" i="2"/>
  <c r="H332" i="2"/>
  <c r="I332" i="2"/>
  <c r="J332" i="2"/>
  <c r="J331" i="2"/>
  <c r="I331" i="2"/>
  <c r="H331" i="2"/>
  <c r="I330" i="2"/>
  <c r="J330" i="2"/>
  <c r="H330" i="2"/>
  <c r="J329" i="2"/>
  <c r="I329" i="2"/>
  <c r="H329" i="2"/>
  <c r="J328" i="2"/>
  <c r="I328" i="2"/>
  <c r="H328" i="2"/>
  <c r="J327" i="2"/>
  <c r="J326" i="2"/>
  <c r="J325" i="2"/>
  <c r="I327" i="2"/>
  <c r="I326" i="2"/>
  <c r="H327" i="2"/>
  <c r="H326" i="2"/>
  <c r="I325" i="2"/>
  <c r="H325" i="2"/>
  <c r="J324" i="2"/>
  <c r="I324" i="2"/>
  <c r="H324" i="2"/>
  <c r="J323" i="2"/>
  <c r="I323" i="2"/>
  <c r="H323" i="2"/>
  <c r="J322" i="2"/>
  <c r="I322" i="2"/>
  <c r="H322" i="2"/>
  <c r="J321" i="2"/>
  <c r="I321" i="2"/>
  <c r="H321" i="2"/>
  <c r="J320" i="2"/>
  <c r="I320" i="2"/>
  <c r="H320" i="2"/>
  <c r="H4" i="2"/>
  <c r="I4" i="2"/>
  <c r="J4" i="2"/>
  <c r="J318" i="2"/>
  <c r="I318" i="2"/>
  <c r="H318" i="2"/>
  <c r="J317" i="2"/>
  <c r="I317" i="2"/>
  <c r="H317" i="2"/>
  <c r="J316" i="2"/>
  <c r="I316" i="2"/>
  <c r="H316" i="2"/>
  <c r="J315" i="2"/>
  <c r="I315" i="2"/>
  <c r="H315" i="2"/>
  <c r="J314" i="2"/>
  <c r="I314" i="2"/>
  <c r="H314" i="2"/>
  <c r="J313" i="2"/>
  <c r="I313" i="2"/>
  <c r="H313" i="2"/>
  <c r="J312" i="2"/>
  <c r="I312" i="2"/>
  <c r="H312" i="2"/>
  <c r="J311" i="2"/>
  <c r="I311" i="2"/>
  <c r="H311" i="2"/>
  <c r="J310" i="2"/>
  <c r="I310" i="2"/>
  <c r="H310" i="2"/>
  <c r="J309" i="2"/>
  <c r="I309" i="2"/>
  <c r="H309" i="2"/>
  <c r="J308" i="2"/>
  <c r="I308" i="2"/>
  <c r="H308" i="2"/>
  <c r="J307" i="2"/>
  <c r="I307" i="2"/>
  <c r="H307" i="2"/>
  <c r="J306" i="2"/>
  <c r="I306" i="2"/>
  <c r="H306" i="2"/>
  <c r="J305" i="2"/>
  <c r="I305" i="2"/>
  <c r="H305" i="2"/>
  <c r="J304" i="2"/>
  <c r="I304" i="2"/>
  <c r="H304" i="2"/>
  <c r="J303" i="2"/>
  <c r="I303" i="2"/>
  <c r="H303" i="2"/>
  <c r="J302" i="2"/>
  <c r="I302" i="2"/>
  <c r="H302" i="2"/>
  <c r="J301" i="2"/>
  <c r="I301" i="2"/>
  <c r="H301" i="2"/>
  <c r="J300" i="2"/>
  <c r="I300" i="2"/>
  <c r="H300" i="2"/>
  <c r="J299" i="2"/>
  <c r="I299" i="2"/>
  <c r="H299" i="2"/>
  <c r="J298" i="2"/>
  <c r="I298" i="2"/>
  <c r="H298" i="2"/>
  <c r="J297" i="2"/>
  <c r="I297" i="2"/>
  <c r="H297" i="2"/>
  <c r="J296" i="2"/>
  <c r="I296" i="2"/>
  <c r="H296" i="2"/>
  <c r="J295" i="2"/>
  <c r="I295" i="2"/>
  <c r="H295" i="2"/>
  <c r="J294" i="2"/>
  <c r="I294" i="2"/>
  <c r="H294" i="2"/>
  <c r="J293" i="2"/>
  <c r="I293" i="2"/>
  <c r="H293" i="2"/>
  <c r="J292" i="2"/>
  <c r="I292" i="2"/>
  <c r="H292" i="2"/>
  <c r="J291" i="2"/>
  <c r="I291" i="2"/>
  <c r="H291" i="2"/>
  <c r="J290" i="2"/>
  <c r="I290" i="2"/>
  <c r="H290" i="2"/>
  <c r="J289" i="2"/>
  <c r="I289" i="2"/>
  <c r="H289" i="2"/>
  <c r="J288" i="2"/>
  <c r="I288" i="2"/>
  <c r="H288" i="2"/>
  <c r="J287" i="2"/>
  <c r="I287" i="2"/>
  <c r="H287" i="2"/>
  <c r="J286" i="2"/>
  <c r="I286" i="2"/>
  <c r="H286" i="2"/>
  <c r="J285" i="2"/>
  <c r="I285" i="2"/>
  <c r="H285" i="2"/>
  <c r="J284" i="2"/>
  <c r="I284" i="2"/>
  <c r="H284" i="2"/>
  <c r="J283" i="2"/>
  <c r="I283" i="2"/>
  <c r="H283" i="2"/>
  <c r="J282" i="2"/>
  <c r="I282" i="2"/>
  <c r="H282" i="2"/>
  <c r="J281" i="2"/>
  <c r="I281" i="2"/>
  <c r="H281" i="2"/>
  <c r="J280" i="2"/>
  <c r="I280" i="2"/>
  <c r="H280" i="2"/>
  <c r="J279" i="2"/>
  <c r="I279" i="2"/>
  <c r="H279" i="2"/>
  <c r="J278" i="2"/>
  <c r="I278" i="2"/>
  <c r="H278" i="2"/>
  <c r="J277" i="2"/>
  <c r="I277" i="2"/>
  <c r="H277" i="2"/>
  <c r="J276" i="2"/>
  <c r="I276" i="2"/>
  <c r="H276" i="2"/>
  <c r="J275" i="2"/>
  <c r="I275" i="2"/>
  <c r="H275" i="2"/>
  <c r="J274" i="2"/>
  <c r="I274" i="2"/>
  <c r="H274" i="2"/>
  <c r="J273" i="2"/>
  <c r="I273" i="2"/>
  <c r="H273" i="2"/>
  <c r="J272" i="2"/>
  <c r="I272" i="2"/>
  <c r="H272" i="2"/>
  <c r="J271" i="2"/>
  <c r="I271" i="2"/>
  <c r="H271" i="2"/>
  <c r="J270" i="2"/>
  <c r="I270" i="2"/>
  <c r="H270" i="2"/>
  <c r="J269" i="2"/>
  <c r="I269" i="2"/>
  <c r="H269" i="2"/>
  <c r="J268" i="2"/>
  <c r="I268" i="2"/>
  <c r="H268" i="2"/>
  <c r="J267" i="2"/>
  <c r="I267" i="2"/>
  <c r="H267" i="2"/>
  <c r="J266" i="2"/>
  <c r="I266" i="2"/>
  <c r="H266" i="2"/>
  <c r="J265" i="2"/>
  <c r="I265" i="2"/>
  <c r="H265" i="2"/>
  <c r="J264" i="2"/>
  <c r="I264" i="2"/>
  <c r="H264" i="2"/>
  <c r="J263" i="2"/>
  <c r="I263" i="2"/>
  <c r="H263" i="2"/>
  <c r="J262" i="2"/>
  <c r="I262" i="2"/>
  <c r="H262" i="2"/>
  <c r="J261" i="2"/>
  <c r="I261" i="2"/>
  <c r="H261" i="2"/>
  <c r="J260" i="2"/>
  <c r="I260" i="2"/>
  <c r="H260" i="2"/>
  <c r="J259" i="2"/>
  <c r="I259" i="2"/>
  <c r="H259" i="2"/>
  <c r="J258" i="2"/>
  <c r="I258" i="2"/>
  <c r="H258" i="2"/>
  <c r="J257" i="2"/>
  <c r="I257" i="2"/>
  <c r="H257" i="2"/>
  <c r="J256" i="2"/>
  <c r="I256" i="2"/>
  <c r="H256" i="2"/>
  <c r="J255" i="2"/>
  <c r="I255" i="2"/>
  <c r="H255" i="2"/>
  <c r="J215" i="8"/>
  <c r="I215" i="8"/>
  <c r="H215" i="8"/>
  <c r="J214" i="8"/>
  <c r="I214" i="8"/>
  <c r="H214" i="8"/>
  <c r="J213" i="8"/>
  <c r="I213" i="8"/>
  <c r="H213" i="8"/>
  <c r="J212" i="8"/>
  <c r="I212" i="8"/>
  <c r="H212" i="8"/>
  <c r="J211" i="8"/>
  <c r="I211" i="8"/>
  <c r="H211" i="8"/>
  <c r="J210" i="8"/>
  <c r="I210" i="8"/>
  <c r="H210" i="8"/>
  <c r="J209" i="8"/>
  <c r="I209" i="8"/>
  <c r="H209" i="8"/>
  <c r="J208" i="8"/>
  <c r="I208" i="8"/>
  <c r="H208" i="8"/>
  <c r="J207" i="8"/>
  <c r="I207" i="8"/>
  <c r="H207" i="8"/>
  <c r="J206" i="8"/>
  <c r="I206" i="8"/>
  <c r="H206" i="8"/>
  <c r="J205" i="8"/>
  <c r="I205" i="8"/>
  <c r="H205" i="8"/>
  <c r="J204" i="8"/>
  <c r="I204" i="8"/>
  <c r="H204" i="8"/>
  <c r="J203" i="8"/>
  <c r="I203" i="8"/>
  <c r="H203" i="8"/>
  <c r="J202" i="8"/>
  <c r="I202" i="8"/>
  <c r="H202" i="8"/>
  <c r="J201" i="8"/>
  <c r="I201" i="8"/>
  <c r="H201" i="8"/>
  <c r="J200" i="8"/>
  <c r="I200" i="8"/>
  <c r="H200" i="8"/>
  <c r="J199" i="8"/>
  <c r="I199" i="8"/>
  <c r="H199" i="8"/>
  <c r="J198" i="8"/>
  <c r="I198" i="8"/>
  <c r="H198" i="8"/>
  <c r="J197" i="8"/>
  <c r="I197" i="8"/>
  <c r="H197" i="8"/>
  <c r="J196" i="8"/>
  <c r="I196" i="8"/>
  <c r="H196" i="8"/>
  <c r="J195" i="8"/>
  <c r="I195" i="8"/>
  <c r="H195" i="8"/>
  <c r="J194" i="8"/>
  <c r="I194" i="8"/>
  <c r="H194" i="8"/>
  <c r="J193" i="8"/>
  <c r="I193" i="8"/>
  <c r="H193" i="8"/>
  <c r="J192" i="8"/>
  <c r="I192" i="8"/>
  <c r="H192" i="8"/>
  <c r="J191" i="8"/>
  <c r="I191" i="8"/>
  <c r="H191" i="8"/>
  <c r="J190" i="8"/>
  <c r="I190" i="8"/>
  <c r="H190" i="8"/>
  <c r="J189" i="8"/>
  <c r="I189" i="8"/>
  <c r="H189" i="8"/>
  <c r="J188" i="8"/>
  <c r="I188" i="8"/>
  <c r="H188" i="8"/>
  <c r="J187" i="8"/>
  <c r="I187" i="8"/>
  <c r="H187" i="8"/>
  <c r="J186" i="8"/>
  <c r="I186" i="8"/>
  <c r="H186" i="8"/>
  <c r="J185" i="8"/>
  <c r="I185" i="8"/>
  <c r="H185" i="8"/>
  <c r="J184" i="8"/>
  <c r="I184" i="8"/>
  <c r="H184" i="8"/>
  <c r="J183" i="8"/>
  <c r="I183" i="8"/>
  <c r="H183" i="8"/>
  <c r="J182" i="8"/>
  <c r="I182" i="8"/>
  <c r="H182" i="8"/>
  <c r="J181" i="8"/>
  <c r="I181" i="8"/>
  <c r="H181" i="8"/>
  <c r="J180" i="8"/>
  <c r="I180" i="8"/>
  <c r="H180" i="8"/>
  <c r="J179" i="8"/>
  <c r="I179" i="8"/>
  <c r="H179" i="8"/>
  <c r="J178" i="8"/>
  <c r="I178" i="8"/>
  <c r="H178" i="8"/>
  <c r="J177" i="8"/>
  <c r="I177" i="8"/>
  <c r="H177" i="8"/>
  <c r="J176" i="8"/>
  <c r="I176" i="8"/>
  <c r="H176" i="8"/>
  <c r="J175" i="8"/>
  <c r="I175" i="8"/>
  <c r="H175" i="8"/>
  <c r="J174" i="8"/>
  <c r="I174" i="8"/>
  <c r="H174" i="8"/>
  <c r="J173" i="8"/>
  <c r="I173" i="8"/>
  <c r="H173" i="8"/>
  <c r="J172" i="8"/>
  <c r="I172" i="8"/>
  <c r="H172" i="8"/>
  <c r="J171" i="8"/>
  <c r="I171" i="8"/>
  <c r="H171" i="8"/>
  <c r="J170" i="8"/>
  <c r="I170" i="8"/>
  <c r="H170" i="8"/>
  <c r="J169" i="8"/>
  <c r="I169" i="8"/>
  <c r="H169" i="8"/>
  <c r="J168" i="8"/>
  <c r="I168" i="8"/>
  <c r="H168" i="8"/>
  <c r="J167" i="8"/>
  <c r="I167" i="8"/>
  <c r="H167" i="8"/>
  <c r="J166" i="8"/>
  <c r="I166" i="8"/>
  <c r="H166" i="8"/>
  <c r="J165" i="8"/>
  <c r="I165" i="8"/>
  <c r="H165" i="8"/>
  <c r="J164" i="8"/>
  <c r="I164" i="8"/>
  <c r="H164" i="8"/>
  <c r="J163" i="8"/>
  <c r="I163" i="8"/>
  <c r="H163" i="8"/>
  <c r="J162" i="8"/>
  <c r="I162" i="8"/>
  <c r="H162" i="8"/>
  <c r="J161" i="8"/>
  <c r="I161" i="8"/>
  <c r="H161" i="8"/>
  <c r="J160" i="8"/>
  <c r="I160" i="8"/>
  <c r="H160" i="8"/>
  <c r="J159" i="8"/>
  <c r="I159" i="8"/>
  <c r="H159" i="8"/>
  <c r="J158" i="8"/>
  <c r="I158" i="8"/>
  <c r="H158" i="8"/>
  <c r="J157" i="8"/>
  <c r="I157" i="8"/>
  <c r="H157" i="8"/>
  <c r="J156" i="8"/>
  <c r="I156" i="8"/>
  <c r="H156" i="8"/>
  <c r="J155" i="8"/>
  <c r="I155" i="8"/>
  <c r="H155" i="8"/>
  <c r="J154" i="8"/>
  <c r="I154" i="8"/>
  <c r="H154" i="8"/>
  <c r="J153" i="8"/>
  <c r="I153" i="8"/>
  <c r="H153" i="8"/>
  <c r="J152" i="8"/>
  <c r="I152" i="8"/>
  <c r="H152" i="8"/>
  <c r="J151" i="8"/>
  <c r="I151" i="8"/>
  <c r="H151" i="8"/>
  <c r="J150" i="8"/>
  <c r="I150" i="8"/>
  <c r="H150" i="8"/>
  <c r="J149" i="8"/>
  <c r="I149" i="8"/>
  <c r="H149" i="8"/>
  <c r="J148" i="8"/>
  <c r="I148" i="8"/>
  <c r="H148" i="8"/>
  <c r="J147" i="8"/>
  <c r="I147" i="8"/>
  <c r="H147" i="8"/>
  <c r="J146" i="8"/>
  <c r="I146" i="8"/>
  <c r="H146" i="8"/>
  <c r="J145" i="8"/>
  <c r="I145" i="8"/>
  <c r="H145" i="8"/>
  <c r="J144" i="8"/>
  <c r="I144" i="8"/>
  <c r="H144" i="8"/>
  <c r="J143" i="8"/>
  <c r="I143" i="8"/>
  <c r="H143" i="8"/>
  <c r="J142" i="8"/>
  <c r="I142" i="8"/>
  <c r="H142" i="8"/>
  <c r="J141" i="8"/>
  <c r="I141" i="8"/>
  <c r="H141" i="8"/>
  <c r="J140" i="8"/>
  <c r="I140" i="8"/>
  <c r="H140" i="8"/>
  <c r="J139" i="8"/>
  <c r="I139" i="8"/>
  <c r="H139" i="8"/>
  <c r="J138" i="8"/>
  <c r="I138" i="8"/>
  <c r="H138" i="8"/>
  <c r="J137" i="8"/>
  <c r="I137" i="8"/>
  <c r="H137" i="8"/>
  <c r="J136" i="8"/>
  <c r="I136" i="8"/>
  <c r="H136" i="8"/>
  <c r="J135" i="8"/>
  <c r="I135" i="8"/>
  <c r="H135" i="8"/>
  <c r="J134" i="8"/>
  <c r="I134" i="8"/>
  <c r="H134" i="8"/>
  <c r="J133" i="8"/>
  <c r="I133" i="8"/>
  <c r="H133" i="8"/>
  <c r="J132" i="8"/>
  <c r="I132" i="8"/>
  <c r="H132" i="8"/>
  <c r="J131" i="8"/>
  <c r="I131" i="8"/>
  <c r="H131" i="8"/>
  <c r="J130" i="8"/>
  <c r="I130" i="8"/>
  <c r="H130" i="8"/>
  <c r="J129" i="8"/>
  <c r="I129" i="8"/>
  <c r="H129" i="8"/>
  <c r="J128" i="8"/>
  <c r="I128" i="8"/>
  <c r="H128" i="8"/>
  <c r="J127" i="8"/>
  <c r="I127" i="8"/>
  <c r="H127" i="8"/>
  <c r="J126" i="8"/>
  <c r="I126" i="8"/>
  <c r="H126" i="8"/>
  <c r="J125" i="8"/>
  <c r="I125" i="8"/>
  <c r="H125" i="8"/>
  <c r="J124" i="8"/>
  <c r="I124" i="8"/>
  <c r="H124" i="8"/>
  <c r="J123" i="8"/>
  <c r="I123" i="8"/>
  <c r="H123" i="8"/>
  <c r="J122" i="8"/>
  <c r="I122" i="8"/>
  <c r="H122" i="8"/>
  <c r="J121" i="8"/>
  <c r="I121" i="8"/>
  <c r="H121" i="8"/>
  <c r="J120" i="8"/>
  <c r="I120" i="8"/>
  <c r="H120" i="8"/>
  <c r="J119" i="8"/>
  <c r="I119" i="8"/>
  <c r="H119" i="8"/>
  <c r="J118" i="8"/>
  <c r="I118" i="8"/>
  <c r="H118" i="8"/>
  <c r="J117" i="8"/>
  <c r="I117" i="8"/>
  <c r="H117" i="8"/>
  <c r="J116" i="8"/>
  <c r="I116" i="8"/>
  <c r="H116" i="8"/>
  <c r="J115" i="8"/>
  <c r="I115" i="8"/>
  <c r="H115" i="8"/>
  <c r="J114" i="8"/>
  <c r="I114" i="8"/>
  <c r="H114" i="8"/>
  <c r="J113" i="8"/>
  <c r="I113" i="8"/>
  <c r="H113" i="8"/>
  <c r="J112" i="8"/>
  <c r="I112" i="8"/>
  <c r="H112" i="8"/>
  <c r="J111" i="8"/>
  <c r="I111" i="8"/>
  <c r="H111" i="8"/>
  <c r="J110" i="8"/>
  <c r="I110" i="8"/>
  <c r="H110" i="8"/>
  <c r="J109" i="8"/>
  <c r="I109" i="8"/>
  <c r="H109" i="8"/>
  <c r="J108" i="8"/>
  <c r="I108" i="8"/>
  <c r="H108" i="8"/>
  <c r="J107" i="8"/>
  <c r="I107" i="8"/>
  <c r="H107" i="8"/>
  <c r="J106" i="8"/>
  <c r="I106" i="8"/>
  <c r="H106" i="8"/>
  <c r="J105" i="8"/>
  <c r="I105" i="8"/>
  <c r="H105" i="8"/>
  <c r="J104" i="8"/>
  <c r="I104" i="8"/>
  <c r="H104" i="8"/>
  <c r="J103" i="8"/>
  <c r="I103" i="8"/>
  <c r="H103" i="8"/>
  <c r="J102" i="8"/>
  <c r="I102" i="8"/>
  <c r="H102" i="8"/>
  <c r="J101" i="8"/>
  <c r="I101" i="8"/>
  <c r="H101" i="8"/>
  <c r="J100" i="8"/>
  <c r="I100" i="8"/>
  <c r="H100" i="8"/>
  <c r="J99" i="8"/>
  <c r="I99" i="8"/>
  <c r="H99" i="8"/>
  <c r="J98" i="8"/>
  <c r="I98" i="8"/>
  <c r="H98" i="8"/>
  <c r="J97" i="8"/>
  <c r="I97" i="8"/>
  <c r="H97" i="8"/>
  <c r="J96" i="8"/>
  <c r="I96" i="8"/>
  <c r="H96" i="8"/>
  <c r="J95" i="8"/>
  <c r="I95" i="8"/>
  <c r="H95" i="8"/>
  <c r="J94" i="8"/>
  <c r="I94" i="8"/>
  <c r="H94" i="8"/>
  <c r="J93" i="8"/>
  <c r="I93" i="8"/>
  <c r="H93" i="8"/>
  <c r="J92" i="8"/>
  <c r="I92" i="8"/>
  <c r="H92" i="8"/>
  <c r="J91" i="8"/>
  <c r="I91" i="8"/>
  <c r="H91" i="8"/>
  <c r="J90" i="8"/>
  <c r="I90" i="8"/>
  <c r="H90" i="8"/>
  <c r="J89" i="8"/>
  <c r="I89" i="8"/>
  <c r="H89" i="8"/>
  <c r="J88" i="8"/>
  <c r="I88" i="8"/>
  <c r="H88" i="8"/>
  <c r="J87" i="8"/>
  <c r="I87" i="8"/>
  <c r="H87" i="8"/>
  <c r="J86" i="8"/>
  <c r="I86" i="8"/>
  <c r="H86" i="8"/>
  <c r="J85" i="8"/>
  <c r="I85" i="8"/>
  <c r="H85" i="8"/>
  <c r="J84" i="8"/>
  <c r="I84" i="8"/>
  <c r="H84" i="8"/>
  <c r="J83" i="8"/>
  <c r="I83" i="8"/>
  <c r="H83" i="8"/>
  <c r="J82" i="8"/>
  <c r="I82" i="8"/>
  <c r="H82" i="8"/>
  <c r="J81" i="8"/>
  <c r="I81" i="8"/>
  <c r="H81" i="8"/>
  <c r="J80" i="8"/>
  <c r="I80" i="8"/>
  <c r="H80" i="8"/>
  <c r="J79" i="8"/>
  <c r="I79" i="8"/>
  <c r="H79" i="8"/>
  <c r="J78" i="8"/>
  <c r="I78" i="8"/>
  <c r="H78" i="8"/>
  <c r="J77" i="8"/>
  <c r="I77" i="8"/>
  <c r="H77" i="8"/>
  <c r="J76" i="8"/>
  <c r="I76" i="8"/>
  <c r="H76" i="8"/>
  <c r="J75" i="8"/>
  <c r="I75" i="8"/>
  <c r="H75" i="8"/>
  <c r="J74" i="8"/>
  <c r="I74" i="8"/>
  <c r="H74" i="8"/>
  <c r="J73" i="8"/>
  <c r="I73" i="8"/>
  <c r="H73" i="8"/>
  <c r="J72" i="8"/>
  <c r="I72" i="8"/>
  <c r="H72" i="8"/>
  <c r="J71" i="8"/>
  <c r="I71" i="8"/>
  <c r="H71" i="8"/>
  <c r="J70" i="8"/>
  <c r="I70" i="8"/>
  <c r="H70" i="8"/>
  <c r="J69" i="8"/>
  <c r="I69" i="8"/>
  <c r="H69" i="8"/>
  <c r="J68" i="8"/>
  <c r="I68" i="8"/>
  <c r="H68" i="8"/>
  <c r="J67" i="8"/>
  <c r="I67" i="8"/>
  <c r="H67" i="8"/>
  <c r="J66" i="8"/>
  <c r="I66" i="8"/>
  <c r="H66" i="8"/>
  <c r="J65" i="8"/>
  <c r="I65" i="8"/>
  <c r="H65" i="8"/>
  <c r="J64" i="8"/>
  <c r="I64" i="8"/>
  <c r="H64" i="8"/>
  <c r="J63" i="8"/>
  <c r="I63" i="8"/>
  <c r="H63" i="8"/>
  <c r="J62" i="8"/>
  <c r="I62" i="8"/>
  <c r="H62" i="8"/>
  <c r="J61" i="8"/>
  <c r="I61" i="8"/>
  <c r="H61" i="8"/>
  <c r="J60" i="8"/>
  <c r="I60" i="8"/>
  <c r="H60" i="8"/>
  <c r="J59" i="8"/>
  <c r="I59" i="8"/>
  <c r="H59" i="8"/>
  <c r="J58" i="8"/>
  <c r="I58" i="8"/>
  <c r="H58" i="8"/>
  <c r="J57" i="8"/>
  <c r="I57" i="8"/>
  <c r="H57" i="8"/>
  <c r="J56" i="8"/>
  <c r="I56" i="8"/>
  <c r="H56" i="8"/>
  <c r="J55" i="8"/>
  <c r="I55" i="8"/>
  <c r="H55" i="8"/>
  <c r="J54" i="8"/>
  <c r="I54" i="8"/>
  <c r="H54" i="8"/>
  <c r="J53" i="8"/>
  <c r="I53" i="8"/>
  <c r="H53" i="8"/>
  <c r="J52" i="8"/>
  <c r="I52" i="8"/>
  <c r="H52" i="8"/>
  <c r="J51" i="8"/>
  <c r="I51" i="8"/>
  <c r="H51" i="8"/>
  <c r="J50" i="8"/>
  <c r="I50" i="8"/>
  <c r="H50" i="8"/>
  <c r="J49" i="8"/>
  <c r="I49" i="8"/>
  <c r="H49" i="8"/>
  <c r="J48" i="8"/>
  <c r="I48" i="8"/>
  <c r="H48" i="8"/>
  <c r="J47" i="8"/>
  <c r="I47" i="8"/>
  <c r="H47" i="8"/>
  <c r="J46" i="8"/>
  <c r="I46" i="8"/>
  <c r="H46" i="8"/>
  <c r="J45" i="8"/>
  <c r="I45" i="8"/>
  <c r="H45" i="8"/>
  <c r="J44" i="8"/>
  <c r="I44" i="8"/>
  <c r="H44" i="8"/>
  <c r="J43" i="8"/>
  <c r="I43" i="8"/>
  <c r="H43" i="8"/>
  <c r="J42" i="8"/>
  <c r="I42" i="8"/>
  <c r="H42" i="8"/>
  <c r="J41" i="8"/>
  <c r="I41" i="8"/>
  <c r="H41" i="8"/>
  <c r="J40" i="8"/>
  <c r="I40" i="8"/>
  <c r="H40" i="8"/>
  <c r="J39" i="8"/>
  <c r="I39" i="8"/>
  <c r="H39" i="8"/>
  <c r="J38" i="8"/>
  <c r="I38" i="8"/>
  <c r="H38" i="8"/>
  <c r="J37" i="8"/>
  <c r="I37" i="8"/>
  <c r="H37" i="8"/>
  <c r="J36" i="8"/>
  <c r="I36" i="8"/>
  <c r="H36" i="8"/>
  <c r="J35" i="8"/>
  <c r="I35" i="8"/>
  <c r="H35" i="8"/>
  <c r="J34" i="8"/>
  <c r="I34" i="8"/>
  <c r="H34" i="8"/>
  <c r="J33" i="8"/>
  <c r="I33" i="8"/>
  <c r="H33" i="8"/>
  <c r="J32" i="8"/>
  <c r="I32" i="8"/>
  <c r="H32" i="8"/>
  <c r="J31" i="8"/>
  <c r="I31" i="8"/>
  <c r="H31" i="8"/>
  <c r="J30" i="8"/>
  <c r="I30" i="8"/>
  <c r="H30" i="8"/>
  <c r="J29" i="8"/>
  <c r="I29" i="8"/>
  <c r="H29" i="8"/>
  <c r="J28" i="8"/>
  <c r="I28" i="8"/>
  <c r="H28" i="8"/>
  <c r="J27" i="8"/>
  <c r="I27" i="8"/>
  <c r="H27" i="8"/>
  <c r="J26" i="8"/>
  <c r="I26" i="8"/>
  <c r="H26" i="8"/>
  <c r="J25" i="8"/>
  <c r="I25" i="8"/>
  <c r="H25" i="8"/>
  <c r="J24" i="8"/>
  <c r="I24" i="8"/>
  <c r="H24" i="8"/>
  <c r="J23" i="8"/>
  <c r="I23" i="8"/>
  <c r="H23" i="8"/>
  <c r="J22" i="8"/>
  <c r="I22" i="8"/>
  <c r="H22" i="8"/>
  <c r="J21" i="8"/>
  <c r="I21" i="8"/>
  <c r="H21" i="8"/>
  <c r="J20" i="8"/>
  <c r="I20" i="8"/>
  <c r="H20" i="8"/>
  <c r="J19" i="8"/>
  <c r="I19" i="8"/>
  <c r="H19" i="8"/>
  <c r="J18" i="8"/>
  <c r="I18" i="8"/>
  <c r="H18" i="8"/>
  <c r="J17" i="8"/>
  <c r="I17" i="8"/>
  <c r="H17" i="8"/>
  <c r="J16" i="8"/>
  <c r="I16" i="8"/>
  <c r="H16" i="8"/>
  <c r="J15" i="8"/>
  <c r="I15" i="8"/>
  <c r="H15" i="8"/>
  <c r="J14" i="8"/>
  <c r="I14" i="8"/>
  <c r="H14" i="8"/>
  <c r="J13" i="8"/>
  <c r="I13" i="8"/>
  <c r="H13" i="8"/>
  <c r="J12" i="8"/>
  <c r="I12" i="8"/>
  <c r="H12" i="8"/>
  <c r="J11" i="8"/>
  <c r="I11" i="8"/>
  <c r="H11" i="8"/>
  <c r="J10" i="8"/>
  <c r="I10" i="8"/>
  <c r="H10" i="8"/>
  <c r="J9" i="8"/>
  <c r="I9" i="8"/>
  <c r="H9" i="8"/>
  <c r="J8" i="8"/>
  <c r="I8" i="8"/>
  <c r="H8" i="8"/>
  <c r="J7" i="8"/>
  <c r="I7" i="8"/>
  <c r="H7" i="8"/>
  <c r="J6" i="8"/>
  <c r="I6" i="8"/>
  <c r="H6" i="8"/>
  <c r="J5" i="8"/>
  <c r="I5" i="8"/>
  <c r="H5" i="8"/>
  <c r="J4" i="8"/>
  <c r="I4" i="8"/>
  <c r="H4" i="8"/>
  <c r="J3" i="8"/>
  <c r="I3" i="8"/>
  <c r="H3" i="8"/>
  <c r="J2" i="8"/>
  <c r="I2" i="8"/>
  <c r="H2" i="8"/>
  <c r="B21" i="5"/>
  <c r="B20" i="5"/>
  <c r="B19" i="5"/>
  <c r="B18" i="5"/>
  <c r="B17" i="5"/>
  <c r="B16" i="5"/>
  <c r="B15" i="5"/>
  <c r="B14" i="5"/>
  <c r="B13" i="5"/>
  <c r="B12" i="5"/>
  <c r="J1201" i="3"/>
  <c r="I1201" i="3"/>
  <c r="H1201" i="3"/>
  <c r="G1201" i="3"/>
  <c r="J1200" i="3"/>
  <c r="I1200" i="3"/>
  <c r="H1200" i="3"/>
  <c r="G1200" i="3"/>
  <c r="J1199" i="3"/>
  <c r="I1199" i="3"/>
  <c r="H1199" i="3"/>
  <c r="G1199" i="3"/>
  <c r="J1198" i="3"/>
  <c r="I1198" i="3"/>
  <c r="H1198" i="3"/>
  <c r="G1198" i="3"/>
  <c r="J1197" i="3"/>
  <c r="I1197" i="3"/>
  <c r="H1197" i="3"/>
  <c r="G1197" i="3"/>
  <c r="J1196" i="3"/>
  <c r="I1196" i="3"/>
  <c r="H1196" i="3"/>
  <c r="G1196" i="3"/>
  <c r="J1195" i="3"/>
  <c r="I1195" i="3"/>
  <c r="H1195" i="3"/>
  <c r="G1195" i="3"/>
  <c r="J1194" i="3"/>
  <c r="I1194" i="3"/>
  <c r="H1194" i="3"/>
  <c r="G1194" i="3"/>
  <c r="J1193" i="3"/>
  <c r="I1193" i="3"/>
  <c r="H1193" i="3"/>
  <c r="G1193" i="3"/>
  <c r="J1192" i="3"/>
  <c r="I1192" i="3"/>
  <c r="H1192" i="3"/>
  <c r="G1192" i="3"/>
  <c r="J1191" i="3"/>
  <c r="I1191" i="3"/>
  <c r="H1191" i="3"/>
  <c r="G1191" i="3"/>
  <c r="J1190" i="3"/>
  <c r="I1190" i="3"/>
  <c r="H1190" i="3"/>
  <c r="G1190" i="3"/>
  <c r="J1189" i="3"/>
  <c r="I1189" i="3"/>
  <c r="H1189" i="3"/>
  <c r="G1189" i="3"/>
  <c r="J1188" i="3"/>
  <c r="I1188" i="3"/>
  <c r="H1188" i="3"/>
  <c r="G1188" i="3"/>
  <c r="J1187" i="3"/>
  <c r="I1187" i="3"/>
  <c r="H1187" i="3"/>
  <c r="G1187" i="3"/>
  <c r="J1186" i="3"/>
  <c r="I1186" i="3"/>
  <c r="H1186" i="3"/>
  <c r="G1186" i="3"/>
  <c r="J1185" i="3"/>
  <c r="I1185" i="3"/>
  <c r="H1185" i="3"/>
  <c r="G1185" i="3"/>
  <c r="J1184" i="3"/>
  <c r="I1184" i="3"/>
  <c r="H1184" i="3"/>
  <c r="G1184" i="3"/>
  <c r="J1183" i="3"/>
  <c r="I1183" i="3"/>
  <c r="H1183" i="3"/>
  <c r="G1183" i="3"/>
  <c r="J1182" i="3"/>
  <c r="I1182" i="3"/>
  <c r="H1182" i="3"/>
  <c r="G1182" i="3"/>
  <c r="J1181" i="3"/>
  <c r="I1181" i="3"/>
  <c r="H1181" i="3"/>
  <c r="G1181" i="3"/>
  <c r="J1180" i="3"/>
  <c r="I1180" i="3"/>
  <c r="H1180" i="3"/>
  <c r="G1180" i="3"/>
  <c r="J1179" i="3"/>
  <c r="I1179" i="3"/>
  <c r="H1179" i="3"/>
  <c r="G1179" i="3"/>
  <c r="J1178" i="3"/>
  <c r="I1178" i="3"/>
  <c r="H1178" i="3"/>
  <c r="G1178" i="3"/>
  <c r="J1177" i="3"/>
  <c r="I1177" i="3"/>
  <c r="H1177" i="3"/>
  <c r="G1177" i="3"/>
  <c r="J1176" i="3"/>
  <c r="I1176" i="3"/>
  <c r="H1176" i="3"/>
  <c r="G1176" i="3"/>
  <c r="J1175" i="3"/>
  <c r="I1175" i="3"/>
  <c r="H1175" i="3"/>
  <c r="G1175" i="3"/>
  <c r="J1174" i="3"/>
  <c r="I1174" i="3"/>
  <c r="H1174" i="3"/>
  <c r="G1174" i="3"/>
  <c r="J1173" i="3"/>
  <c r="I1173" i="3"/>
  <c r="H1173" i="3"/>
  <c r="G1173" i="3"/>
  <c r="J1172" i="3"/>
  <c r="I1172" i="3"/>
  <c r="H1172" i="3"/>
  <c r="G1172" i="3"/>
  <c r="J1171" i="3"/>
  <c r="I1171" i="3"/>
  <c r="H1171" i="3"/>
  <c r="G1171" i="3"/>
  <c r="J1170" i="3"/>
  <c r="I1170" i="3"/>
  <c r="H1170" i="3"/>
  <c r="G1170" i="3"/>
  <c r="J1169" i="3"/>
  <c r="I1169" i="3"/>
  <c r="H1169" i="3"/>
  <c r="G1169" i="3"/>
  <c r="J1168" i="3"/>
  <c r="I1168" i="3"/>
  <c r="H1168" i="3"/>
  <c r="G1168" i="3"/>
  <c r="J1167" i="3"/>
  <c r="I1167" i="3"/>
  <c r="H1167" i="3"/>
  <c r="G1167" i="3"/>
  <c r="J1166" i="3"/>
  <c r="I1166" i="3"/>
  <c r="H1166" i="3"/>
  <c r="G1166" i="3"/>
  <c r="J1165" i="3"/>
  <c r="I1165" i="3"/>
  <c r="H1165" i="3"/>
  <c r="G1165" i="3"/>
  <c r="J1164" i="3"/>
  <c r="I1164" i="3"/>
  <c r="H1164" i="3"/>
  <c r="G1164" i="3"/>
  <c r="J1163" i="3"/>
  <c r="I1163" i="3"/>
  <c r="H1163" i="3"/>
  <c r="G1163" i="3"/>
  <c r="J1162" i="3"/>
  <c r="I1162" i="3"/>
  <c r="H1162" i="3"/>
  <c r="G1162" i="3"/>
  <c r="J1161" i="3"/>
  <c r="I1161" i="3"/>
  <c r="H1161" i="3"/>
  <c r="G1161" i="3"/>
  <c r="J1160" i="3"/>
  <c r="I1160" i="3"/>
  <c r="H1160" i="3"/>
  <c r="G1160" i="3"/>
  <c r="J1159" i="3"/>
  <c r="I1159" i="3"/>
  <c r="H1159" i="3"/>
  <c r="G1159" i="3"/>
  <c r="J1158" i="3"/>
  <c r="I1158" i="3"/>
  <c r="H1158" i="3"/>
  <c r="G1158" i="3"/>
  <c r="J1157" i="3"/>
  <c r="I1157" i="3"/>
  <c r="H1157" i="3"/>
  <c r="G1157" i="3"/>
  <c r="J1156" i="3"/>
  <c r="I1156" i="3"/>
  <c r="H1156" i="3"/>
  <c r="G1156" i="3"/>
  <c r="J1155" i="3"/>
  <c r="I1155" i="3"/>
  <c r="H1155" i="3"/>
  <c r="G1155" i="3"/>
  <c r="J1154" i="3"/>
  <c r="I1154" i="3"/>
  <c r="H1154" i="3"/>
  <c r="G1154" i="3"/>
  <c r="J1153" i="3"/>
  <c r="I1153" i="3"/>
  <c r="H1153" i="3"/>
  <c r="G1153" i="3"/>
  <c r="J1152" i="3"/>
  <c r="I1152" i="3"/>
  <c r="H1152" i="3"/>
  <c r="G1152" i="3"/>
  <c r="J1151" i="3"/>
  <c r="I1151" i="3"/>
  <c r="H1151" i="3"/>
  <c r="G1151" i="3"/>
  <c r="J1150" i="3"/>
  <c r="I1150" i="3"/>
  <c r="H1150" i="3"/>
  <c r="G1150" i="3"/>
  <c r="J1149" i="3"/>
  <c r="I1149" i="3"/>
  <c r="H1149" i="3"/>
  <c r="G1149" i="3"/>
  <c r="J1148" i="3"/>
  <c r="I1148" i="3"/>
  <c r="H1148" i="3"/>
  <c r="G1148" i="3"/>
  <c r="J1147" i="3"/>
  <c r="I1147" i="3"/>
  <c r="H1147" i="3"/>
  <c r="G1147" i="3"/>
  <c r="J1146" i="3"/>
  <c r="I1146" i="3"/>
  <c r="H1146" i="3"/>
  <c r="G1146" i="3"/>
  <c r="J1145" i="3"/>
  <c r="I1145" i="3"/>
  <c r="H1145" i="3"/>
  <c r="G1145" i="3"/>
  <c r="J1144" i="3"/>
  <c r="I1144" i="3"/>
  <c r="H1144" i="3"/>
  <c r="G1144" i="3"/>
  <c r="J1143" i="3"/>
  <c r="I1143" i="3"/>
  <c r="H1143" i="3"/>
  <c r="G1143" i="3"/>
  <c r="J1142" i="3"/>
  <c r="I1142" i="3"/>
  <c r="H1142" i="3"/>
  <c r="G1142" i="3"/>
  <c r="J1141" i="3"/>
  <c r="I1141" i="3"/>
  <c r="H1141" i="3"/>
  <c r="G1141" i="3"/>
  <c r="J1140" i="3"/>
  <c r="I1140" i="3"/>
  <c r="H1140" i="3"/>
  <c r="G1140" i="3"/>
  <c r="J1139" i="3"/>
  <c r="I1139" i="3"/>
  <c r="H1139" i="3"/>
  <c r="G1139" i="3"/>
  <c r="J1138" i="3"/>
  <c r="I1138" i="3"/>
  <c r="H1138" i="3"/>
  <c r="G1138" i="3"/>
  <c r="J1137" i="3"/>
  <c r="I1137" i="3"/>
  <c r="H1137" i="3"/>
  <c r="G1137" i="3"/>
  <c r="J1136" i="3"/>
  <c r="I1136" i="3"/>
  <c r="H1136" i="3"/>
  <c r="G1136" i="3"/>
  <c r="J1135" i="3"/>
  <c r="I1135" i="3"/>
  <c r="H1135" i="3"/>
  <c r="G1135" i="3"/>
  <c r="J1134" i="3"/>
  <c r="I1134" i="3"/>
  <c r="H1134" i="3"/>
  <c r="G1134" i="3"/>
  <c r="J1133" i="3"/>
  <c r="I1133" i="3"/>
  <c r="H1133" i="3"/>
  <c r="G1133" i="3"/>
  <c r="J1132" i="3"/>
  <c r="I1132" i="3"/>
  <c r="H1132" i="3"/>
  <c r="G1132" i="3"/>
  <c r="J1131" i="3"/>
  <c r="I1131" i="3"/>
  <c r="H1131" i="3"/>
  <c r="G1131" i="3"/>
  <c r="J1130" i="3"/>
  <c r="I1130" i="3"/>
  <c r="H1130" i="3"/>
  <c r="G1130" i="3"/>
  <c r="J1129" i="3"/>
  <c r="I1129" i="3"/>
  <c r="H1129" i="3"/>
  <c r="G1129" i="3"/>
  <c r="J1128" i="3"/>
  <c r="I1128" i="3"/>
  <c r="H1128" i="3"/>
  <c r="G1128" i="3"/>
  <c r="J1127" i="3"/>
  <c r="I1127" i="3"/>
  <c r="H1127" i="3"/>
  <c r="G1127" i="3"/>
  <c r="J1126" i="3"/>
  <c r="I1126" i="3"/>
  <c r="H1126" i="3"/>
  <c r="G1126" i="3"/>
  <c r="J1125" i="3"/>
  <c r="I1125" i="3"/>
  <c r="H1125" i="3"/>
  <c r="G1125" i="3"/>
  <c r="J1124" i="3"/>
  <c r="I1124" i="3"/>
  <c r="H1124" i="3"/>
  <c r="G1124" i="3"/>
  <c r="J1123" i="3"/>
  <c r="I1123" i="3"/>
  <c r="H1123" i="3"/>
  <c r="G1123" i="3"/>
  <c r="J1122" i="3"/>
  <c r="I1122" i="3"/>
  <c r="H1122" i="3"/>
  <c r="G1122" i="3"/>
  <c r="J1121" i="3"/>
  <c r="I1121" i="3"/>
  <c r="H1121" i="3"/>
  <c r="G1121" i="3"/>
  <c r="J1120" i="3"/>
  <c r="I1120" i="3"/>
  <c r="H1120" i="3"/>
  <c r="G1120" i="3"/>
  <c r="J1119" i="3"/>
  <c r="I1119" i="3"/>
  <c r="H1119" i="3"/>
  <c r="G1119" i="3"/>
  <c r="J1118" i="3"/>
  <c r="I1118" i="3"/>
  <c r="H1118" i="3"/>
  <c r="G1118" i="3"/>
  <c r="J1117" i="3"/>
  <c r="I1117" i="3"/>
  <c r="H1117" i="3"/>
  <c r="G1117" i="3"/>
  <c r="J1116" i="3"/>
  <c r="I1116" i="3"/>
  <c r="H1116" i="3"/>
  <c r="G1116" i="3"/>
  <c r="J1115" i="3"/>
  <c r="I1115" i="3"/>
  <c r="H1115" i="3"/>
  <c r="G1115" i="3"/>
  <c r="J1114" i="3"/>
  <c r="I1114" i="3"/>
  <c r="H1114" i="3"/>
  <c r="G1114" i="3"/>
  <c r="J1113" i="3"/>
  <c r="I1113" i="3"/>
  <c r="H1113" i="3"/>
  <c r="G1113" i="3"/>
  <c r="J1112" i="3"/>
  <c r="I1112" i="3"/>
  <c r="H1112" i="3"/>
  <c r="G1112" i="3"/>
  <c r="J1111" i="3"/>
  <c r="I1111" i="3"/>
  <c r="H1111" i="3"/>
  <c r="G1111" i="3"/>
  <c r="J1110" i="3"/>
  <c r="I1110" i="3"/>
  <c r="H1110" i="3"/>
  <c r="G1110" i="3"/>
  <c r="J1109" i="3"/>
  <c r="I1109" i="3"/>
  <c r="H1109" i="3"/>
  <c r="G1109" i="3"/>
  <c r="J1108" i="3"/>
  <c r="I1108" i="3"/>
  <c r="H1108" i="3"/>
  <c r="G1108" i="3"/>
  <c r="J1107" i="3"/>
  <c r="I1107" i="3"/>
  <c r="H1107" i="3"/>
  <c r="G1107" i="3"/>
  <c r="J1106" i="3"/>
  <c r="I1106" i="3"/>
  <c r="H1106" i="3"/>
  <c r="G1106" i="3"/>
  <c r="J1105" i="3"/>
  <c r="I1105" i="3"/>
  <c r="H1105" i="3"/>
  <c r="G1105" i="3"/>
  <c r="J1104" i="3"/>
  <c r="I1104" i="3"/>
  <c r="H1104" i="3"/>
  <c r="G1104" i="3"/>
  <c r="J1103" i="3"/>
  <c r="I1103" i="3"/>
  <c r="H1103" i="3"/>
  <c r="G1103" i="3"/>
  <c r="J1102" i="3"/>
  <c r="I1102" i="3"/>
  <c r="H1102" i="3"/>
  <c r="G1102" i="3"/>
  <c r="J1101" i="3"/>
  <c r="I1101" i="3"/>
  <c r="H1101" i="3"/>
  <c r="G1101" i="3"/>
  <c r="J1100" i="3"/>
  <c r="I1100" i="3"/>
  <c r="H1100" i="3"/>
  <c r="G1100" i="3"/>
  <c r="J1099" i="3"/>
  <c r="I1099" i="3"/>
  <c r="H1099" i="3"/>
  <c r="G1099" i="3"/>
  <c r="J1098" i="3"/>
  <c r="I1098" i="3"/>
  <c r="H1098" i="3"/>
  <c r="G1098" i="3"/>
  <c r="J1097" i="3"/>
  <c r="I1097" i="3"/>
  <c r="H1097" i="3"/>
  <c r="G1097" i="3"/>
  <c r="J1096" i="3"/>
  <c r="I1096" i="3"/>
  <c r="H1096" i="3"/>
  <c r="G1096" i="3"/>
  <c r="J1095" i="3"/>
  <c r="I1095" i="3"/>
  <c r="H1095" i="3"/>
  <c r="G1095" i="3"/>
  <c r="J1094" i="3"/>
  <c r="I1094" i="3"/>
  <c r="H1094" i="3"/>
  <c r="G1094" i="3"/>
  <c r="J1093" i="3"/>
  <c r="I1093" i="3"/>
  <c r="H1093" i="3"/>
  <c r="G1093" i="3"/>
  <c r="J1092" i="3"/>
  <c r="I1092" i="3"/>
  <c r="H1092" i="3"/>
  <c r="G1092" i="3"/>
  <c r="J1091" i="3"/>
  <c r="I1091" i="3"/>
  <c r="H1091" i="3"/>
  <c r="G1091" i="3"/>
  <c r="J1090" i="3"/>
  <c r="I1090" i="3"/>
  <c r="H1090" i="3"/>
  <c r="G1090" i="3"/>
  <c r="J1089" i="3"/>
  <c r="I1089" i="3"/>
  <c r="H1089" i="3"/>
  <c r="G1089" i="3"/>
  <c r="J1088" i="3"/>
  <c r="I1088" i="3"/>
  <c r="H1088" i="3"/>
  <c r="G1088" i="3"/>
  <c r="J1087" i="3"/>
  <c r="I1087" i="3"/>
  <c r="H1087" i="3"/>
  <c r="G1087" i="3"/>
  <c r="J1086" i="3"/>
  <c r="I1086" i="3"/>
  <c r="H1086" i="3"/>
  <c r="G1086" i="3"/>
  <c r="J1085" i="3"/>
  <c r="I1085" i="3"/>
  <c r="H1085" i="3"/>
  <c r="G1085" i="3"/>
  <c r="J1084" i="3"/>
  <c r="I1084" i="3"/>
  <c r="H1084" i="3"/>
  <c r="G1084" i="3"/>
  <c r="J1083" i="3"/>
  <c r="I1083" i="3"/>
  <c r="H1083" i="3"/>
  <c r="G1083" i="3"/>
  <c r="J1082" i="3"/>
  <c r="I1082" i="3"/>
  <c r="H1082" i="3"/>
  <c r="G1082" i="3"/>
  <c r="J1081" i="3"/>
  <c r="I1081" i="3"/>
  <c r="H1081" i="3"/>
  <c r="G1081" i="3"/>
  <c r="J1080" i="3"/>
  <c r="I1080" i="3"/>
  <c r="H1080" i="3"/>
  <c r="G1080" i="3"/>
  <c r="J1079" i="3"/>
  <c r="I1079" i="3"/>
  <c r="H1079" i="3"/>
  <c r="G1079" i="3"/>
  <c r="J1078" i="3"/>
  <c r="I1078" i="3"/>
  <c r="H1078" i="3"/>
  <c r="G1078" i="3"/>
  <c r="J1077" i="3"/>
  <c r="I1077" i="3"/>
  <c r="H1077" i="3"/>
  <c r="G1077" i="3"/>
  <c r="J1076" i="3"/>
  <c r="I1076" i="3"/>
  <c r="H1076" i="3"/>
  <c r="G1076" i="3"/>
  <c r="J1075" i="3"/>
  <c r="I1075" i="3"/>
  <c r="H1075" i="3"/>
  <c r="G1075" i="3"/>
  <c r="J1074" i="3"/>
  <c r="I1074" i="3"/>
  <c r="H1074" i="3"/>
  <c r="G1074" i="3"/>
  <c r="J1073" i="3"/>
  <c r="I1073" i="3"/>
  <c r="H1073" i="3"/>
  <c r="G1073" i="3"/>
  <c r="J1072" i="3"/>
  <c r="I1072" i="3"/>
  <c r="H1072" i="3"/>
  <c r="G1072" i="3"/>
  <c r="J1071" i="3"/>
  <c r="I1071" i="3"/>
  <c r="H1071" i="3"/>
  <c r="G1071" i="3"/>
  <c r="J1070" i="3"/>
  <c r="I1070" i="3"/>
  <c r="H1070" i="3"/>
  <c r="G1070" i="3"/>
  <c r="J1069" i="3"/>
  <c r="I1069" i="3"/>
  <c r="H1069" i="3"/>
  <c r="G1069" i="3"/>
  <c r="J1068" i="3"/>
  <c r="I1068" i="3"/>
  <c r="H1068" i="3"/>
  <c r="G1068" i="3"/>
  <c r="J1067" i="3"/>
  <c r="I1067" i="3"/>
  <c r="H1067" i="3"/>
  <c r="G1067" i="3"/>
  <c r="J1066" i="3"/>
  <c r="I1066" i="3"/>
  <c r="H1066" i="3"/>
  <c r="G1066" i="3"/>
  <c r="J1065" i="3"/>
  <c r="I1065" i="3"/>
  <c r="H1065" i="3"/>
  <c r="G1065" i="3"/>
  <c r="J1064" i="3"/>
  <c r="I1064" i="3"/>
  <c r="H1064" i="3"/>
  <c r="G1064" i="3"/>
  <c r="J1063" i="3"/>
  <c r="I1063" i="3"/>
  <c r="H1063" i="3"/>
  <c r="G1063" i="3"/>
  <c r="J1062" i="3"/>
  <c r="I1062" i="3"/>
  <c r="H1062" i="3"/>
  <c r="G1062" i="3"/>
  <c r="J1061" i="3"/>
  <c r="I1061" i="3"/>
  <c r="H1061" i="3"/>
  <c r="G1061" i="3"/>
  <c r="J1060" i="3"/>
  <c r="I1060" i="3"/>
  <c r="H1060" i="3"/>
  <c r="G1060" i="3"/>
  <c r="J1059" i="3"/>
  <c r="I1059" i="3"/>
  <c r="H1059" i="3"/>
  <c r="G1059" i="3"/>
  <c r="J1058" i="3"/>
  <c r="I1058" i="3"/>
  <c r="H1058" i="3"/>
  <c r="G1058" i="3"/>
  <c r="J1057" i="3"/>
  <c r="I1057" i="3"/>
  <c r="H1057" i="3"/>
  <c r="G1057" i="3"/>
  <c r="J1056" i="3"/>
  <c r="I1056" i="3"/>
  <c r="H1056" i="3"/>
  <c r="G1056" i="3"/>
  <c r="J1055" i="3"/>
  <c r="I1055" i="3"/>
  <c r="H1055" i="3"/>
  <c r="G1055" i="3"/>
  <c r="J1054" i="3"/>
  <c r="I1054" i="3"/>
  <c r="H1054" i="3"/>
  <c r="G1054" i="3"/>
  <c r="J1053" i="3"/>
  <c r="I1053" i="3"/>
  <c r="H1053" i="3"/>
  <c r="G1053" i="3"/>
  <c r="J1052" i="3"/>
  <c r="I1052" i="3"/>
  <c r="H1052" i="3"/>
  <c r="G1052" i="3"/>
  <c r="J1051" i="3"/>
  <c r="I1051" i="3"/>
  <c r="H1051" i="3"/>
  <c r="G1051" i="3"/>
  <c r="J1050" i="3"/>
  <c r="I1050" i="3"/>
  <c r="H1050" i="3"/>
  <c r="G1050" i="3"/>
  <c r="J1049" i="3"/>
  <c r="I1049" i="3"/>
  <c r="H1049" i="3"/>
  <c r="G1049" i="3"/>
  <c r="J1048" i="3"/>
  <c r="I1048" i="3"/>
  <c r="H1048" i="3"/>
  <c r="G1048" i="3"/>
  <c r="J1047" i="3"/>
  <c r="I1047" i="3"/>
  <c r="H1047" i="3"/>
  <c r="G1047" i="3"/>
  <c r="J1046" i="3"/>
  <c r="I1046" i="3"/>
  <c r="H1046" i="3"/>
  <c r="G1046" i="3"/>
  <c r="J1045" i="3"/>
  <c r="I1045" i="3"/>
  <c r="H1045" i="3"/>
  <c r="G1045" i="3"/>
  <c r="J1044" i="3"/>
  <c r="I1044" i="3"/>
  <c r="H1044" i="3"/>
  <c r="G1044" i="3"/>
  <c r="J1043" i="3"/>
  <c r="I1043" i="3"/>
  <c r="H1043" i="3"/>
  <c r="G1043" i="3"/>
  <c r="J1042" i="3"/>
  <c r="I1042" i="3"/>
  <c r="H1042" i="3"/>
  <c r="G1042" i="3"/>
  <c r="J1041" i="3"/>
  <c r="I1041" i="3"/>
  <c r="H1041" i="3"/>
  <c r="G1041" i="3"/>
  <c r="J1040" i="3"/>
  <c r="I1040" i="3"/>
  <c r="H1040" i="3"/>
  <c r="G1040" i="3"/>
  <c r="J1039" i="3"/>
  <c r="I1039" i="3"/>
  <c r="H1039" i="3"/>
  <c r="G1039" i="3"/>
  <c r="J1038" i="3"/>
  <c r="I1038" i="3"/>
  <c r="H1038" i="3"/>
  <c r="G1038" i="3"/>
  <c r="J1037" i="3"/>
  <c r="I1037" i="3"/>
  <c r="H1037" i="3"/>
  <c r="G1037" i="3"/>
  <c r="J1036" i="3"/>
  <c r="I1036" i="3"/>
  <c r="H1036" i="3"/>
  <c r="G1036" i="3"/>
  <c r="J1035" i="3"/>
  <c r="I1035" i="3"/>
  <c r="H1035" i="3"/>
  <c r="G1035" i="3"/>
  <c r="J1034" i="3"/>
  <c r="I1034" i="3"/>
  <c r="H1034" i="3"/>
  <c r="G1034" i="3"/>
  <c r="J1033" i="3"/>
  <c r="I1033" i="3"/>
  <c r="H1033" i="3"/>
  <c r="G1033" i="3"/>
  <c r="J1032" i="3"/>
  <c r="I1032" i="3"/>
  <c r="H1032" i="3"/>
  <c r="G1032" i="3"/>
  <c r="J1031" i="3"/>
  <c r="I1031" i="3"/>
  <c r="H1031" i="3"/>
  <c r="G1031" i="3"/>
  <c r="J1030" i="3"/>
  <c r="I1030" i="3"/>
  <c r="H1030" i="3"/>
  <c r="G1030" i="3"/>
  <c r="J1029" i="3"/>
  <c r="I1029" i="3"/>
  <c r="H1029" i="3"/>
  <c r="G1029" i="3"/>
  <c r="J1028" i="3"/>
  <c r="I1028" i="3"/>
  <c r="H1028" i="3"/>
  <c r="G1028" i="3"/>
  <c r="J1027" i="3"/>
  <c r="I1027" i="3"/>
  <c r="H1027" i="3"/>
  <c r="G1027" i="3"/>
  <c r="J1026" i="3"/>
  <c r="I1026" i="3"/>
  <c r="H1026" i="3"/>
  <c r="G1026" i="3"/>
  <c r="J1025" i="3"/>
  <c r="I1025" i="3"/>
  <c r="H1025" i="3"/>
  <c r="G1025" i="3"/>
  <c r="J1024" i="3"/>
  <c r="I1024" i="3"/>
  <c r="H1024" i="3"/>
  <c r="G1024" i="3"/>
  <c r="J1023" i="3"/>
  <c r="I1023" i="3"/>
  <c r="H1023" i="3"/>
  <c r="G1023" i="3"/>
  <c r="J1022" i="3"/>
  <c r="I1022" i="3"/>
  <c r="H1022" i="3"/>
  <c r="G1022" i="3"/>
  <c r="J1021" i="3"/>
  <c r="I1021" i="3"/>
  <c r="H1021" i="3"/>
  <c r="G1021" i="3"/>
  <c r="J1020" i="3"/>
  <c r="I1020" i="3"/>
  <c r="H1020" i="3"/>
  <c r="G1020" i="3"/>
  <c r="J1019" i="3"/>
  <c r="I1019" i="3"/>
  <c r="H1019" i="3"/>
  <c r="G1019" i="3"/>
  <c r="J1018" i="3"/>
  <c r="I1018" i="3"/>
  <c r="H1018" i="3"/>
  <c r="G1018" i="3"/>
  <c r="J1017" i="3"/>
  <c r="I1017" i="3"/>
  <c r="H1017" i="3"/>
  <c r="G1017" i="3"/>
  <c r="J1016" i="3"/>
  <c r="I1016" i="3"/>
  <c r="H1016" i="3"/>
  <c r="G1016" i="3"/>
  <c r="J1015" i="3"/>
  <c r="I1015" i="3"/>
  <c r="H1015" i="3"/>
  <c r="G1015" i="3"/>
  <c r="J1014" i="3"/>
  <c r="I1014" i="3"/>
  <c r="H1014" i="3"/>
  <c r="G1014" i="3"/>
  <c r="J1013" i="3"/>
  <c r="I1013" i="3"/>
  <c r="H1013" i="3"/>
  <c r="G1013" i="3"/>
  <c r="J1012" i="3"/>
  <c r="I1012" i="3"/>
  <c r="H1012" i="3"/>
  <c r="G1012" i="3"/>
  <c r="J1011" i="3"/>
  <c r="I1011" i="3"/>
  <c r="H1011" i="3"/>
  <c r="G1011" i="3"/>
  <c r="J1010" i="3"/>
  <c r="I1010" i="3"/>
  <c r="H1010" i="3"/>
  <c r="G1010" i="3"/>
  <c r="J1009" i="3"/>
  <c r="I1009" i="3"/>
  <c r="H1009" i="3"/>
  <c r="G1009" i="3"/>
  <c r="J1008" i="3"/>
  <c r="I1008" i="3"/>
  <c r="H1008" i="3"/>
  <c r="G1008" i="3"/>
  <c r="J1007" i="3"/>
  <c r="I1007" i="3"/>
  <c r="H1007" i="3"/>
  <c r="G1007" i="3"/>
  <c r="J1006" i="3"/>
  <c r="I1006" i="3"/>
  <c r="H1006" i="3"/>
  <c r="G1006" i="3"/>
  <c r="J1005" i="3"/>
  <c r="I1005" i="3"/>
  <c r="H1005" i="3"/>
  <c r="G1005" i="3"/>
  <c r="J1004" i="3"/>
  <c r="I1004" i="3"/>
  <c r="H1004" i="3"/>
  <c r="G1004" i="3"/>
  <c r="J1003" i="3"/>
  <c r="I1003" i="3"/>
  <c r="H1003" i="3"/>
  <c r="G1003" i="3"/>
  <c r="J1002" i="3"/>
  <c r="I1002" i="3"/>
  <c r="H1002" i="3"/>
  <c r="G1002" i="3"/>
  <c r="J1001" i="3"/>
  <c r="I1001" i="3"/>
  <c r="H1001" i="3"/>
  <c r="G1001" i="3"/>
  <c r="J1000" i="3"/>
  <c r="I1000" i="3"/>
  <c r="H1000" i="3"/>
  <c r="G1000" i="3"/>
  <c r="J999" i="3"/>
  <c r="I999" i="3"/>
  <c r="H999" i="3"/>
  <c r="G999" i="3"/>
  <c r="J998" i="3"/>
  <c r="I998" i="3"/>
  <c r="H998" i="3"/>
  <c r="G998" i="3"/>
  <c r="J997" i="3"/>
  <c r="I997" i="3"/>
  <c r="H997" i="3"/>
  <c r="G997" i="3"/>
  <c r="J996" i="3"/>
  <c r="I996" i="3"/>
  <c r="H996" i="3"/>
  <c r="G996" i="3"/>
  <c r="J995" i="3"/>
  <c r="I995" i="3"/>
  <c r="H995" i="3"/>
  <c r="G995" i="3"/>
  <c r="J994" i="3"/>
  <c r="I994" i="3"/>
  <c r="H994" i="3"/>
  <c r="G994" i="3"/>
  <c r="J993" i="3"/>
  <c r="I993" i="3"/>
  <c r="H993" i="3"/>
  <c r="G993" i="3"/>
  <c r="J992" i="3"/>
  <c r="I992" i="3"/>
  <c r="H992" i="3"/>
  <c r="G992" i="3"/>
  <c r="J991" i="3"/>
  <c r="I991" i="3"/>
  <c r="H991" i="3"/>
  <c r="G991" i="3"/>
  <c r="J990" i="3"/>
  <c r="I990" i="3"/>
  <c r="H990" i="3"/>
  <c r="G990" i="3"/>
  <c r="J989" i="3"/>
  <c r="I989" i="3"/>
  <c r="H989" i="3"/>
  <c r="G989" i="3"/>
  <c r="J988" i="3"/>
  <c r="I988" i="3"/>
  <c r="H988" i="3"/>
  <c r="G988" i="3"/>
  <c r="J987" i="3"/>
  <c r="I987" i="3"/>
  <c r="H987" i="3"/>
  <c r="G987" i="3"/>
  <c r="J986" i="3"/>
  <c r="I986" i="3"/>
  <c r="H986" i="3"/>
  <c r="G986" i="3"/>
  <c r="J985" i="3"/>
  <c r="I985" i="3"/>
  <c r="H985" i="3"/>
  <c r="G985" i="3"/>
  <c r="J984" i="3"/>
  <c r="I984" i="3"/>
  <c r="H984" i="3"/>
  <c r="G984" i="3"/>
  <c r="J983" i="3"/>
  <c r="I983" i="3"/>
  <c r="H983" i="3"/>
  <c r="G983" i="3"/>
  <c r="J982" i="3"/>
  <c r="I982" i="3"/>
  <c r="H982" i="3"/>
  <c r="G982" i="3"/>
  <c r="J981" i="3"/>
  <c r="I981" i="3"/>
  <c r="H981" i="3"/>
  <c r="G981" i="3"/>
  <c r="J980" i="3"/>
  <c r="I980" i="3"/>
  <c r="H980" i="3"/>
  <c r="G980" i="3"/>
  <c r="J979" i="3"/>
  <c r="I979" i="3"/>
  <c r="H979" i="3"/>
  <c r="G979" i="3"/>
  <c r="J978" i="3"/>
  <c r="I978" i="3"/>
  <c r="H978" i="3"/>
  <c r="G978" i="3"/>
  <c r="J977" i="3"/>
  <c r="I977" i="3"/>
  <c r="H977" i="3"/>
  <c r="G977" i="3"/>
  <c r="J976" i="3"/>
  <c r="I976" i="3"/>
  <c r="H976" i="3"/>
  <c r="G976" i="3"/>
  <c r="J975" i="3"/>
  <c r="I975" i="3"/>
  <c r="H975" i="3"/>
  <c r="G975" i="3"/>
  <c r="J974" i="3"/>
  <c r="I974" i="3"/>
  <c r="H974" i="3"/>
  <c r="G974" i="3"/>
  <c r="J973" i="3"/>
  <c r="I973" i="3"/>
  <c r="H973" i="3"/>
  <c r="G973" i="3"/>
  <c r="J972" i="3"/>
  <c r="I972" i="3"/>
  <c r="H972" i="3"/>
  <c r="G972" i="3"/>
  <c r="J971" i="3"/>
  <c r="I971" i="3"/>
  <c r="H971" i="3"/>
  <c r="G971" i="3"/>
  <c r="J970" i="3"/>
  <c r="I970" i="3"/>
  <c r="H970" i="3"/>
  <c r="G970" i="3"/>
  <c r="J969" i="3"/>
  <c r="I969" i="3"/>
  <c r="H969" i="3"/>
  <c r="G969" i="3"/>
  <c r="J968" i="3"/>
  <c r="I968" i="3"/>
  <c r="H968" i="3"/>
  <c r="G968" i="3"/>
  <c r="J967" i="3"/>
  <c r="I967" i="3"/>
  <c r="H967" i="3"/>
  <c r="G967" i="3"/>
  <c r="J966" i="3"/>
  <c r="I966" i="3"/>
  <c r="H966" i="3"/>
  <c r="G966" i="3"/>
  <c r="J965" i="3"/>
  <c r="I965" i="3"/>
  <c r="H965" i="3"/>
  <c r="G965" i="3"/>
  <c r="J964" i="3"/>
  <c r="I964" i="3"/>
  <c r="H964" i="3"/>
  <c r="G964" i="3"/>
  <c r="J963" i="3"/>
  <c r="I963" i="3"/>
  <c r="H963" i="3"/>
  <c r="G963" i="3"/>
  <c r="J962" i="3"/>
  <c r="I962" i="3"/>
  <c r="H962" i="3"/>
  <c r="G962" i="3"/>
  <c r="J961" i="3"/>
  <c r="I961" i="3"/>
  <c r="H961" i="3"/>
  <c r="G961" i="3"/>
  <c r="J960" i="3"/>
  <c r="I960" i="3"/>
  <c r="H960" i="3"/>
  <c r="G960" i="3"/>
  <c r="J959" i="3"/>
  <c r="I959" i="3"/>
  <c r="H959" i="3"/>
  <c r="G959" i="3"/>
  <c r="J958" i="3"/>
  <c r="I958" i="3"/>
  <c r="H958" i="3"/>
  <c r="G958" i="3"/>
  <c r="J957" i="3"/>
  <c r="I957" i="3"/>
  <c r="H957" i="3"/>
  <c r="G957" i="3"/>
  <c r="J956" i="3"/>
  <c r="I956" i="3"/>
  <c r="H956" i="3"/>
  <c r="G956" i="3"/>
  <c r="J955" i="3"/>
  <c r="I955" i="3"/>
  <c r="H955" i="3"/>
  <c r="G955" i="3"/>
  <c r="J954" i="3"/>
  <c r="I954" i="3"/>
  <c r="H954" i="3"/>
  <c r="G954" i="3"/>
  <c r="J953" i="3"/>
  <c r="I953" i="3"/>
  <c r="H953" i="3"/>
  <c r="G953" i="3"/>
  <c r="J952" i="3"/>
  <c r="I952" i="3"/>
  <c r="H952" i="3"/>
  <c r="G952" i="3"/>
  <c r="J951" i="3"/>
  <c r="I951" i="3"/>
  <c r="H951" i="3"/>
  <c r="G951" i="3"/>
  <c r="J950" i="3"/>
  <c r="I950" i="3"/>
  <c r="H950" i="3"/>
  <c r="G950" i="3"/>
  <c r="J949" i="3"/>
  <c r="I949" i="3"/>
  <c r="H949" i="3"/>
  <c r="G949" i="3"/>
  <c r="J948" i="3"/>
  <c r="I948" i="3"/>
  <c r="H948" i="3"/>
  <c r="G948" i="3"/>
  <c r="J947" i="3"/>
  <c r="I947" i="3"/>
  <c r="H947" i="3"/>
  <c r="G947" i="3"/>
  <c r="J946" i="3"/>
  <c r="I946" i="3"/>
  <c r="H946" i="3"/>
  <c r="G946" i="3"/>
  <c r="J945" i="3"/>
  <c r="I945" i="3"/>
  <c r="H945" i="3"/>
  <c r="G945" i="3"/>
  <c r="J944" i="3"/>
  <c r="I944" i="3"/>
  <c r="H944" i="3"/>
  <c r="G944" i="3"/>
  <c r="J943" i="3"/>
  <c r="I943" i="3"/>
  <c r="H943" i="3"/>
  <c r="G943" i="3"/>
  <c r="J942" i="3"/>
  <c r="I942" i="3"/>
  <c r="H942" i="3"/>
  <c r="G942" i="3"/>
  <c r="J941" i="3"/>
  <c r="I941" i="3"/>
  <c r="H941" i="3"/>
  <c r="G941" i="3"/>
  <c r="J940" i="3"/>
  <c r="I940" i="3"/>
  <c r="H940" i="3"/>
  <c r="G940" i="3"/>
  <c r="J939" i="3"/>
  <c r="I939" i="3"/>
  <c r="H939" i="3"/>
  <c r="G939" i="3"/>
  <c r="J938" i="3"/>
  <c r="I938" i="3"/>
  <c r="H938" i="3"/>
  <c r="G938" i="3"/>
  <c r="J937" i="3"/>
  <c r="I937" i="3"/>
  <c r="H937" i="3"/>
  <c r="G937" i="3"/>
  <c r="J936" i="3"/>
  <c r="I936" i="3"/>
  <c r="H936" i="3"/>
  <c r="G936" i="3"/>
  <c r="J935" i="3"/>
  <c r="I935" i="3"/>
  <c r="H935" i="3"/>
  <c r="G935" i="3"/>
  <c r="J934" i="3"/>
  <c r="I934" i="3"/>
  <c r="H934" i="3"/>
  <c r="G934" i="3"/>
  <c r="J933" i="3"/>
  <c r="I933" i="3"/>
  <c r="H933" i="3"/>
  <c r="G933" i="3"/>
  <c r="J932" i="3"/>
  <c r="I932" i="3"/>
  <c r="H932" i="3"/>
  <c r="G932" i="3"/>
  <c r="J931" i="3"/>
  <c r="I931" i="3"/>
  <c r="H931" i="3"/>
  <c r="G931" i="3"/>
  <c r="J930" i="3"/>
  <c r="I930" i="3"/>
  <c r="H930" i="3"/>
  <c r="G930" i="3"/>
  <c r="J929" i="3"/>
  <c r="I929" i="3"/>
  <c r="H929" i="3"/>
  <c r="G929" i="3"/>
  <c r="J928" i="3"/>
  <c r="I928" i="3"/>
  <c r="H928" i="3"/>
  <c r="G928" i="3"/>
  <c r="J927" i="3"/>
  <c r="I927" i="3"/>
  <c r="H927" i="3"/>
  <c r="G927" i="3"/>
  <c r="J926" i="3"/>
  <c r="I926" i="3"/>
  <c r="H926" i="3"/>
  <c r="G926" i="3"/>
  <c r="J925" i="3"/>
  <c r="I925" i="3"/>
  <c r="H925" i="3"/>
  <c r="G925" i="3"/>
  <c r="J924" i="3"/>
  <c r="I924" i="3"/>
  <c r="H924" i="3"/>
  <c r="G924" i="3"/>
  <c r="J923" i="3"/>
  <c r="I923" i="3"/>
  <c r="H923" i="3"/>
  <c r="G923" i="3"/>
  <c r="J922" i="3"/>
  <c r="I922" i="3"/>
  <c r="H922" i="3"/>
  <c r="G922" i="3"/>
  <c r="J921" i="3"/>
  <c r="I921" i="3"/>
  <c r="H921" i="3"/>
  <c r="G921" i="3"/>
  <c r="J920" i="3"/>
  <c r="I920" i="3"/>
  <c r="H920" i="3"/>
  <c r="G920" i="3"/>
  <c r="J919" i="3"/>
  <c r="I919" i="3"/>
  <c r="H919" i="3"/>
  <c r="G919" i="3"/>
  <c r="J918" i="3"/>
  <c r="I918" i="3"/>
  <c r="H918" i="3"/>
  <c r="G918" i="3"/>
  <c r="J917" i="3"/>
  <c r="I917" i="3"/>
  <c r="H917" i="3"/>
  <c r="G917" i="3"/>
  <c r="J916" i="3"/>
  <c r="I916" i="3"/>
  <c r="H916" i="3"/>
  <c r="G916" i="3"/>
  <c r="J915" i="3"/>
  <c r="I915" i="3"/>
  <c r="H915" i="3"/>
  <c r="G915" i="3"/>
  <c r="J914" i="3"/>
  <c r="I914" i="3"/>
  <c r="H914" i="3"/>
  <c r="G914" i="3"/>
  <c r="J913" i="3"/>
  <c r="I913" i="3"/>
  <c r="H913" i="3"/>
  <c r="G913" i="3"/>
  <c r="J912" i="3"/>
  <c r="I912" i="3"/>
  <c r="H912" i="3"/>
  <c r="G912" i="3"/>
  <c r="J911" i="3"/>
  <c r="I911" i="3"/>
  <c r="H911" i="3"/>
  <c r="G911" i="3"/>
  <c r="J910" i="3"/>
  <c r="I910" i="3"/>
  <c r="H910" i="3"/>
  <c r="G910" i="3"/>
  <c r="J909" i="3"/>
  <c r="I909" i="3"/>
  <c r="H909" i="3"/>
  <c r="G909" i="3"/>
  <c r="J908" i="3"/>
  <c r="I908" i="3"/>
  <c r="H908" i="3"/>
  <c r="G908" i="3"/>
  <c r="J907" i="3"/>
  <c r="I907" i="3"/>
  <c r="H907" i="3"/>
  <c r="G907" i="3"/>
  <c r="J906" i="3"/>
  <c r="I906" i="3"/>
  <c r="H906" i="3"/>
  <c r="G906" i="3"/>
  <c r="J905" i="3"/>
  <c r="I905" i="3"/>
  <c r="H905" i="3"/>
  <c r="G905" i="3"/>
  <c r="J904" i="3"/>
  <c r="I904" i="3"/>
  <c r="H904" i="3"/>
  <c r="G904" i="3"/>
  <c r="J903" i="3"/>
  <c r="I903" i="3"/>
  <c r="H903" i="3"/>
  <c r="G903" i="3"/>
  <c r="J902" i="3"/>
  <c r="I902" i="3"/>
  <c r="H902" i="3"/>
  <c r="G902" i="3"/>
  <c r="J901" i="3"/>
  <c r="I901" i="3"/>
  <c r="H901" i="3"/>
  <c r="G901" i="3"/>
  <c r="J900" i="3"/>
  <c r="I900" i="3"/>
  <c r="H900" i="3"/>
  <c r="G900" i="3"/>
  <c r="J899" i="3"/>
  <c r="I899" i="3"/>
  <c r="H899" i="3"/>
  <c r="G899" i="3"/>
  <c r="J898" i="3"/>
  <c r="I898" i="3"/>
  <c r="H898" i="3"/>
  <c r="G898" i="3"/>
  <c r="J897" i="3"/>
  <c r="I897" i="3"/>
  <c r="H897" i="3"/>
  <c r="G897" i="3"/>
  <c r="J896" i="3"/>
  <c r="I896" i="3"/>
  <c r="H896" i="3"/>
  <c r="G896" i="3"/>
  <c r="J895" i="3"/>
  <c r="I895" i="3"/>
  <c r="H895" i="3"/>
  <c r="G895" i="3"/>
  <c r="J894" i="3"/>
  <c r="I894" i="3"/>
  <c r="H894" i="3"/>
  <c r="G894" i="3"/>
  <c r="J893" i="3"/>
  <c r="I893" i="3"/>
  <c r="H893" i="3"/>
  <c r="G893" i="3"/>
  <c r="J892" i="3"/>
  <c r="I892" i="3"/>
  <c r="H892" i="3"/>
  <c r="G892" i="3"/>
  <c r="J891" i="3"/>
  <c r="I891" i="3"/>
  <c r="H891" i="3"/>
  <c r="G891" i="3"/>
  <c r="J890" i="3"/>
  <c r="I890" i="3"/>
  <c r="H890" i="3"/>
  <c r="G890" i="3"/>
  <c r="J889" i="3"/>
  <c r="I889" i="3"/>
  <c r="H889" i="3"/>
  <c r="G889" i="3"/>
  <c r="J888" i="3"/>
  <c r="I888" i="3"/>
  <c r="H888" i="3"/>
  <c r="G888" i="3"/>
  <c r="J887" i="3"/>
  <c r="I887" i="3"/>
  <c r="H887" i="3"/>
  <c r="G887" i="3"/>
  <c r="J886" i="3"/>
  <c r="I886" i="3"/>
  <c r="H886" i="3"/>
  <c r="G886" i="3"/>
  <c r="J885" i="3"/>
  <c r="I885" i="3"/>
  <c r="H885" i="3"/>
  <c r="G885" i="3"/>
  <c r="J884" i="3"/>
  <c r="I884" i="3"/>
  <c r="H884" i="3"/>
  <c r="G884" i="3"/>
  <c r="J883" i="3"/>
  <c r="I883" i="3"/>
  <c r="H883" i="3"/>
  <c r="G883" i="3"/>
  <c r="J882" i="3"/>
  <c r="I882" i="3"/>
  <c r="H882" i="3"/>
  <c r="G882" i="3"/>
  <c r="J881" i="3"/>
  <c r="I881" i="3"/>
  <c r="H881" i="3"/>
  <c r="G881" i="3"/>
  <c r="J880" i="3"/>
  <c r="I880" i="3"/>
  <c r="H880" i="3"/>
  <c r="G880" i="3"/>
  <c r="J879" i="3"/>
  <c r="I879" i="3"/>
  <c r="H879" i="3"/>
  <c r="G879" i="3"/>
  <c r="J878" i="3"/>
  <c r="I878" i="3"/>
  <c r="H878" i="3"/>
  <c r="G878" i="3"/>
  <c r="J877" i="3"/>
  <c r="I877" i="3"/>
  <c r="H877" i="3"/>
  <c r="G877" i="3"/>
  <c r="J876" i="3"/>
  <c r="I876" i="3"/>
  <c r="H876" i="3"/>
  <c r="G876" i="3"/>
  <c r="J875" i="3"/>
  <c r="I875" i="3"/>
  <c r="H875" i="3"/>
  <c r="G875" i="3"/>
  <c r="J874" i="3"/>
  <c r="I874" i="3"/>
  <c r="H874" i="3"/>
  <c r="G874" i="3"/>
  <c r="J873" i="3"/>
  <c r="I873" i="3"/>
  <c r="H873" i="3"/>
  <c r="G873" i="3"/>
  <c r="J872" i="3"/>
  <c r="I872" i="3"/>
  <c r="H872" i="3"/>
  <c r="G872" i="3"/>
  <c r="J871" i="3"/>
  <c r="I871" i="3"/>
  <c r="H871" i="3"/>
  <c r="G871" i="3"/>
  <c r="J870" i="3"/>
  <c r="I870" i="3"/>
  <c r="H870" i="3"/>
  <c r="G870" i="3"/>
  <c r="J869" i="3"/>
  <c r="I869" i="3"/>
  <c r="H869" i="3"/>
  <c r="G869" i="3"/>
  <c r="J868" i="3"/>
  <c r="I868" i="3"/>
  <c r="H868" i="3"/>
  <c r="G868" i="3"/>
  <c r="J867" i="3"/>
  <c r="I867" i="3"/>
  <c r="H867" i="3"/>
  <c r="G867" i="3"/>
  <c r="J866" i="3"/>
  <c r="I866" i="3"/>
  <c r="H866" i="3"/>
  <c r="G866" i="3"/>
  <c r="J865" i="3"/>
  <c r="I865" i="3"/>
  <c r="H865" i="3"/>
  <c r="G865" i="3"/>
  <c r="J864" i="3"/>
  <c r="I864" i="3"/>
  <c r="H864" i="3"/>
  <c r="G864" i="3"/>
  <c r="J863" i="3"/>
  <c r="I863" i="3"/>
  <c r="H863" i="3"/>
  <c r="G863" i="3"/>
  <c r="J862" i="3"/>
  <c r="I862" i="3"/>
  <c r="H862" i="3"/>
  <c r="G862" i="3"/>
  <c r="J861" i="3"/>
  <c r="I861" i="3"/>
  <c r="H861" i="3"/>
  <c r="G861" i="3"/>
  <c r="J860" i="3"/>
  <c r="I860" i="3"/>
  <c r="H860" i="3"/>
  <c r="G860" i="3"/>
  <c r="J859" i="3"/>
  <c r="I859" i="3"/>
  <c r="H859" i="3"/>
  <c r="G859" i="3"/>
  <c r="J858" i="3"/>
  <c r="I858" i="3"/>
  <c r="H858" i="3"/>
  <c r="G858" i="3"/>
  <c r="J857" i="3"/>
  <c r="I857" i="3"/>
  <c r="H857" i="3"/>
  <c r="G857" i="3"/>
  <c r="J856" i="3"/>
  <c r="I856" i="3"/>
  <c r="H856" i="3"/>
  <c r="G856" i="3"/>
  <c r="J855" i="3"/>
  <c r="I855" i="3"/>
  <c r="H855" i="3"/>
  <c r="G855" i="3"/>
  <c r="J854" i="3"/>
  <c r="I854" i="3"/>
  <c r="H854" i="3"/>
  <c r="G854" i="3"/>
  <c r="J853" i="3"/>
  <c r="I853" i="3"/>
  <c r="H853" i="3"/>
  <c r="G853" i="3"/>
  <c r="J852" i="3"/>
  <c r="I852" i="3"/>
  <c r="H852" i="3"/>
  <c r="G852" i="3"/>
  <c r="J851" i="3"/>
  <c r="I851" i="3"/>
  <c r="H851" i="3"/>
  <c r="G851" i="3"/>
  <c r="J850" i="3"/>
  <c r="I850" i="3"/>
  <c r="H850" i="3"/>
  <c r="G850" i="3"/>
  <c r="J849" i="3"/>
  <c r="I849" i="3"/>
  <c r="H849" i="3"/>
  <c r="G849" i="3"/>
  <c r="J848" i="3"/>
  <c r="I848" i="3"/>
  <c r="H848" i="3"/>
  <c r="G848" i="3"/>
  <c r="J847" i="3"/>
  <c r="I847" i="3"/>
  <c r="H847" i="3"/>
  <c r="G847" i="3"/>
  <c r="J846" i="3"/>
  <c r="I846" i="3"/>
  <c r="H846" i="3"/>
  <c r="G846" i="3"/>
  <c r="J845" i="3"/>
  <c r="I845" i="3"/>
  <c r="H845" i="3"/>
  <c r="G845" i="3"/>
  <c r="J844" i="3"/>
  <c r="I844" i="3"/>
  <c r="H844" i="3"/>
  <c r="G844" i="3"/>
  <c r="J843" i="3"/>
  <c r="I843" i="3"/>
  <c r="H843" i="3"/>
  <c r="G843" i="3"/>
  <c r="J842" i="3"/>
  <c r="I842" i="3"/>
  <c r="H842" i="3"/>
  <c r="G842" i="3"/>
  <c r="J841" i="3"/>
  <c r="I841" i="3"/>
  <c r="H841" i="3"/>
  <c r="G841" i="3"/>
  <c r="J840" i="3"/>
  <c r="I840" i="3"/>
  <c r="H840" i="3"/>
  <c r="G840" i="3"/>
  <c r="J839" i="3"/>
  <c r="I839" i="3"/>
  <c r="H839" i="3"/>
  <c r="G839" i="3"/>
  <c r="J838" i="3"/>
  <c r="I838" i="3"/>
  <c r="H838" i="3"/>
  <c r="G838" i="3"/>
  <c r="J837" i="3"/>
  <c r="I837" i="3"/>
  <c r="H837" i="3"/>
  <c r="G837" i="3"/>
  <c r="J836" i="3"/>
  <c r="I836" i="3"/>
  <c r="H836" i="3"/>
  <c r="G836" i="3"/>
  <c r="J835" i="3"/>
  <c r="I835" i="3"/>
  <c r="H835" i="3"/>
  <c r="G835" i="3"/>
  <c r="J834" i="3"/>
  <c r="I834" i="3"/>
  <c r="H834" i="3"/>
  <c r="G834" i="3"/>
  <c r="J833" i="3"/>
  <c r="I833" i="3"/>
  <c r="H833" i="3"/>
  <c r="G833" i="3"/>
  <c r="J832" i="3"/>
  <c r="I832" i="3"/>
  <c r="H832" i="3"/>
  <c r="G832" i="3"/>
  <c r="J831" i="3"/>
  <c r="I831" i="3"/>
  <c r="H831" i="3"/>
  <c r="G831" i="3"/>
  <c r="J830" i="3"/>
  <c r="I830" i="3"/>
  <c r="H830" i="3"/>
  <c r="G830" i="3"/>
  <c r="J829" i="3"/>
  <c r="I829" i="3"/>
  <c r="H829" i="3"/>
  <c r="G829" i="3"/>
  <c r="J828" i="3"/>
  <c r="I828" i="3"/>
  <c r="H828" i="3"/>
  <c r="G828" i="3"/>
  <c r="J827" i="3"/>
  <c r="I827" i="3"/>
  <c r="H827" i="3"/>
  <c r="G827" i="3"/>
  <c r="J826" i="3"/>
  <c r="I826" i="3"/>
  <c r="H826" i="3"/>
  <c r="G826" i="3"/>
  <c r="J825" i="3"/>
  <c r="I825" i="3"/>
  <c r="H825" i="3"/>
  <c r="G825" i="3"/>
  <c r="J824" i="3"/>
  <c r="I824" i="3"/>
  <c r="H824" i="3"/>
  <c r="G824" i="3"/>
  <c r="J823" i="3"/>
  <c r="I823" i="3"/>
  <c r="H823" i="3"/>
  <c r="G823" i="3"/>
  <c r="J822" i="3"/>
  <c r="I822" i="3"/>
  <c r="H822" i="3"/>
  <c r="G822" i="3"/>
  <c r="J821" i="3"/>
  <c r="I821" i="3"/>
  <c r="H821" i="3"/>
  <c r="G821" i="3"/>
  <c r="J820" i="3"/>
  <c r="I820" i="3"/>
  <c r="H820" i="3"/>
  <c r="G820" i="3"/>
  <c r="J819" i="3"/>
  <c r="I819" i="3"/>
  <c r="H819" i="3"/>
  <c r="G819" i="3"/>
  <c r="J818" i="3"/>
  <c r="I818" i="3"/>
  <c r="H818" i="3"/>
  <c r="G818" i="3"/>
  <c r="J817" i="3"/>
  <c r="I817" i="3"/>
  <c r="H817" i="3"/>
  <c r="G817" i="3"/>
  <c r="J816" i="3"/>
  <c r="I816" i="3"/>
  <c r="H816" i="3"/>
  <c r="G816" i="3"/>
  <c r="J815" i="3"/>
  <c r="I815" i="3"/>
  <c r="H815" i="3"/>
  <c r="G815" i="3"/>
  <c r="J814" i="3"/>
  <c r="I814" i="3"/>
  <c r="H814" i="3"/>
  <c r="G814" i="3"/>
  <c r="J813" i="3"/>
  <c r="I813" i="3"/>
  <c r="H813" i="3"/>
  <c r="G813" i="3"/>
  <c r="J812" i="3"/>
  <c r="I812" i="3"/>
  <c r="H812" i="3"/>
  <c r="G812" i="3"/>
  <c r="J811" i="3"/>
  <c r="I811" i="3"/>
  <c r="H811" i="3"/>
  <c r="G811" i="3"/>
  <c r="J810" i="3"/>
  <c r="I810" i="3"/>
  <c r="H810" i="3"/>
  <c r="G810" i="3"/>
  <c r="J809" i="3"/>
  <c r="I809" i="3"/>
  <c r="H809" i="3"/>
  <c r="G809" i="3"/>
  <c r="J808" i="3"/>
  <c r="I808" i="3"/>
  <c r="H808" i="3"/>
  <c r="G808" i="3"/>
  <c r="J807" i="3"/>
  <c r="I807" i="3"/>
  <c r="H807" i="3"/>
  <c r="G807" i="3"/>
  <c r="J806" i="3"/>
  <c r="I806" i="3"/>
  <c r="H806" i="3"/>
  <c r="G806" i="3"/>
  <c r="J805" i="3"/>
  <c r="I805" i="3"/>
  <c r="H805" i="3"/>
  <c r="G805" i="3"/>
  <c r="J804" i="3"/>
  <c r="I804" i="3"/>
  <c r="H804" i="3"/>
  <c r="G804" i="3"/>
  <c r="J803" i="3"/>
  <c r="I803" i="3"/>
  <c r="H803" i="3"/>
  <c r="G803" i="3"/>
  <c r="J802" i="3"/>
  <c r="I802" i="3"/>
  <c r="H802" i="3"/>
  <c r="G802" i="3"/>
  <c r="J801" i="3"/>
  <c r="I801" i="3"/>
  <c r="H801" i="3"/>
  <c r="G801" i="3"/>
  <c r="J800" i="3"/>
  <c r="I800" i="3"/>
  <c r="H800" i="3"/>
  <c r="G800" i="3"/>
  <c r="J799" i="3"/>
  <c r="I799" i="3"/>
  <c r="H799" i="3"/>
  <c r="G799" i="3"/>
  <c r="J798" i="3"/>
  <c r="I798" i="3"/>
  <c r="H798" i="3"/>
  <c r="G798" i="3"/>
  <c r="J797" i="3"/>
  <c r="I797" i="3"/>
  <c r="H797" i="3"/>
  <c r="G797" i="3"/>
  <c r="J796" i="3"/>
  <c r="I796" i="3"/>
  <c r="H796" i="3"/>
  <c r="G796" i="3"/>
  <c r="J795" i="3"/>
  <c r="I795" i="3"/>
  <c r="H795" i="3"/>
  <c r="G795" i="3"/>
  <c r="J794" i="3"/>
  <c r="I794" i="3"/>
  <c r="H794" i="3"/>
  <c r="G794" i="3"/>
  <c r="J793" i="3"/>
  <c r="I793" i="3"/>
  <c r="H793" i="3"/>
  <c r="G793" i="3"/>
  <c r="J792" i="3"/>
  <c r="I792" i="3"/>
  <c r="H792" i="3"/>
  <c r="G792" i="3"/>
  <c r="J791" i="3"/>
  <c r="I791" i="3"/>
  <c r="H791" i="3"/>
  <c r="G791" i="3"/>
  <c r="J790" i="3"/>
  <c r="I790" i="3"/>
  <c r="H790" i="3"/>
  <c r="G790" i="3"/>
  <c r="J789" i="3"/>
  <c r="I789" i="3"/>
  <c r="H789" i="3"/>
  <c r="G789" i="3"/>
  <c r="J788" i="3"/>
  <c r="I788" i="3"/>
  <c r="H788" i="3"/>
  <c r="G788" i="3"/>
  <c r="J787" i="3"/>
  <c r="I787" i="3"/>
  <c r="H787" i="3"/>
  <c r="G787" i="3"/>
  <c r="J786" i="3"/>
  <c r="I786" i="3"/>
  <c r="H786" i="3"/>
  <c r="G786" i="3"/>
  <c r="J785" i="3"/>
  <c r="I785" i="3"/>
  <c r="H785" i="3"/>
  <c r="G785" i="3"/>
  <c r="J784" i="3"/>
  <c r="I784" i="3"/>
  <c r="H784" i="3"/>
  <c r="G784" i="3"/>
  <c r="J783" i="3"/>
  <c r="I783" i="3"/>
  <c r="H783" i="3"/>
  <c r="G783" i="3"/>
  <c r="J782" i="3"/>
  <c r="I782" i="3"/>
  <c r="H782" i="3"/>
  <c r="G782" i="3"/>
  <c r="J781" i="3"/>
  <c r="I781" i="3"/>
  <c r="H781" i="3"/>
  <c r="G781" i="3"/>
  <c r="J780" i="3"/>
  <c r="I780" i="3"/>
  <c r="H780" i="3"/>
  <c r="G780" i="3"/>
  <c r="J779" i="3"/>
  <c r="I779" i="3"/>
  <c r="H779" i="3"/>
  <c r="G779" i="3"/>
  <c r="J778" i="3"/>
  <c r="I778" i="3"/>
  <c r="H778" i="3"/>
  <c r="G778" i="3"/>
  <c r="J777" i="3"/>
  <c r="I777" i="3"/>
  <c r="H777" i="3"/>
  <c r="G777" i="3"/>
  <c r="J776" i="3"/>
  <c r="I776" i="3"/>
  <c r="H776" i="3"/>
  <c r="G776" i="3"/>
  <c r="J775" i="3"/>
  <c r="I775" i="3"/>
  <c r="H775" i="3"/>
  <c r="G775" i="3"/>
  <c r="J774" i="3"/>
  <c r="I774" i="3"/>
  <c r="H774" i="3"/>
  <c r="G774" i="3"/>
  <c r="J773" i="3"/>
  <c r="I773" i="3"/>
  <c r="H773" i="3"/>
  <c r="G773" i="3"/>
  <c r="J772" i="3"/>
  <c r="I772" i="3"/>
  <c r="H772" i="3"/>
  <c r="G772" i="3"/>
  <c r="J771" i="3"/>
  <c r="I771" i="3"/>
  <c r="H771" i="3"/>
  <c r="G771" i="3"/>
  <c r="J770" i="3"/>
  <c r="I770" i="3"/>
  <c r="H770" i="3"/>
  <c r="G770" i="3"/>
  <c r="J769" i="3"/>
  <c r="I769" i="3"/>
  <c r="H769" i="3"/>
  <c r="G769" i="3"/>
  <c r="J768" i="3"/>
  <c r="I768" i="3"/>
  <c r="H768" i="3"/>
  <c r="G768" i="3"/>
  <c r="J767" i="3"/>
  <c r="I767" i="3"/>
  <c r="H767" i="3"/>
  <c r="G767" i="3"/>
  <c r="J766" i="3"/>
  <c r="I766" i="3"/>
  <c r="H766" i="3"/>
  <c r="G766" i="3"/>
  <c r="J765" i="3"/>
  <c r="I765" i="3"/>
  <c r="H765" i="3"/>
  <c r="G765" i="3"/>
  <c r="J764" i="3"/>
  <c r="I764" i="3"/>
  <c r="H764" i="3"/>
  <c r="G764" i="3"/>
  <c r="J763" i="3"/>
  <c r="I763" i="3"/>
  <c r="H763" i="3"/>
  <c r="G763" i="3"/>
  <c r="J762" i="3"/>
  <c r="I762" i="3"/>
  <c r="H762" i="3"/>
  <c r="G762" i="3"/>
  <c r="J761" i="3"/>
  <c r="I761" i="3"/>
  <c r="H761" i="3"/>
  <c r="G761" i="3"/>
  <c r="J760" i="3"/>
  <c r="I760" i="3"/>
  <c r="H760" i="3"/>
  <c r="G760" i="3"/>
  <c r="J759" i="3"/>
  <c r="I759" i="3"/>
  <c r="H759" i="3"/>
  <c r="G759" i="3"/>
  <c r="J758" i="3"/>
  <c r="I758" i="3"/>
  <c r="H758" i="3"/>
  <c r="G758" i="3"/>
  <c r="J757" i="3"/>
  <c r="I757" i="3"/>
  <c r="H757" i="3"/>
  <c r="G757" i="3"/>
  <c r="J756" i="3"/>
  <c r="I756" i="3"/>
  <c r="H756" i="3"/>
  <c r="G756" i="3"/>
  <c r="J755" i="3"/>
  <c r="I755" i="3"/>
  <c r="H755" i="3"/>
  <c r="G755" i="3"/>
  <c r="J754" i="3"/>
  <c r="I754" i="3"/>
  <c r="H754" i="3"/>
  <c r="G754" i="3"/>
  <c r="J753" i="3"/>
  <c r="I753" i="3"/>
  <c r="H753" i="3"/>
  <c r="G753" i="3"/>
  <c r="J752" i="3"/>
  <c r="I752" i="3"/>
  <c r="H752" i="3"/>
  <c r="G752" i="3"/>
  <c r="J751" i="3"/>
  <c r="I751" i="3"/>
  <c r="H751" i="3"/>
  <c r="G751" i="3"/>
  <c r="J750" i="3"/>
  <c r="I750" i="3"/>
  <c r="H750" i="3"/>
  <c r="G750" i="3"/>
  <c r="J749" i="3"/>
  <c r="I749" i="3"/>
  <c r="H749" i="3"/>
  <c r="G749" i="3"/>
  <c r="J748" i="3"/>
  <c r="I748" i="3"/>
  <c r="H748" i="3"/>
  <c r="G748" i="3"/>
  <c r="J747" i="3"/>
  <c r="I747" i="3"/>
  <c r="H747" i="3"/>
  <c r="G747" i="3"/>
  <c r="J746" i="3"/>
  <c r="I746" i="3"/>
  <c r="H746" i="3"/>
  <c r="G746" i="3"/>
  <c r="J745" i="3"/>
  <c r="I745" i="3"/>
  <c r="H745" i="3"/>
  <c r="G745" i="3"/>
  <c r="J744" i="3"/>
  <c r="I744" i="3"/>
  <c r="H744" i="3"/>
  <c r="G744" i="3"/>
  <c r="J743" i="3"/>
  <c r="I743" i="3"/>
  <c r="H743" i="3"/>
  <c r="G743" i="3"/>
  <c r="J742" i="3"/>
  <c r="I742" i="3"/>
  <c r="H742" i="3"/>
  <c r="G742" i="3"/>
  <c r="J741" i="3"/>
  <c r="I741" i="3"/>
  <c r="H741" i="3"/>
  <c r="G741" i="3"/>
  <c r="J740" i="3"/>
  <c r="I740" i="3"/>
  <c r="H740" i="3"/>
  <c r="G740" i="3"/>
  <c r="J739" i="3"/>
  <c r="I739" i="3"/>
  <c r="H739" i="3"/>
  <c r="G739" i="3"/>
  <c r="J738" i="3"/>
  <c r="I738" i="3"/>
  <c r="H738" i="3"/>
  <c r="G738" i="3"/>
  <c r="J737" i="3"/>
  <c r="I737" i="3"/>
  <c r="H737" i="3"/>
  <c r="G737" i="3"/>
  <c r="J736" i="3"/>
  <c r="I736" i="3"/>
  <c r="H736" i="3"/>
  <c r="G736" i="3"/>
  <c r="J735" i="3"/>
  <c r="I735" i="3"/>
  <c r="H735" i="3"/>
  <c r="G735" i="3"/>
  <c r="J734" i="3"/>
  <c r="I734" i="3"/>
  <c r="H734" i="3"/>
  <c r="G734" i="3"/>
  <c r="J733" i="3"/>
  <c r="I733" i="3"/>
  <c r="H733" i="3"/>
  <c r="G733" i="3"/>
  <c r="J732" i="3"/>
  <c r="I732" i="3"/>
  <c r="H732" i="3"/>
  <c r="G732" i="3"/>
  <c r="J731" i="3"/>
  <c r="I731" i="3"/>
  <c r="H731" i="3"/>
  <c r="G731" i="3"/>
  <c r="J730" i="3"/>
  <c r="I730" i="3"/>
  <c r="H730" i="3"/>
  <c r="G730" i="3"/>
  <c r="J729" i="3"/>
  <c r="I729" i="3"/>
  <c r="H729" i="3"/>
  <c r="G729" i="3"/>
  <c r="J728" i="3"/>
  <c r="I728" i="3"/>
  <c r="H728" i="3"/>
  <c r="G728" i="3"/>
  <c r="J727" i="3"/>
  <c r="I727" i="3"/>
  <c r="H727" i="3"/>
  <c r="G727" i="3"/>
  <c r="J726" i="3"/>
  <c r="I726" i="3"/>
  <c r="H726" i="3"/>
  <c r="G726" i="3"/>
  <c r="J725" i="3"/>
  <c r="I725" i="3"/>
  <c r="H725" i="3"/>
  <c r="G725" i="3"/>
  <c r="J724" i="3"/>
  <c r="I724" i="3"/>
  <c r="H724" i="3"/>
  <c r="G724" i="3"/>
  <c r="J723" i="3"/>
  <c r="I723" i="3"/>
  <c r="H723" i="3"/>
  <c r="G723" i="3"/>
  <c r="J722" i="3"/>
  <c r="I722" i="3"/>
  <c r="H722" i="3"/>
  <c r="G722" i="3"/>
  <c r="J721" i="3"/>
  <c r="I721" i="3"/>
  <c r="H721" i="3"/>
  <c r="G721" i="3"/>
  <c r="J720" i="3"/>
  <c r="I720" i="3"/>
  <c r="H720" i="3"/>
  <c r="G720" i="3"/>
  <c r="J719" i="3"/>
  <c r="I719" i="3"/>
  <c r="H719" i="3"/>
  <c r="G719" i="3"/>
  <c r="J718" i="3"/>
  <c r="I718" i="3"/>
  <c r="H718" i="3"/>
  <c r="G718" i="3"/>
  <c r="J717" i="3"/>
  <c r="I717" i="3"/>
  <c r="H717" i="3"/>
  <c r="G717" i="3"/>
  <c r="J716" i="3"/>
  <c r="I716" i="3"/>
  <c r="H716" i="3"/>
  <c r="G716" i="3"/>
  <c r="J715" i="3"/>
  <c r="I715" i="3"/>
  <c r="H715" i="3"/>
  <c r="G715" i="3"/>
  <c r="J714" i="3"/>
  <c r="I714" i="3"/>
  <c r="H714" i="3"/>
  <c r="G714" i="3"/>
  <c r="J713" i="3"/>
  <c r="I713" i="3"/>
  <c r="H713" i="3"/>
  <c r="G713" i="3"/>
  <c r="J712" i="3"/>
  <c r="I712" i="3"/>
  <c r="H712" i="3"/>
  <c r="G712" i="3"/>
  <c r="J711" i="3"/>
  <c r="I711" i="3"/>
  <c r="H711" i="3"/>
  <c r="G711" i="3"/>
  <c r="J710" i="3"/>
  <c r="I710" i="3"/>
  <c r="H710" i="3"/>
  <c r="G710" i="3"/>
  <c r="J709" i="3"/>
  <c r="I709" i="3"/>
  <c r="H709" i="3"/>
  <c r="G709" i="3"/>
  <c r="J708" i="3"/>
  <c r="I708" i="3"/>
  <c r="H708" i="3"/>
  <c r="G708" i="3"/>
  <c r="J707" i="3"/>
  <c r="I707" i="3"/>
  <c r="H707" i="3"/>
  <c r="G707" i="3"/>
  <c r="J706" i="3"/>
  <c r="I706" i="3"/>
  <c r="H706" i="3"/>
  <c r="G706" i="3"/>
  <c r="J705" i="3"/>
  <c r="I705" i="3"/>
  <c r="H705" i="3"/>
  <c r="G705" i="3"/>
  <c r="J704" i="3"/>
  <c r="I704" i="3"/>
  <c r="H704" i="3"/>
  <c r="G704" i="3"/>
  <c r="J703" i="3"/>
  <c r="I703" i="3"/>
  <c r="H703" i="3"/>
  <c r="G703" i="3"/>
  <c r="J702" i="3"/>
  <c r="I702" i="3"/>
  <c r="H702" i="3"/>
  <c r="G702" i="3"/>
  <c r="J701" i="3"/>
  <c r="I701" i="3"/>
  <c r="H701" i="3"/>
  <c r="G701" i="3"/>
  <c r="J700" i="3"/>
  <c r="I700" i="3"/>
  <c r="H700" i="3"/>
  <c r="G700" i="3"/>
  <c r="J699" i="3"/>
  <c r="I699" i="3"/>
  <c r="H699" i="3"/>
  <c r="G699" i="3"/>
  <c r="J698" i="3"/>
  <c r="I698" i="3"/>
  <c r="H698" i="3"/>
  <c r="G698" i="3"/>
  <c r="J697" i="3"/>
  <c r="I697" i="3"/>
  <c r="H697" i="3"/>
  <c r="G697" i="3"/>
  <c r="J696" i="3"/>
  <c r="I696" i="3"/>
  <c r="H696" i="3"/>
  <c r="G696" i="3"/>
  <c r="J695" i="3"/>
  <c r="I695" i="3"/>
  <c r="H695" i="3"/>
  <c r="G695" i="3"/>
  <c r="J694" i="3"/>
  <c r="I694" i="3"/>
  <c r="H694" i="3"/>
  <c r="G694" i="3"/>
  <c r="J693" i="3"/>
  <c r="I693" i="3"/>
  <c r="H693" i="3"/>
  <c r="G693" i="3"/>
  <c r="J692" i="3"/>
  <c r="I692" i="3"/>
  <c r="H692" i="3"/>
  <c r="G692" i="3"/>
  <c r="J691" i="3"/>
  <c r="I691" i="3"/>
  <c r="H691" i="3"/>
  <c r="G691" i="3"/>
  <c r="J690" i="3"/>
  <c r="I690" i="3"/>
  <c r="H690" i="3"/>
  <c r="G690" i="3"/>
  <c r="J689" i="3"/>
  <c r="I689" i="3"/>
  <c r="H689" i="3"/>
  <c r="G689" i="3"/>
  <c r="J688" i="3"/>
  <c r="I688" i="3"/>
  <c r="H688" i="3"/>
  <c r="G688" i="3"/>
  <c r="J687" i="3"/>
  <c r="I687" i="3"/>
  <c r="H687" i="3"/>
  <c r="G687" i="3"/>
  <c r="J686" i="3"/>
  <c r="I686" i="3"/>
  <c r="H686" i="3"/>
  <c r="G686" i="3"/>
  <c r="J685" i="3"/>
  <c r="I685" i="3"/>
  <c r="H685" i="3"/>
  <c r="G685" i="3"/>
  <c r="J684" i="3"/>
  <c r="I684" i="3"/>
  <c r="H684" i="3"/>
  <c r="G684" i="3"/>
  <c r="J683" i="3"/>
  <c r="I683" i="3"/>
  <c r="H683" i="3"/>
  <c r="G683" i="3"/>
  <c r="J682" i="3"/>
  <c r="I682" i="3"/>
  <c r="H682" i="3"/>
  <c r="G682" i="3"/>
  <c r="J681" i="3"/>
  <c r="I681" i="3"/>
  <c r="H681" i="3"/>
  <c r="G681" i="3"/>
  <c r="J680" i="3"/>
  <c r="I680" i="3"/>
  <c r="H680" i="3"/>
  <c r="G680" i="3"/>
  <c r="J679" i="3"/>
  <c r="I679" i="3"/>
  <c r="H679" i="3"/>
  <c r="G679" i="3"/>
  <c r="J678" i="3"/>
  <c r="I678" i="3"/>
  <c r="H678" i="3"/>
  <c r="G678" i="3"/>
  <c r="J677" i="3"/>
  <c r="I677" i="3"/>
  <c r="H677" i="3"/>
  <c r="G677" i="3"/>
  <c r="J676" i="3"/>
  <c r="I676" i="3"/>
  <c r="H676" i="3"/>
  <c r="G676" i="3"/>
  <c r="J675" i="3"/>
  <c r="I675" i="3"/>
  <c r="H675" i="3"/>
  <c r="G675" i="3"/>
  <c r="J674" i="3"/>
  <c r="I674" i="3"/>
  <c r="H674" i="3"/>
  <c r="G674" i="3"/>
  <c r="J673" i="3"/>
  <c r="I673" i="3"/>
  <c r="H673" i="3"/>
  <c r="G673" i="3"/>
  <c r="J672" i="3"/>
  <c r="I672" i="3"/>
  <c r="H672" i="3"/>
  <c r="G672" i="3"/>
  <c r="J671" i="3"/>
  <c r="I671" i="3"/>
  <c r="H671" i="3"/>
  <c r="G671" i="3"/>
  <c r="J670" i="3"/>
  <c r="I670" i="3"/>
  <c r="H670" i="3"/>
  <c r="G670" i="3"/>
  <c r="J669" i="3"/>
  <c r="I669" i="3"/>
  <c r="H669" i="3"/>
  <c r="G669" i="3"/>
  <c r="J668" i="3"/>
  <c r="I668" i="3"/>
  <c r="H668" i="3"/>
  <c r="G668" i="3"/>
  <c r="J667" i="3"/>
  <c r="I667" i="3"/>
  <c r="H667" i="3"/>
  <c r="G667" i="3"/>
  <c r="J666" i="3"/>
  <c r="I666" i="3"/>
  <c r="H666" i="3"/>
  <c r="G666" i="3"/>
  <c r="J665" i="3"/>
  <c r="I665" i="3"/>
  <c r="H665" i="3"/>
  <c r="G665" i="3"/>
  <c r="J664" i="3"/>
  <c r="I664" i="3"/>
  <c r="H664" i="3"/>
  <c r="G664" i="3"/>
  <c r="J663" i="3"/>
  <c r="I663" i="3"/>
  <c r="H663" i="3"/>
  <c r="G663" i="3"/>
  <c r="J662" i="3"/>
  <c r="I662" i="3"/>
  <c r="H662" i="3"/>
  <c r="G662" i="3"/>
  <c r="J661" i="3"/>
  <c r="I661" i="3"/>
  <c r="H661" i="3"/>
  <c r="G661" i="3"/>
  <c r="J660" i="3"/>
  <c r="I660" i="3"/>
  <c r="H660" i="3"/>
  <c r="G660" i="3"/>
  <c r="J659" i="3"/>
  <c r="I659" i="3"/>
  <c r="H659" i="3"/>
  <c r="G659" i="3"/>
  <c r="J658" i="3"/>
  <c r="I658" i="3"/>
  <c r="H658" i="3"/>
  <c r="G658" i="3"/>
  <c r="J657" i="3"/>
  <c r="I657" i="3"/>
  <c r="H657" i="3"/>
  <c r="G657" i="3"/>
  <c r="J656" i="3"/>
  <c r="I656" i="3"/>
  <c r="H656" i="3"/>
  <c r="G656" i="3"/>
  <c r="J655" i="3"/>
  <c r="I655" i="3"/>
  <c r="H655" i="3"/>
  <c r="G655" i="3"/>
  <c r="J654" i="3"/>
  <c r="I654" i="3"/>
  <c r="H654" i="3"/>
  <c r="G654" i="3"/>
  <c r="J653" i="3"/>
  <c r="I653" i="3"/>
  <c r="H653" i="3"/>
  <c r="G653" i="3"/>
  <c r="J652" i="3"/>
  <c r="I652" i="3"/>
  <c r="H652" i="3"/>
  <c r="G652" i="3"/>
  <c r="J651" i="3"/>
  <c r="I651" i="3"/>
  <c r="H651" i="3"/>
  <c r="G651" i="3"/>
  <c r="J650" i="3"/>
  <c r="I650" i="3"/>
  <c r="H650" i="3"/>
  <c r="G650" i="3"/>
  <c r="J649" i="3"/>
  <c r="I649" i="3"/>
  <c r="H649" i="3"/>
  <c r="G649" i="3"/>
  <c r="J648" i="3"/>
  <c r="I648" i="3"/>
  <c r="H648" i="3"/>
  <c r="G648" i="3"/>
  <c r="J647" i="3"/>
  <c r="I647" i="3"/>
  <c r="H647" i="3"/>
  <c r="G647" i="3"/>
  <c r="J646" i="3"/>
  <c r="I646" i="3"/>
  <c r="H646" i="3"/>
  <c r="G646" i="3"/>
  <c r="J645" i="3"/>
  <c r="I645" i="3"/>
  <c r="H645" i="3"/>
  <c r="G645" i="3"/>
  <c r="J644" i="3"/>
  <c r="I644" i="3"/>
  <c r="H644" i="3"/>
  <c r="G644" i="3"/>
  <c r="J643" i="3"/>
  <c r="I643" i="3"/>
  <c r="H643" i="3"/>
  <c r="G643" i="3"/>
  <c r="J642" i="3"/>
  <c r="I642" i="3"/>
  <c r="H642" i="3"/>
  <c r="G642" i="3"/>
  <c r="J641" i="3"/>
  <c r="I641" i="3"/>
  <c r="H641" i="3"/>
  <c r="G641" i="3"/>
  <c r="J640" i="3"/>
  <c r="I640" i="3"/>
  <c r="H640" i="3"/>
  <c r="G640" i="3"/>
  <c r="J639" i="3"/>
  <c r="I639" i="3"/>
  <c r="H639" i="3"/>
  <c r="G639" i="3"/>
  <c r="J638" i="3"/>
  <c r="I638" i="3"/>
  <c r="H638" i="3"/>
  <c r="G638" i="3"/>
  <c r="J637" i="3"/>
  <c r="I637" i="3"/>
  <c r="H637" i="3"/>
  <c r="G637" i="3"/>
  <c r="J636" i="3"/>
  <c r="I636" i="3"/>
  <c r="H636" i="3"/>
  <c r="G636" i="3"/>
  <c r="J635" i="3"/>
  <c r="I635" i="3"/>
  <c r="H635" i="3"/>
  <c r="G635" i="3"/>
  <c r="J634" i="3"/>
  <c r="I634" i="3"/>
  <c r="H634" i="3"/>
  <c r="G634" i="3"/>
  <c r="J633" i="3"/>
  <c r="I633" i="3"/>
  <c r="H633" i="3"/>
  <c r="G633" i="3"/>
  <c r="J632" i="3"/>
  <c r="I632" i="3"/>
  <c r="H632" i="3"/>
  <c r="G632" i="3"/>
  <c r="J631" i="3"/>
  <c r="I631" i="3"/>
  <c r="H631" i="3"/>
  <c r="G631" i="3"/>
  <c r="J630" i="3"/>
  <c r="I630" i="3"/>
  <c r="H630" i="3"/>
  <c r="G630" i="3"/>
  <c r="J629" i="3"/>
  <c r="I629" i="3"/>
  <c r="H629" i="3"/>
  <c r="G629" i="3"/>
  <c r="J628" i="3"/>
  <c r="I628" i="3"/>
  <c r="H628" i="3"/>
  <c r="G628" i="3"/>
  <c r="J627" i="3"/>
  <c r="I627" i="3"/>
  <c r="H627" i="3"/>
  <c r="G627" i="3"/>
  <c r="J626" i="3"/>
  <c r="I626" i="3"/>
  <c r="H626" i="3"/>
  <c r="G626" i="3"/>
  <c r="J625" i="3"/>
  <c r="I625" i="3"/>
  <c r="H625" i="3"/>
  <c r="G625" i="3"/>
  <c r="J624" i="3"/>
  <c r="I624" i="3"/>
  <c r="H624" i="3"/>
  <c r="G624" i="3"/>
  <c r="J623" i="3"/>
  <c r="I623" i="3"/>
  <c r="H623" i="3"/>
  <c r="G623" i="3"/>
  <c r="J622" i="3"/>
  <c r="I622" i="3"/>
  <c r="H622" i="3"/>
  <c r="G622" i="3"/>
  <c r="J621" i="3"/>
  <c r="I621" i="3"/>
  <c r="H621" i="3"/>
  <c r="G621" i="3"/>
  <c r="J620" i="3"/>
  <c r="I620" i="3"/>
  <c r="H620" i="3"/>
  <c r="G620" i="3"/>
  <c r="J619" i="3"/>
  <c r="I619" i="3"/>
  <c r="H619" i="3"/>
  <c r="G619" i="3"/>
  <c r="J618" i="3"/>
  <c r="I618" i="3"/>
  <c r="H618" i="3"/>
  <c r="G618" i="3"/>
  <c r="J617" i="3"/>
  <c r="I617" i="3"/>
  <c r="H617" i="3"/>
  <c r="G617" i="3"/>
  <c r="J616" i="3"/>
  <c r="I616" i="3"/>
  <c r="H616" i="3"/>
  <c r="G616" i="3"/>
  <c r="J615" i="3"/>
  <c r="I615" i="3"/>
  <c r="H615" i="3"/>
  <c r="G615" i="3"/>
  <c r="J614" i="3"/>
  <c r="I614" i="3"/>
  <c r="H614" i="3"/>
  <c r="G614" i="3"/>
  <c r="J613" i="3"/>
  <c r="I613" i="3"/>
  <c r="H613" i="3"/>
  <c r="G613" i="3"/>
  <c r="J612" i="3"/>
  <c r="I612" i="3"/>
  <c r="H612" i="3"/>
  <c r="G612" i="3"/>
  <c r="J611" i="3"/>
  <c r="I611" i="3"/>
  <c r="H611" i="3"/>
  <c r="G611" i="3"/>
  <c r="J610" i="3"/>
  <c r="I610" i="3"/>
  <c r="H610" i="3"/>
  <c r="G610" i="3"/>
  <c r="J609" i="3"/>
  <c r="I609" i="3"/>
  <c r="H609" i="3"/>
  <c r="G609" i="3"/>
  <c r="J608" i="3"/>
  <c r="I608" i="3"/>
  <c r="H608" i="3"/>
  <c r="G608" i="3"/>
  <c r="J607" i="3"/>
  <c r="I607" i="3"/>
  <c r="H607" i="3"/>
  <c r="G607" i="3"/>
  <c r="J606" i="3"/>
  <c r="I606" i="3"/>
  <c r="H606" i="3"/>
  <c r="G606" i="3"/>
  <c r="J605" i="3"/>
  <c r="I605" i="3"/>
  <c r="H605" i="3"/>
  <c r="G605" i="3"/>
  <c r="J604" i="3"/>
  <c r="I604" i="3"/>
  <c r="H604" i="3"/>
  <c r="G604" i="3"/>
  <c r="J603" i="3"/>
  <c r="I603" i="3"/>
  <c r="H603" i="3"/>
  <c r="G603" i="3"/>
  <c r="J602" i="3"/>
  <c r="I602" i="3"/>
  <c r="H602" i="3"/>
  <c r="G602" i="3"/>
  <c r="J601" i="3"/>
  <c r="I601" i="3"/>
  <c r="H601" i="3"/>
  <c r="G601" i="3"/>
  <c r="J600" i="3"/>
  <c r="I600" i="3"/>
  <c r="H600" i="3"/>
  <c r="G600" i="3"/>
  <c r="J599" i="3"/>
  <c r="I599" i="3"/>
  <c r="H599" i="3"/>
  <c r="G599" i="3"/>
  <c r="J598" i="3"/>
  <c r="I598" i="3"/>
  <c r="H598" i="3"/>
  <c r="G598" i="3"/>
  <c r="J597" i="3"/>
  <c r="I597" i="3"/>
  <c r="H597" i="3"/>
  <c r="G597" i="3"/>
  <c r="J596" i="3"/>
  <c r="I596" i="3"/>
  <c r="H596" i="3"/>
  <c r="G596" i="3"/>
  <c r="J595" i="3"/>
  <c r="I595" i="3"/>
  <c r="H595" i="3"/>
  <c r="G595" i="3"/>
  <c r="J594" i="3"/>
  <c r="I594" i="3"/>
  <c r="H594" i="3"/>
  <c r="G594" i="3"/>
  <c r="J593" i="3"/>
  <c r="I593" i="3"/>
  <c r="H593" i="3"/>
  <c r="G593" i="3"/>
  <c r="J592" i="3"/>
  <c r="I592" i="3"/>
  <c r="H592" i="3"/>
  <c r="G592" i="3"/>
  <c r="J591" i="3"/>
  <c r="I591" i="3"/>
  <c r="H591" i="3"/>
  <c r="G591" i="3"/>
  <c r="J590" i="3"/>
  <c r="I590" i="3"/>
  <c r="H590" i="3"/>
  <c r="G590" i="3"/>
  <c r="J589" i="3"/>
  <c r="I589" i="3"/>
  <c r="H589" i="3"/>
  <c r="G589" i="3"/>
  <c r="J588" i="3"/>
  <c r="I588" i="3"/>
  <c r="H588" i="3"/>
  <c r="G588" i="3"/>
  <c r="J587" i="3"/>
  <c r="I587" i="3"/>
  <c r="H587" i="3"/>
  <c r="G587" i="3"/>
  <c r="J586" i="3"/>
  <c r="I586" i="3"/>
  <c r="H586" i="3"/>
  <c r="G586" i="3"/>
  <c r="J585" i="3"/>
  <c r="I585" i="3"/>
  <c r="H585" i="3"/>
  <c r="G585" i="3"/>
  <c r="J584" i="3"/>
  <c r="I584" i="3"/>
  <c r="H584" i="3"/>
  <c r="G584" i="3"/>
  <c r="J583" i="3"/>
  <c r="I583" i="3"/>
  <c r="H583" i="3"/>
  <c r="G583" i="3"/>
  <c r="J582" i="3"/>
  <c r="I582" i="3"/>
  <c r="H582" i="3"/>
  <c r="G582" i="3"/>
  <c r="J581" i="3"/>
  <c r="I581" i="3"/>
  <c r="H581" i="3"/>
  <c r="G581" i="3"/>
  <c r="J580" i="3"/>
  <c r="I580" i="3"/>
  <c r="H580" i="3"/>
  <c r="G580" i="3"/>
  <c r="J579" i="3"/>
  <c r="I579" i="3"/>
  <c r="H579" i="3"/>
  <c r="G579" i="3"/>
  <c r="J578" i="3"/>
  <c r="I578" i="3"/>
  <c r="H578" i="3"/>
  <c r="G578" i="3"/>
  <c r="J577" i="3"/>
  <c r="I577" i="3"/>
  <c r="H577" i="3"/>
  <c r="G577" i="3"/>
  <c r="J576" i="3"/>
  <c r="I576" i="3"/>
  <c r="H576" i="3"/>
  <c r="G576" i="3"/>
  <c r="J575" i="3"/>
  <c r="I575" i="3"/>
  <c r="H575" i="3"/>
  <c r="G575" i="3"/>
  <c r="J574" i="3"/>
  <c r="I574" i="3"/>
  <c r="H574" i="3"/>
  <c r="G574" i="3"/>
  <c r="J573" i="3"/>
  <c r="I573" i="3"/>
  <c r="H573" i="3"/>
  <c r="G573" i="3"/>
  <c r="J572" i="3"/>
  <c r="I572" i="3"/>
  <c r="H572" i="3"/>
  <c r="G572" i="3"/>
  <c r="J571" i="3"/>
  <c r="I571" i="3"/>
  <c r="H571" i="3"/>
  <c r="G571" i="3"/>
  <c r="J570" i="3"/>
  <c r="I570" i="3"/>
  <c r="H570" i="3"/>
  <c r="G570" i="3"/>
  <c r="J569" i="3"/>
  <c r="I569" i="3"/>
  <c r="H569" i="3"/>
  <c r="G569" i="3"/>
  <c r="J568" i="3"/>
  <c r="I568" i="3"/>
  <c r="H568" i="3"/>
  <c r="G568" i="3"/>
  <c r="J567" i="3"/>
  <c r="I567" i="3"/>
  <c r="H567" i="3"/>
  <c r="G567" i="3"/>
  <c r="J566" i="3"/>
  <c r="I566" i="3"/>
  <c r="H566" i="3"/>
  <c r="G566" i="3"/>
  <c r="J565" i="3"/>
  <c r="I565" i="3"/>
  <c r="H565" i="3"/>
  <c r="G565" i="3"/>
  <c r="J564" i="3"/>
  <c r="I564" i="3"/>
  <c r="H564" i="3"/>
  <c r="G564" i="3"/>
  <c r="J563" i="3"/>
  <c r="I563" i="3"/>
  <c r="H563" i="3"/>
  <c r="G563" i="3"/>
  <c r="J562" i="3"/>
  <c r="I562" i="3"/>
  <c r="H562" i="3"/>
  <c r="G562" i="3"/>
  <c r="J561" i="3"/>
  <c r="I561" i="3"/>
  <c r="H561" i="3"/>
  <c r="G561" i="3"/>
  <c r="J560" i="3"/>
  <c r="I560" i="3"/>
  <c r="H560" i="3"/>
  <c r="G560" i="3"/>
  <c r="J559" i="3"/>
  <c r="I559" i="3"/>
  <c r="H559" i="3"/>
  <c r="G559" i="3"/>
  <c r="J558" i="3"/>
  <c r="I558" i="3"/>
  <c r="H558" i="3"/>
  <c r="G558" i="3"/>
  <c r="J557" i="3"/>
  <c r="I557" i="3"/>
  <c r="H557" i="3"/>
  <c r="G557" i="3"/>
  <c r="J556" i="3"/>
  <c r="I556" i="3"/>
  <c r="H556" i="3"/>
  <c r="G556" i="3"/>
  <c r="J555" i="3"/>
  <c r="I555" i="3"/>
  <c r="H555" i="3"/>
  <c r="G555" i="3"/>
  <c r="J554" i="3"/>
  <c r="I554" i="3"/>
  <c r="H554" i="3"/>
  <c r="G554" i="3"/>
  <c r="J553" i="3"/>
  <c r="I553" i="3"/>
  <c r="H553" i="3"/>
  <c r="G553" i="3"/>
  <c r="J552" i="3"/>
  <c r="I552" i="3"/>
  <c r="H552" i="3"/>
  <c r="G552" i="3"/>
  <c r="J551" i="3"/>
  <c r="I551" i="3"/>
  <c r="H551" i="3"/>
  <c r="G551" i="3"/>
  <c r="J550" i="3"/>
  <c r="I550" i="3"/>
  <c r="H550" i="3"/>
  <c r="G550" i="3"/>
  <c r="J549" i="3"/>
  <c r="I549" i="3"/>
  <c r="H549" i="3"/>
  <c r="G549" i="3"/>
  <c r="J548" i="3"/>
  <c r="I548" i="3"/>
  <c r="H548" i="3"/>
  <c r="G548" i="3"/>
  <c r="J547" i="3"/>
  <c r="I547" i="3"/>
  <c r="H547" i="3"/>
  <c r="G547" i="3"/>
  <c r="J546" i="3"/>
  <c r="I546" i="3"/>
  <c r="H546" i="3"/>
  <c r="G546" i="3"/>
  <c r="J545" i="3"/>
  <c r="I545" i="3"/>
  <c r="H545" i="3"/>
  <c r="G545" i="3"/>
  <c r="J544" i="3"/>
  <c r="I544" i="3"/>
  <c r="H544" i="3"/>
  <c r="G544" i="3"/>
  <c r="J543" i="3"/>
  <c r="I543" i="3"/>
  <c r="H543" i="3"/>
  <c r="G543" i="3"/>
  <c r="J542" i="3"/>
  <c r="I542" i="3"/>
  <c r="H542" i="3"/>
  <c r="G542" i="3"/>
  <c r="J541" i="3"/>
  <c r="I541" i="3"/>
  <c r="H541" i="3"/>
  <c r="G541" i="3"/>
  <c r="J540" i="3"/>
  <c r="I540" i="3"/>
  <c r="H540" i="3"/>
  <c r="G540" i="3"/>
  <c r="J539" i="3"/>
  <c r="I539" i="3"/>
  <c r="H539" i="3"/>
  <c r="G539" i="3"/>
  <c r="J538" i="3"/>
  <c r="I538" i="3"/>
  <c r="H538" i="3"/>
  <c r="G538" i="3"/>
  <c r="J537" i="3"/>
  <c r="I537" i="3"/>
  <c r="H537" i="3"/>
  <c r="G537" i="3"/>
  <c r="J536" i="3"/>
  <c r="I536" i="3"/>
  <c r="H536" i="3"/>
  <c r="G536" i="3"/>
  <c r="J535" i="3"/>
  <c r="I535" i="3"/>
  <c r="H535" i="3"/>
  <c r="G535" i="3"/>
  <c r="J534" i="3"/>
  <c r="I534" i="3"/>
  <c r="H534" i="3"/>
  <c r="G534" i="3"/>
  <c r="J533" i="3"/>
  <c r="I533" i="3"/>
  <c r="H533" i="3"/>
  <c r="G533" i="3"/>
  <c r="J532" i="3"/>
  <c r="I532" i="3"/>
  <c r="H532" i="3"/>
  <c r="G532" i="3"/>
  <c r="J531" i="3"/>
  <c r="I531" i="3"/>
  <c r="H531" i="3"/>
  <c r="G531" i="3"/>
  <c r="J530" i="3"/>
  <c r="I530" i="3"/>
  <c r="H530" i="3"/>
  <c r="G530" i="3"/>
  <c r="J529" i="3"/>
  <c r="I529" i="3"/>
  <c r="H529" i="3"/>
  <c r="G529" i="3"/>
  <c r="J528" i="3"/>
  <c r="I528" i="3"/>
  <c r="H528" i="3"/>
  <c r="G528" i="3"/>
  <c r="J527" i="3"/>
  <c r="I527" i="3"/>
  <c r="H527" i="3"/>
  <c r="G527" i="3"/>
  <c r="J526" i="3"/>
  <c r="I526" i="3"/>
  <c r="H526" i="3"/>
  <c r="G526" i="3"/>
  <c r="J525" i="3"/>
  <c r="I525" i="3"/>
  <c r="H525" i="3"/>
  <c r="G525" i="3"/>
  <c r="J524" i="3"/>
  <c r="I524" i="3"/>
  <c r="H524" i="3"/>
  <c r="G524" i="3"/>
  <c r="J523" i="3"/>
  <c r="I523" i="3"/>
  <c r="H523" i="3"/>
  <c r="G523" i="3"/>
  <c r="J522" i="3"/>
  <c r="I522" i="3"/>
  <c r="H522" i="3"/>
  <c r="G522" i="3"/>
  <c r="J521" i="3"/>
  <c r="I521" i="3"/>
  <c r="H521" i="3"/>
  <c r="G521" i="3"/>
  <c r="J520" i="3"/>
  <c r="I520" i="3"/>
  <c r="H520" i="3"/>
  <c r="G520" i="3"/>
  <c r="J519" i="3"/>
  <c r="I519" i="3"/>
  <c r="H519" i="3"/>
  <c r="G519" i="3"/>
  <c r="J518" i="3"/>
  <c r="I518" i="3"/>
  <c r="H518" i="3"/>
  <c r="G518" i="3"/>
  <c r="J517" i="3"/>
  <c r="I517" i="3"/>
  <c r="H517" i="3"/>
  <c r="G517" i="3"/>
  <c r="J516" i="3"/>
  <c r="I516" i="3"/>
  <c r="H516" i="3"/>
  <c r="G516" i="3"/>
  <c r="J515" i="3"/>
  <c r="I515" i="3"/>
  <c r="H515" i="3"/>
  <c r="G515" i="3"/>
  <c r="J514" i="3"/>
  <c r="I514" i="3"/>
  <c r="H514" i="3"/>
  <c r="G514" i="3"/>
  <c r="J513" i="3"/>
  <c r="I513" i="3"/>
  <c r="H513" i="3"/>
  <c r="G513" i="3"/>
  <c r="J512" i="3"/>
  <c r="I512" i="3"/>
  <c r="H512" i="3"/>
  <c r="G512" i="3"/>
  <c r="J511" i="3"/>
  <c r="I511" i="3"/>
  <c r="H511" i="3"/>
  <c r="G511" i="3"/>
  <c r="J510" i="3"/>
  <c r="I510" i="3"/>
  <c r="H510" i="3"/>
  <c r="G510" i="3"/>
  <c r="J509" i="3"/>
  <c r="I509" i="3"/>
  <c r="H509" i="3"/>
  <c r="G509" i="3"/>
  <c r="J508" i="3"/>
  <c r="I508" i="3"/>
  <c r="H508" i="3"/>
  <c r="G508" i="3"/>
  <c r="J507" i="3"/>
  <c r="I507" i="3"/>
  <c r="H507" i="3"/>
  <c r="G507" i="3"/>
  <c r="J506" i="3"/>
  <c r="I506" i="3"/>
  <c r="H506" i="3"/>
  <c r="G506" i="3"/>
  <c r="J505" i="3"/>
  <c r="I505" i="3"/>
  <c r="H505" i="3"/>
  <c r="G505" i="3"/>
  <c r="J504" i="3"/>
  <c r="I504" i="3"/>
  <c r="H504" i="3"/>
  <c r="G504" i="3"/>
  <c r="J503" i="3"/>
  <c r="I503" i="3"/>
  <c r="H503" i="3"/>
  <c r="G503" i="3"/>
  <c r="J502" i="3"/>
  <c r="I502" i="3"/>
  <c r="H502" i="3"/>
  <c r="G502" i="3"/>
  <c r="J501" i="3"/>
  <c r="I501" i="3"/>
  <c r="H501" i="3"/>
  <c r="G501" i="3"/>
  <c r="J500" i="3"/>
  <c r="I500" i="3"/>
  <c r="H500" i="3"/>
  <c r="G500" i="3"/>
  <c r="J499" i="3"/>
  <c r="I499" i="3"/>
  <c r="H499" i="3"/>
  <c r="G499" i="3"/>
  <c r="J498" i="3"/>
  <c r="I498" i="3"/>
  <c r="H498" i="3"/>
  <c r="G498" i="3"/>
  <c r="J497" i="3"/>
  <c r="I497" i="3"/>
  <c r="H497" i="3"/>
  <c r="G497" i="3"/>
  <c r="J496" i="3"/>
  <c r="I496" i="3"/>
  <c r="H496" i="3"/>
  <c r="G496" i="3"/>
  <c r="J495" i="3"/>
  <c r="I495" i="3"/>
  <c r="H495" i="3"/>
  <c r="G495" i="3"/>
  <c r="J494" i="3"/>
  <c r="I494" i="3"/>
  <c r="H494" i="3"/>
  <c r="G494" i="3"/>
  <c r="J493" i="3"/>
  <c r="I493" i="3"/>
  <c r="H493" i="3"/>
  <c r="G493" i="3"/>
  <c r="J492" i="3"/>
  <c r="I492" i="3"/>
  <c r="H492" i="3"/>
  <c r="G492" i="3"/>
  <c r="J491" i="3"/>
  <c r="I491" i="3"/>
  <c r="H491" i="3"/>
  <c r="G491" i="3"/>
  <c r="J490" i="3"/>
  <c r="I490" i="3"/>
  <c r="H490" i="3"/>
  <c r="G490" i="3"/>
  <c r="J489" i="3"/>
  <c r="I489" i="3"/>
  <c r="H489" i="3"/>
  <c r="G489" i="3"/>
  <c r="J488" i="3"/>
  <c r="I488" i="3"/>
  <c r="H488" i="3"/>
  <c r="G488" i="3"/>
  <c r="J487" i="3"/>
  <c r="I487" i="3"/>
  <c r="H487" i="3"/>
  <c r="G487" i="3"/>
  <c r="J486" i="3"/>
  <c r="I486" i="3"/>
  <c r="H486" i="3"/>
  <c r="G486" i="3"/>
  <c r="J485" i="3"/>
  <c r="I485" i="3"/>
  <c r="H485" i="3"/>
  <c r="G485" i="3"/>
  <c r="J484" i="3"/>
  <c r="I484" i="3"/>
  <c r="H484" i="3"/>
  <c r="G484" i="3"/>
  <c r="J483" i="3"/>
  <c r="I483" i="3"/>
  <c r="H483" i="3"/>
  <c r="G483" i="3"/>
  <c r="J482" i="3"/>
  <c r="I482" i="3"/>
  <c r="H482" i="3"/>
  <c r="G482" i="3"/>
  <c r="J481" i="3"/>
  <c r="I481" i="3"/>
  <c r="H481" i="3"/>
  <c r="G481" i="3"/>
  <c r="J480" i="3"/>
  <c r="I480" i="3"/>
  <c r="H480" i="3"/>
  <c r="G480" i="3"/>
  <c r="J479" i="3"/>
  <c r="I479" i="3"/>
  <c r="H479" i="3"/>
  <c r="G479" i="3"/>
  <c r="J478" i="3"/>
  <c r="I478" i="3"/>
  <c r="H478" i="3"/>
  <c r="G478" i="3"/>
  <c r="J477" i="3"/>
  <c r="I477" i="3"/>
  <c r="H477" i="3"/>
  <c r="G477" i="3"/>
  <c r="J476" i="3"/>
  <c r="I476" i="3"/>
  <c r="H476" i="3"/>
  <c r="G476" i="3"/>
  <c r="J475" i="3"/>
  <c r="I475" i="3"/>
  <c r="H475" i="3"/>
  <c r="G475" i="3"/>
  <c r="J474" i="3"/>
  <c r="I474" i="3"/>
  <c r="H474" i="3"/>
  <c r="G474" i="3"/>
  <c r="J473" i="3"/>
  <c r="I473" i="3"/>
  <c r="H473" i="3"/>
  <c r="G473" i="3"/>
  <c r="J472" i="3"/>
  <c r="I472" i="3"/>
  <c r="H472" i="3"/>
  <c r="G472" i="3"/>
  <c r="J471" i="3"/>
  <c r="I471" i="3"/>
  <c r="H471" i="3"/>
  <c r="G471" i="3"/>
  <c r="J470" i="3"/>
  <c r="I470" i="3"/>
  <c r="H470" i="3"/>
  <c r="G470" i="3"/>
  <c r="J469" i="3"/>
  <c r="I469" i="3"/>
  <c r="H469" i="3"/>
  <c r="G469" i="3"/>
  <c r="J468" i="3"/>
  <c r="I468" i="3"/>
  <c r="H468" i="3"/>
  <c r="G468" i="3"/>
  <c r="J467" i="3"/>
  <c r="I467" i="3"/>
  <c r="H467" i="3"/>
  <c r="G467" i="3"/>
  <c r="J466" i="3"/>
  <c r="I466" i="3"/>
  <c r="H466" i="3"/>
  <c r="G466" i="3"/>
  <c r="J465" i="3"/>
  <c r="I465" i="3"/>
  <c r="H465" i="3"/>
  <c r="G465" i="3"/>
  <c r="J464" i="3"/>
  <c r="I464" i="3"/>
  <c r="H464" i="3"/>
  <c r="G464" i="3"/>
  <c r="J463" i="3"/>
  <c r="I463" i="3"/>
  <c r="H463" i="3"/>
  <c r="G463" i="3"/>
  <c r="J462" i="3"/>
  <c r="I462" i="3"/>
  <c r="H462" i="3"/>
  <c r="G462" i="3"/>
  <c r="J461" i="3"/>
  <c r="I461" i="3"/>
  <c r="H461" i="3"/>
  <c r="G461" i="3"/>
  <c r="J460" i="3"/>
  <c r="I460" i="3"/>
  <c r="H460" i="3"/>
  <c r="G460" i="3"/>
  <c r="J459" i="3"/>
  <c r="I459" i="3"/>
  <c r="H459" i="3"/>
  <c r="G459" i="3"/>
  <c r="J458" i="3"/>
  <c r="I458" i="3"/>
  <c r="H458" i="3"/>
  <c r="G458" i="3"/>
  <c r="J457" i="3"/>
  <c r="I457" i="3"/>
  <c r="H457" i="3"/>
  <c r="G457" i="3"/>
  <c r="J456" i="3"/>
  <c r="I456" i="3"/>
  <c r="H456" i="3"/>
  <c r="G456" i="3"/>
  <c r="J455" i="3"/>
  <c r="I455" i="3"/>
  <c r="H455" i="3"/>
  <c r="G455" i="3"/>
  <c r="J454" i="3"/>
  <c r="I454" i="3"/>
  <c r="H454" i="3"/>
  <c r="G454" i="3"/>
  <c r="J453" i="3"/>
  <c r="I453" i="3"/>
  <c r="H453" i="3"/>
  <c r="G453" i="3"/>
  <c r="J452" i="3"/>
  <c r="I452" i="3"/>
  <c r="H452" i="3"/>
  <c r="G452" i="3"/>
  <c r="J451" i="3"/>
  <c r="I451" i="3"/>
  <c r="H451" i="3"/>
  <c r="G451" i="3"/>
  <c r="J450" i="3"/>
  <c r="I450" i="3"/>
  <c r="H450" i="3"/>
  <c r="G450" i="3"/>
  <c r="J449" i="3"/>
  <c r="I449" i="3"/>
  <c r="H449" i="3"/>
  <c r="G449" i="3"/>
  <c r="J448" i="3"/>
  <c r="I448" i="3"/>
  <c r="H448" i="3"/>
  <c r="G448" i="3"/>
  <c r="J447" i="3"/>
  <c r="I447" i="3"/>
  <c r="H447" i="3"/>
  <c r="G447" i="3"/>
  <c r="J446" i="3"/>
  <c r="I446" i="3"/>
  <c r="H446" i="3"/>
  <c r="G446" i="3"/>
  <c r="J445" i="3"/>
  <c r="I445" i="3"/>
  <c r="H445" i="3"/>
  <c r="G445" i="3"/>
  <c r="J444" i="3"/>
  <c r="I444" i="3"/>
  <c r="H444" i="3"/>
  <c r="G444" i="3"/>
  <c r="J443" i="3"/>
  <c r="I443" i="3"/>
  <c r="H443" i="3"/>
  <c r="G443" i="3"/>
  <c r="J442" i="3"/>
  <c r="I442" i="3"/>
  <c r="H442" i="3"/>
  <c r="G442" i="3"/>
  <c r="J441" i="3"/>
  <c r="I441" i="3"/>
  <c r="H441" i="3"/>
  <c r="G441" i="3"/>
  <c r="J440" i="3"/>
  <c r="I440" i="3"/>
  <c r="H440" i="3"/>
  <c r="G440" i="3"/>
  <c r="J439" i="3"/>
  <c r="I439" i="3"/>
  <c r="H439" i="3"/>
  <c r="G439" i="3"/>
  <c r="J438" i="3"/>
  <c r="I438" i="3"/>
  <c r="H438" i="3"/>
  <c r="G438" i="3"/>
  <c r="J437" i="3"/>
  <c r="I437" i="3"/>
  <c r="H437" i="3"/>
  <c r="G437" i="3"/>
  <c r="J436" i="3"/>
  <c r="I436" i="3"/>
  <c r="H436" i="3"/>
  <c r="G436" i="3"/>
  <c r="J435" i="3"/>
  <c r="I435" i="3"/>
  <c r="H435" i="3"/>
  <c r="G435" i="3"/>
  <c r="J434" i="3"/>
  <c r="I434" i="3"/>
  <c r="H434" i="3"/>
  <c r="G434" i="3"/>
  <c r="J433" i="3"/>
  <c r="I433" i="3"/>
  <c r="H433" i="3"/>
  <c r="G433" i="3"/>
  <c r="J432" i="3"/>
  <c r="I432" i="3"/>
  <c r="H432" i="3"/>
  <c r="G432" i="3"/>
  <c r="J431" i="3"/>
  <c r="I431" i="3"/>
  <c r="H431" i="3"/>
  <c r="G431" i="3"/>
  <c r="J430" i="3"/>
  <c r="I430" i="3"/>
  <c r="H430" i="3"/>
  <c r="G430" i="3"/>
  <c r="J429" i="3"/>
  <c r="I429" i="3"/>
  <c r="H429" i="3"/>
  <c r="G429" i="3"/>
  <c r="J428" i="3"/>
  <c r="I428" i="3"/>
  <c r="H428" i="3"/>
  <c r="G428" i="3"/>
  <c r="J427" i="3"/>
  <c r="I427" i="3"/>
  <c r="H427" i="3"/>
  <c r="G427" i="3"/>
  <c r="J426" i="3"/>
  <c r="I426" i="3"/>
  <c r="H426" i="3"/>
  <c r="G426" i="3"/>
  <c r="J425" i="3"/>
  <c r="I425" i="3"/>
  <c r="H425" i="3"/>
  <c r="G425" i="3"/>
  <c r="J424" i="3"/>
  <c r="I424" i="3"/>
  <c r="H424" i="3"/>
  <c r="G424" i="3"/>
  <c r="J423" i="3"/>
  <c r="I423" i="3"/>
  <c r="H423" i="3"/>
  <c r="G423" i="3"/>
  <c r="J422" i="3"/>
  <c r="I422" i="3"/>
  <c r="H422" i="3"/>
  <c r="G422" i="3"/>
  <c r="J421" i="3"/>
  <c r="I421" i="3"/>
  <c r="H421" i="3"/>
  <c r="G421" i="3"/>
  <c r="J420" i="3"/>
  <c r="I420" i="3"/>
  <c r="H420" i="3"/>
  <c r="G420" i="3"/>
  <c r="J419" i="3"/>
  <c r="I419" i="3"/>
  <c r="H419" i="3"/>
  <c r="G419" i="3"/>
  <c r="J418" i="3"/>
  <c r="I418" i="3"/>
  <c r="H418" i="3"/>
  <c r="G418" i="3"/>
  <c r="J417" i="3"/>
  <c r="I417" i="3"/>
  <c r="H417" i="3"/>
  <c r="G417" i="3"/>
  <c r="J416" i="3"/>
  <c r="I416" i="3"/>
  <c r="H416" i="3"/>
  <c r="G416" i="3"/>
  <c r="J415" i="3"/>
  <c r="I415" i="3"/>
  <c r="H415" i="3"/>
  <c r="G415" i="3"/>
  <c r="J414" i="3"/>
  <c r="I414" i="3"/>
  <c r="H414" i="3"/>
  <c r="G414" i="3"/>
  <c r="J413" i="3"/>
  <c r="I413" i="3"/>
  <c r="H413" i="3"/>
  <c r="G413" i="3"/>
  <c r="J412" i="3"/>
  <c r="I412" i="3"/>
  <c r="H412" i="3"/>
  <c r="G412" i="3"/>
  <c r="J411" i="3"/>
  <c r="I411" i="3"/>
  <c r="H411" i="3"/>
  <c r="G411" i="3"/>
  <c r="J410" i="3"/>
  <c r="I410" i="3"/>
  <c r="H410" i="3"/>
  <c r="G410" i="3"/>
  <c r="J409" i="3"/>
  <c r="I409" i="3"/>
  <c r="H409" i="3"/>
  <c r="G409" i="3"/>
  <c r="J408" i="3"/>
  <c r="I408" i="3"/>
  <c r="H408" i="3"/>
  <c r="G408" i="3"/>
  <c r="J407" i="3"/>
  <c r="I407" i="3"/>
  <c r="H407" i="3"/>
  <c r="G407" i="3"/>
  <c r="J406" i="3"/>
  <c r="I406" i="3"/>
  <c r="H406" i="3"/>
  <c r="G406" i="3"/>
  <c r="J405" i="3"/>
  <c r="I405" i="3"/>
  <c r="H405" i="3"/>
  <c r="G405" i="3"/>
  <c r="J404" i="3"/>
  <c r="I404" i="3"/>
  <c r="H404" i="3"/>
  <c r="G404" i="3"/>
  <c r="J403" i="3"/>
  <c r="I403" i="3"/>
  <c r="H403" i="3"/>
  <c r="G403" i="3"/>
  <c r="J402" i="3"/>
  <c r="I402" i="3"/>
  <c r="H402" i="3"/>
  <c r="G402" i="3"/>
  <c r="J401" i="3"/>
  <c r="I401" i="3"/>
  <c r="H401" i="3"/>
  <c r="G401" i="3"/>
  <c r="J400" i="3"/>
  <c r="I400" i="3"/>
  <c r="H400" i="3"/>
  <c r="G400" i="3"/>
  <c r="J399" i="3"/>
  <c r="I399" i="3"/>
  <c r="H399" i="3"/>
  <c r="G399" i="3"/>
  <c r="J398" i="3"/>
  <c r="I398" i="3"/>
  <c r="H398" i="3"/>
  <c r="G398" i="3"/>
  <c r="J397" i="3"/>
  <c r="I397" i="3"/>
  <c r="H397" i="3"/>
  <c r="G397" i="3"/>
  <c r="J396" i="3"/>
  <c r="I396" i="3"/>
  <c r="H396" i="3"/>
  <c r="G396" i="3"/>
  <c r="J395" i="3"/>
  <c r="I395" i="3"/>
  <c r="H395" i="3"/>
  <c r="G395" i="3"/>
  <c r="J394" i="3"/>
  <c r="I394" i="3"/>
  <c r="H394" i="3"/>
  <c r="G394" i="3"/>
  <c r="J393" i="3"/>
  <c r="I393" i="3"/>
  <c r="H393" i="3"/>
  <c r="G393" i="3"/>
  <c r="J392" i="3"/>
  <c r="I392" i="3"/>
  <c r="H392" i="3"/>
  <c r="G392" i="3"/>
  <c r="J391" i="3"/>
  <c r="I391" i="3"/>
  <c r="H391" i="3"/>
  <c r="G391" i="3"/>
  <c r="J390" i="3"/>
  <c r="I390" i="3"/>
  <c r="H390" i="3"/>
  <c r="G390" i="3"/>
  <c r="J389" i="3"/>
  <c r="I389" i="3"/>
  <c r="H389" i="3"/>
  <c r="G389" i="3"/>
  <c r="J388" i="3"/>
  <c r="I388" i="3"/>
  <c r="H388" i="3"/>
  <c r="G388" i="3"/>
  <c r="J387" i="3"/>
  <c r="I387" i="3"/>
  <c r="H387" i="3"/>
  <c r="G387" i="3"/>
  <c r="J386" i="3"/>
  <c r="I386" i="3"/>
  <c r="H386" i="3"/>
  <c r="G386" i="3"/>
  <c r="J385" i="3"/>
  <c r="I385" i="3"/>
  <c r="H385" i="3"/>
  <c r="G385" i="3"/>
  <c r="J384" i="3"/>
  <c r="I384" i="3"/>
  <c r="H384" i="3"/>
  <c r="G384" i="3"/>
  <c r="J383" i="3"/>
  <c r="I383" i="3"/>
  <c r="H383" i="3"/>
  <c r="G383" i="3"/>
  <c r="J382" i="3"/>
  <c r="I382" i="3"/>
  <c r="H382" i="3"/>
  <c r="G382" i="3"/>
  <c r="J381" i="3"/>
  <c r="I381" i="3"/>
  <c r="H381" i="3"/>
  <c r="G381" i="3"/>
  <c r="J380" i="3"/>
  <c r="I380" i="3"/>
  <c r="H380" i="3"/>
  <c r="G380" i="3"/>
  <c r="J379" i="3"/>
  <c r="I379" i="3"/>
  <c r="H379" i="3"/>
  <c r="G379" i="3"/>
  <c r="J378" i="3"/>
  <c r="I378" i="3"/>
  <c r="H378" i="3"/>
  <c r="G378" i="3"/>
  <c r="J377" i="3"/>
  <c r="I377" i="3"/>
  <c r="H377" i="3"/>
  <c r="G377" i="3"/>
  <c r="J376" i="3"/>
  <c r="I376" i="3"/>
  <c r="H376" i="3"/>
  <c r="G376" i="3"/>
  <c r="J375" i="3"/>
  <c r="I375" i="3"/>
  <c r="H375" i="3"/>
  <c r="G375" i="3"/>
  <c r="J374" i="3"/>
  <c r="I374" i="3"/>
  <c r="H374" i="3"/>
  <c r="G374" i="3"/>
  <c r="J373" i="3"/>
  <c r="I373" i="3"/>
  <c r="H373" i="3"/>
  <c r="G373" i="3"/>
  <c r="J372" i="3"/>
  <c r="I372" i="3"/>
  <c r="H372" i="3"/>
  <c r="G372" i="3"/>
  <c r="J371" i="3"/>
  <c r="I371" i="3"/>
  <c r="H371" i="3"/>
  <c r="G371" i="3"/>
  <c r="J370" i="3"/>
  <c r="I370" i="3"/>
  <c r="H370" i="3"/>
  <c r="G370" i="3"/>
  <c r="J369" i="3"/>
  <c r="I369" i="3"/>
  <c r="H369" i="3"/>
  <c r="G369" i="3"/>
  <c r="J368" i="3"/>
  <c r="I368" i="3"/>
  <c r="H368" i="3"/>
  <c r="G368" i="3"/>
  <c r="J367" i="3"/>
  <c r="I367" i="3"/>
  <c r="H367" i="3"/>
  <c r="G367" i="3"/>
  <c r="J366" i="3"/>
  <c r="I366" i="3"/>
  <c r="H366" i="3"/>
  <c r="G366" i="3"/>
  <c r="J365" i="3"/>
  <c r="I365" i="3"/>
  <c r="H365" i="3"/>
  <c r="G365" i="3"/>
  <c r="J364" i="3"/>
  <c r="I364" i="3"/>
  <c r="H364" i="3"/>
  <c r="G364" i="3"/>
  <c r="J363" i="3"/>
  <c r="I363" i="3"/>
  <c r="H363" i="3"/>
  <c r="G363" i="3"/>
  <c r="J362" i="3"/>
  <c r="I362" i="3"/>
  <c r="H362" i="3"/>
  <c r="G362" i="3"/>
  <c r="J361" i="3"/>
  <c r="I361" i="3"/>
  <c r="H361" i="3"/>
  <c r="G361" i="3"/>
  <c r="J360" i="3"/>
  <c r="I360" i="3"/>
  <c r="H360" i="3"/>
  <c r="G360" i="3"/>
  <c r="J359" i="3"/>
  <c r="I359" i="3"/>
  <c r="H359" i="3"/>
  <c r="G359" i="3"/>
  <c r="J358" i="3"/>
  <c r="I358" i="3"/>
  <c r="H358" i="3"/>
  <c r="G358" i="3"/>
  <c r="J357" i="3"/>
  <c r="I357" i="3"/>
  <c r="H357" i="3"/>
  <c r="G357" i="3"/>
  <c r="J356" i="3"/>
  <c r="I356" i="3"/>
  <c r="H356" i="3"/>
  <c r="G356" i="3"/>
  <c r="J355" i="3"/>
  <c r="I355" i="3"/>
  <c r="H355" i="3"/>
  <c r="G355" i="3"/>
  <c r="J354" i="3"/>
  <c r="I354" i="3"/>
  <c r="H354" i="3"/>
  <c r="G354" i="3"/>
  <c r="J353" i="3"/>
  <c r="I353" i="3"/>
  <c r="H353" i="3"/>
  <c r="G353" i="3"/>
  <c r="J352" i="3"/>
  <c r="I352" i="3"/>
  <c r="H352" i="3"/>
  <c r="G352" i="3"/>
  <c r="J351" i="3"/>
  <c r="I351" i="3"/>
  <c r="H351" i="3"/>
  <c r="G351" i="3"/>
  <c r="J350" i="3"/>
  <c r="I350" i="3"/>
  <c r="H350" i="3"/>
  <c r="G350" i="3"/>
  <c r="J349" i="3"/>
  <c r="I349" i="3"/>
  <c r="H349" i="3"/>
  <c r="G349" i="3"/>
  <c r="J348" i="3"/>
  <c r="I348" i="3"/>
  <c r="H348" i="3"/>
  <c r="G348" i="3"/>
  <c r="J347" i="3"/>
  <c r="I347" i="3"/>
  <c r="H347" i="3"/>
  <c r="G347" i="3"/>
  <c r="J346" i="3"/>
  <c r="I346" i="3"/>
  <c r="H346" i="3"/>
  <c r="G346" i="3"/>
  <c r="J345" i="3"/>
  <c r="I345" i="3"/>
  <c r="H345" i="3"/>
  <c r="G345" i="3"/>
  <c r="J344" i="3"/>
  <c r="I344" i="3"/>
  <c r="H344" i="3"/>
  <c r="G344" i="3"/>
  <c r="J343" i="3"/>
  <c r="I343" i="3"/>
  <c r="H343" i="3"/>
  <c r="G343" i="3"/>
  <c r="J342" i="3"/>
  <c r="I342" i="3"/>
  <c r="H342" i="3"/>
  <c r="G342" i="3"/>
  <c r="J341" i="3"/>
  <c r="I341" i="3"/>
  <c r="H341" i="3"/>
  <c r="G341" i="3"/>
  <c r="J340" i="3"/>
  <c r="I340" i="3"/>
  <c r="H340" i="3"/>
  <c r="G340" i="3"/>
  <c r="J339" i="3"/>
  <c r="I339" i="3"/>
  <c r="H339" i="3"/>
  <c r="G339" i="3"/>
  <c r="J338" i="3"/>
  <c r="I338" i="3"/>
  <c r="H338" i="3"/>
  <c r="G338" i="3"/>
  <c r="J337" i="3"/>
  <c r="I337" i="3"/>
  <c r="H337" i="3"/>
  <c r="G337" i="3"/>
  <c r="J336" i="3"/>
  <c r="I336" i="3"/>
  <c r="H336" i="3"/>
  <c r="G336" i="3"/>
  <c r="J335" i="3"/>
  <c r="I335" i="3"/>
  <c r="H335" i="3"/>
  <c r="G335" i="3"/>
  <c r="J334" i="3"/>
  <c r="I334" i="3"/>
  <c r="H334" i="3"/>
  <c r="G334" i="3"/>
  <c r="J333" i="3"/>
  <c r="I333" i="3"/>
  <c r="H333" i="3"/>
  <c r="G333" i="3"/>
  <c r="J332" i="3"/>
  <c r="I332" i="3"/>
  <c r="H332" i="3"/>
  <c r="G332" i="3"/>
  <c r="J331" i="3"/>
  <c r="I331" i="3"/>
  <c r="H331" i="3"/>
  <c r="G331" i="3"/>
  <c r="J330" i="3"/>
  <c r="I330" i="3"/>
  <c r="H330" i="3"/>
  <c r="G330" i="3"/>
  <c r="J329" i="3"/>
  <c r="I329" i="3"/>
  <c r="H329" i="3"/>
  <c r="G329" i="3"/>
  <c r="J328" i="3"/>
  <c r="I328" i="3"/>
  <c r="H328" i="3"/>
  <c r="G328" i="3"/>
  <c r="J327" i="3"/>
  <c r="I327" i="3"/>
  <c r="H327" i="3"/>
  <c r="G327" i="3"/>
  <c r="J326" i="3"/>
  <c r="I326" i="3"/>
  <c r="H326" i="3"/>
  <c r="G326" i="3"/>
  <c r="J325" i="3"/>
  <c r="I325" i="3"/>
  <c r="H325" i="3"/>
  <c r="G325" i="3"/>
  <c r="J324" i="3"/>
  <c r="I324" i="3"/>
  <c r="H324" i="3"/>
  <c r="G324" i="3"/>
  <c r="J323" i="3"/>
  <c r="I323" i="3"/>
  <c r="H323" i="3"/>
  <c r="G323" i="3"/>
  <c r="J322" i="3"/>
  <c r="I322" i="3"/>
  <c r="H322" i="3"/>
  <c r="G322" i="3"/>
  <c r="J321" i="3"/>
  <c r="I321" i="3"/>
  <c r="H321" i="3"/>
  <c r="G321" i="3"/>
  <c r="J320" i="3"/>
  <c r="I320" i="3"/>
  <c r="H320" i="3"/>
  <c r="G320" i="3"/>
  <c r="J319" i="3"/>
  <c r="I319" i="3"/>
  <c r="H319" i="3"/>
  <c r="G319" i="3"/>
  <c r="J318" i="3"/>
  <c r="I318" i="3"/>
  <c r="H318" i="3"/>
  <c r="G318" i="3"/>
  <c r="J317" i="3"/>
  <c r="I317" i="3"/>
  <c r="H317" i="3"/>
  <c r="G317" i="3"/>
  <c r="J316" i="3"/>
  <c r="I316" i="3"/>
  <c r="H316" i="3"/>
  <c r="G316" i="3"/>
  <c r="J315" i="3"/>
  <c r="I315" i="3"/>
  <c r="H315" i="3"/>
  <c r="G315" i="3"/>
  <c r="J314" i="3"/>
  <c r="I314" i="3"/>
  <c r="H314" i="3"/>
  <c r="G314" i="3"/>
  <c r="J313" i="3"/>
  <c r="I313" i="3"/>
  <c r="H313" i="3"/>
  <c r="G313" i="3"/>
  <c r="J312" i="3"/>
  <c r="I312" i="3"/>
  <c r="H312" i="3"/>
  <c r="G312" i="3"/>
  <c r="J311" i="3"/>
  <c r="I311" i="3"/>
  <c r="H311" i="3"/>
  <c r="G311" i="3"/>
  <c r="J310" i="3"/>
  <c r="I310" i="3"/>
  <c r="H310" i="3"/>
  <c r="G310" i="3"/>
  <c r="J309" i="3"/>
  <c r="I309" i="3"/>
  <c r="H309" i="3"/>
  <c r="G309" i="3"/>
  <c r="J308" i="3"/>
  <c r="I308" i="3"/>
  <c r="H308" i="3"/>
  <c r="G308" i="3"/>
  <c r="J307" i="3"/>
  <c r="I307" i="3"/>
  <c r="H307" i="3"/>
  <c r="G307" i="3"/>
  <c r="J306" i="3"/>
  <c r="I306" i="3"/>
  <c r="H306" i="3"/>
  <c r="G306" i="3"/>
  <c r="J305" i="3"/>
  <c r="I305" i="3"/>
  <c r="H305" i="3"/>
  <c r="G305" i="3"/>
  <c r="J304" i="3"/>
  <c r="I304" i="3"/>
  <c r="H304" i="3"/>
  <c r="G304" i="3"/>
  <c r="J303" i="3"/>
  <c r="I303" i="3"/>
  <c r="H303" i="3"/>
  <c r="G303" i="3"/>
  <c r="J302" i="3"/>
  <c r="I302" i="3"/>
  <c r="H302" i="3"/>
  <c r="G302" i="3"/>
  <c r="J301" i="3"/>
  <c r="I301" i="3"/>
  <c r="H301" i="3"/>
  <c r="G301" i="3"/>
  <c r="J300" i="3"/>
  <c r="I300" i="3"/>
  <c r="H300" i="3"/>
  <c r="G300" i="3"/>
  <c r="J299" i="3"/>
  <c r="I299" i="3"/>
  <c r="H299" i="3"/>
  <c r="G299" i="3"/>
  <c r="J298" i="3"/>
  <c r="I298" i="3"/>
  <c r="H298" i="3"/>
  <c r="G298" i="3"/>
  <c r="J297" i="3"/>
  <c r="I297" i="3"/>
  <c r="H297" i="3"/>
  <c r="G297" i="3"/>
  <c r="J296" i="3"/>
  <c r="I296" i="3"/>
  <c r="H296" i="3"/>
  <c r="G296" i="3"/>
  <c r="J295" i="3"/>
  <c r="I295" i="3"/>
  <c r="H295" i="3"/>
  <c r="G295" i="3"/>
  <c r="J294" i="3"/>
  <c r="I294" i="3"/>
  <c r="H294" i="3"/>
  <c r="G294" i="3"/>
  <c r="J293" i="3"/>
  <c r="I293" i="3"/>
  <c r="H293" i="3"/>
  <c r="G293" i="3"/>
  <c r="J292" i="3"/>
  <c r="I292" i="3"/>
  <c r="H292" i="3"/>
  <c r="G292" i="3"/>
  <c r="J291" i="3"/>
  <c r="I291" i="3"/>
  <c r="H291" i="3"/>
  <c r="G291" i="3"/>
  <c r="J290" i="3"/>
  <c r="I290" i="3"/>
  <c r="H290" i="3"/>
  <c r="G290" i="3"/>
  <c r="J289" i="3"/>
  <c r="I289" i="3"/>
  <c r="H289" i="3"/>
  <c r="G289" i="3"/>
  <c r="J288" i="3"/>
  <c r="I288" i="3"/>
  <c r="H288" i="3"/>
  <c r="G288" i="3"/>
  <c r="J287" i="3"/>
  <c r="I287" i="3"/>
  <c r="H287" i="3"/>
  <c r="G287" i="3"/>
  <c r="J286" i="3"/>
  <c r="I286" i="3"/>
  <c r="H286" i="3"/>
  <c r="G286" i="3"/>
  <c r="J285" i="3"/>
  <c r="I285" i="3"/>
  <c r="H285" i="3"/>
  <c r="G285" i="3"/>
  <c r="J284" i="3"/>
  <c r="I284" i="3"/>
  <c r="H284" i="3"/>
  <c r="G284" i="3"/>
  <c r="J283" i="3"/>
  <c r="I283" i="3"/>
  <c r="H283" i="3"/>
  <c r="G283" i="3"/>
  <c r="J282" i="3"/>
  <c r="I282" i="3"/>
  <c r="H282" i="3"/>
  <c r="G282" i="3"/>
  <c r="J281" i="3"/>
  <c r="I281" i="3"/>
  <c r="H281" i="3"/>
  <c r="G281" i="3"/>
  <c r="J280" i="3"/>
  <c r="I280" i="3"/>
  <c r="H280" i="3"/>
  <c r="G280" i="3"/>
  <c r="J279" i="3"/>
  <c r="I279" i="3"/>
  <c r="H279" i="3"/>
  <c r="G279" i="3"/>
  <c r="J278" i="3"/>
  <c r="I278" i="3"/>
  <c r="H278" i="3"/>
  <c r="G278" i="3"/>
  <c r="J277" i="3"/>
  <c r="I277" i="3"/>
  <c r="H277" i="3"/>
  <c r="G277" i="3"/>
  <c r="J276" i="3"/>
  <c r="I276" i="3"/>
  <c r="H276" i="3"/>
  <c r="G276" i="3"/>
  <c r="J275" i="3"/>
  <c r="I275" i="3"/>
  <c r="H275" i="3"/>
  <c r="G275" i="3"/>
  <c r="J274" i="3"/>
  <c r="I274" i="3"/>
  <c r="H274" i="3"/>
  <c r="G274" i="3"/>
  <c r="J273" i="3"/>
  <c r="I273" i="3"/>
  <c r="H273" i="3"/>
  <c r="G273" i="3"/>
  <c r="J272" i="3"/>
  <c r="I272" i="3"/>
  <c r="H272" i="3"/>
  <c r="G272" i="3"/>
  <c r="J271" i="3"/>
  <c r="I271" i="3"/>
  <c r="H271" i="3"/>
  <c r="G271" i="3"/>
  <c r="J270" i="3"/>
  <c r="I270" i="3"/>
  <c r="H270" i="3"/>
  <c r="G270" i="3"/>
  <c r="J269" i="3"/>
  <c r="I269" i="3"/>
  <c r="H269" i="3"/>
  <c r="G269" i="3"/>
  <c r="J268" i="3"/>
  <c r="I268" i="3"/>
  <c r="H268" i="3"/>
  <c r="G268" i="3"/>
  <c r="J267" i="3"/>
  <c r="I267" i="3"/>
  <c r="H267" i="3"/>
  <c r="G267" i="3"/>
  <c r="J266" i="3"/>
  <c r="I266" i="3"/>
  <c r="H266" i="3"/>
  <c r="G266" i="3"/>
  <c r="J265" i="3"/>
  <c r="I265" i="3"/>
  <c r="H265" i="3"/>
  <c r="G265" i="3"/>
  <c r="J264" i="3"/>
  <c r="I264" i="3"/>
  <c r="H264" i="3"/>
  <c r="G264" i="3"/>
  <c r="J263" i="3"/>
  <c r="I263" i="3"/>
  <c r="H263" i="3"/>
  <c r="G263" i="3"/>
  <c r="J262" i="3"/>
  <c r="I262" i="3"/>
  <c r="H262" i="3"/>
  <c r="G262" i="3"/>
  <c r="J261" i="3"/>
  <c r="I261" i="3"/>
  <c r="H261" i="3"/>
  <c r="G261" i="3"/>
  <c r="J260" i="3"/>
  <c r="I260" i="3"/>
  <c r="H260" i="3"/>
  <c r="G260" i="3"/>
  <c r="J259" i="3"/>
  <c r="I259" i="3"/>
  <c r="H259" i="3"/>
  <c r="G259" i="3"/>
  <c r="J258" i="3"/>
  <c r="I258" i="3"/>
  <c r="H258" i="3"/>
  <c r="G258" i="3"/>
  <c r="J257" i="3"/>
  <c r="I257" i="3"/>
  <c r="H257" i="3"/>
  <c r="G257" i="3"/>
  <c r="J256" i="3"/>
  <c r="I256" i="3"/>
  <c r="H256" i="3"/>
  <c r="G256" i="3"/>
  <c r="J255" i="3"/>
  <c r="I255" i="3"/>
  <c r="H255" i="3"/>
  <c r="G255" i="3"/>
  <c r="J254" i="3"/>
  <c r="I254" i="3"/>
  <c r="H254" i="3"/>
  <c r="G254" i="3"/>
  <c r="J253" i="3"/>
  <c r="I253" i="3"/>
  <c r="H253" i="3"/>
  <c r="G253" i="3"/>
  <c r="J252" i="3"/>
  <c r="I252" i="3"/>
  <c r="H252" i="3"/>
  <c r="G252" i="3"/>
  <c r="J251" i="3"/>
  <c r="I251" i="3"/>
  <c r="H251" i="3"/>
  <c r="G251" i="3"/>
  <c r="J250" i="3"/>
  <c r="I250" i="3"/>
  <c r="H250" i="3"/>
  <c r="G250" i="3"/>
  <c r="J249" i="3"/>
  <c r="I249" i="3"/>
  <c r="H249" i="3"/>
  <c r="G249" i="3"/>
  <c r="J248" i="3"/>
  <c r="I248" i="3"/>
  <c r="H248" i="3"/>
  <c r="G248" i="3"/>
  <c r="J247" i="3"/>
  <c r="I247" i="3"/>
  <c r="H247" i="3"/>
  <c r="G247" i="3"/>
  <c r="J246" i="3"/>
  <c r="I246" i="3"/>
  <c r="H246" i="3"/>
  <c r="G246" i="3"/>
  <c r="J245" i="3"/>
  <c r="I245" i="3"/>
  <c r="H245" i="3"/>
  <c r="G245" i="3"/>
  <c r="J244" i="3"/>
  <c r="I244" i="3"/>
  <c r="H244" i="3"/>
  <c r="G244" i="3"/>
  <c r="J243" i="3"/>
  <c r="I243" i="3"/>
  <c r="H243" i="3"/>
  <c r="G243" i="3"/>
  <c r="J242" i="3"/>
  <c r="I242" i="3"/>
  <c r="H242" i="3"/>
  <c r="G242" i="3"/>
  <c r="J241" i="3"/>
  <c r="I241" i="3"/>
  <c r="H241" i="3"/>
  <c r="G241" i="3"/>
  <c r="J240" i="3"/>
  <c r="I240" i="3"/>
  <c r="H240" i="3"/>
  <c r="G240" i="3"/>
  <c r="J239" i="3"/>
  <c r="I239" i="3"/>
  <c r="H239" i="3"/>
  <c r="G239" i="3"/>
  <c r="J238" i="3"/>
  <c r="I238" i="3"/>
  <c r="H238" i="3"/>
  <c r="G238" i="3"/>
  <c r="J237" i="3"/>
  <c r="I237" i="3"/>
  <c r="H237" i="3"/>
  <c r="G237" i="3"/>
  <c r="J236" i="3"/>
  <c r="I236" i="3"/>
  <c r="H236" i="3"/>
  <c r="G236" i="3"/>
  <c r="J235" i="3"/>
  <c r="I235" i="3"/>
  <c r="H235" i="3"/>
  <c r="G235" i="3"/>
  <c r="J234" i="3"/>
  <c r="I234" i="3"/>
  <c r="H234" i="3"/>
  <c r="G234" i="3"/>
  <c r="J233" i="3"/>
  <c r="I233" i="3"/>
  <c r="H233" i="3"/>
  <c r="G233" i="3"/>
  <c r="J232" i="3"/>
  <c r="I232" i="3"/>
  <c r="H232" i="3"/>
  <c r="G232" i="3"/>
  <c r="J231" i="3"/>
  <c r="I231" i="3"/>
  <c r="H231" i="3"/>
  <c r="G231" i="3"/>
  <c r="J230" i="3"/>
  <c r="I230" i="3"/>
  <c r="H230" i="3"/>
  <c r="G230" i="3"/>
  <c r="J229" i="3"/>
  <c r="I229" i="3"/>
  <c r="H229" i="3"/>
  <c r="G229" i="3"/>
  <c r="J228" i="3"/>
  <c r="I228" i="3"/>
  <c r="H228" i="3"/>
  <c r="G228" i="3"/>
  <c r="J227" i="3"/>
  <c r="I227" i="3"/>
  <c r="H227" i="3"/>
  <c r="G227" i="3"/>
  <c r="J226" i="3"/>
  <c r="I226" i="3"/>
  <c r="H226" i="3"/>
  <c r="G226" i="3"/>
  <c r="J225" i="3"/>
  <c r="I225" i="3"/>
  <c r="H225" i="3"/>
  <c r="G225" i="3"/>
  <c r="J224" i="3"/>
  <c r="I224" i="3"/>
  <c r="H224" i="3"/>
  <c r="G224" i="3"/>
  <c r="J223" i="3"/>
  <c r="I223" i="3"/>
  <c r="H223" i="3"/>
  <c r="G223" i="3"/>
  <c r="J222" i="3"/>
  <c r="I222" i="3"/>
  <c r="H222" i="3"/>
  <c r="G222" i="3"/>
  <c r="J221" i="3"/>
  <c r="I221" i="3"/>
  <c r="H221" i="3"/>
  <c r="G221" i="3"/>
  <c r="J220" i="3"/>
  <c r="I220" i="3"/>
  <c r="H220" i="3"/>
  <c r="G220" i="3"/>
  <c r="J219" i="3"/>
  <c r="I219" i="3"/>
  <c r="H219" i="3"/>
  <c r="G219" i="3"/>
  <c r="J218" i="3"/>
  <c r="I218" i="3"/>
  <c r="H218" i="3"/>
  <c r="G218" i="3"/>
  <c r="J217" i="3"/>
  <c r="I217" i="3"/>
  <c r="H217" i="3"/>
  <c r="G217" i="3"/>
  <c r="J216" i="3"/>
  <c r="I216" i="3"/>
  <c r="H216" i="3"/>
  <c r="G216" i="3"/>
  <c r="J215" i="3"/>
  <c r="I215" i="3"/>
  <c r="H215" i="3"/>
  <c r="G215" i="3"/>
  <c r="J214" i="3"/>
  <c r="I214" i="3"/>
  <c r="H214" i="3"/>
  <c r="G214" i="3"/>
  <c r="J213" i="3"/>
  <c r="I213" i="3"/>
  <c r="H213" i="3"/>
  <c r="G213" i="3"/>
  <c r="J212" i="3"/>
  <c r="I212" i="3"/>
  <c r="H212" i="3"/>
  <c r="G212" i="3"/>
  <c r="J211" i="3"/>
  <c r="I211" i="3"/>
  <c r="H211" i="3"/>
  <c r="G211" i="3"/>
  <c r="J210" i="3"/>
  <c r="I210" i="3"/>
  <c r="H210" i="3"/>
  <c r="G210" i="3"/>
  <c r="J209" i="3"/>
  <c r="I209" i="3"/>
  <c r="H209" i="3"/>
  <c r="G209" i="3"/>
  <c r="J208" i="3"/>
  <c r="I208" i="3"/>
  <c r="H208" i="3"/>
  <c r="G208" i="3"/>
  <c r="J207" i="3"/>
  <c r="I207" i="3"/>
  <c r="H207" i="3"/>
  <c r="G207" i="3"/>
  <c r="J206" i="3"/>
  <c r="I206" i="3"/>
  <c r="H206" i="3"/>
  <c r="G206" i="3"/>
  <c r="J205" i="3"/>
  <c r="I205" i="3"/>
  <c r="H205" i="3"/>
  <c r="G205" i="3"/>
  <c r="J204" i="3"/>
  <c r="I204" i="3"/>
  <c r="H204" i="3"/>
  <c r="G204" i="3"/>
  <c r="J203" i="3"/>
  <c r="I203" i="3"/>
  <c r="H203" i="3"/>
  <c r="G203" i="3"/>
  <c r="J202" i="3"/>
  <c r="I202" i="3"/>
  <c r="H202" i="3"/>
  <c r="G202" i="3"/>
  <c r="J201" i="3"/>
  <c r="I201" i="3"/>
  <c r="H201" i="3"/>
  <c r="G201" i="3"/>
  <c r="J200" i="3"/>
  <c r="I200" i="3"/>
  <c r="H200" i="3"/>
  <c r="G200" i="3"/>
  <c r="J199" i="3"/>
  <c r="I199" i="3"/>
  <c r="H199" i="3"/>
  <c r="G199" i="3"/>
  <c r="J198" i="3"/>
  <c r="I198" i="3"/>
  <c r="H198" i="3"/>
  <c r="G198" i="3"/>
  <c r="J197" i="3"/>
  <c r="I197" i="3"/>
  <c r="H197" i="3"/>
  <c r="G197" i="3"/>
  <c r="J196" i="3"/>
  <c r="I196" i="3"/>
  <c r="H196" i="3"/>
  <c r="G196" i="3"/>
  <c r="J195" i="3"/>
  <c r="I195" i="3"/>
  <c r="H195" i="3"/>
  <c r="G195" i="3"/>
  <c r="J194" i="3"/>
  <c r="I194" i="3"/>
  <c r="H194" i="3"/>
  <c r="G194" i="3"/>
  <c r="J193" i="3"/>
  <c r="I193" i="3"/>
  <c r="H193" i="3"/>
  <c r="G193" i="3"/>
  <c r="J192" i="3"/>
  <c r="I192" i="3"/>
  <c r="H192" i="3"/>
  <c r="G192" i="3"/>
  <c r="J191" i="3"/>
  <c r="I191" i="3"/>
  <c r="H191" i="3"/>
  <c r="G191" i="3"/>
  <c r="J190" i="3"/>
  <c r="I190" i="3"/>
  <c r="H190" i="3"/>
  <c r="G190" i="3"/>
  <c r="J189" i="3"/>
  <c r="I189" i="3"/>
  <c r="H189" i="3"/>
  <c r="G189" i="3"/>
  <c r="J188" i="3"/>
  <c r="I188" i="3"/>
  <c r="H188" i="3"/>
  <c r="G188" i="3"/>
  <c r="J187" i="3"/>
  <c r="I187" i="3"/>
  <c r="H187" i="3"/>
  <c r="G187" i="3"/>
  <c r="J186" i="3"/>
  <c r="I186" i="3"/>
  <c r="H186" i="3"/>
  <c r="G186" i="3"/>
  <c r="J185" i="3"/>
  <c r="I185" i="3"/>
  <c r="H185" i="3"/>
  <c r="G185" i="3"/>
  <c r="J184" i="3"/>
  <c r="I184" i="3"/>
  <c r="H184" i="3"/>
  <c r="G184" i="3"/>
  <c r="J183" i="3"/>
  <c r="I183" i="3"/>
  <c r="H183" i="3"/>
  <c r="G183" i="3"/>
  <c r="J182" i="3"/>
  <c r="I182" i="3"/>
  <c r="H182" i="3"/>
  <c r="G182" i="3"/>
  <c r="J181" i="3"/>
  <c r="I181" i="3"/>
  <c r="H181" i="3"/>
  <c r="G181" i="3"/>
  <c r="J180" i="3"/>
  <c r="I180" i="3"/>
  <c r="H180" i="3"/>
  <c r="G180" i="3"/>
  <c r="J179" i="3"/>
  <c r="I179" i="3"/>
  <c r="H179" i="3"/>
  <c r="G179" i="3"/>
  <c r="J178" i="3"/>
  <c r="I178" i="3"/>
  <c r="H178" i="3"/>
  <c r="G178" i="3"/>
  <c r="J177" i="3"/>
  <c r="I177" i="3"/>
  <c r="H177" i="3"/>
  <c r="G177" i="3"/>
  <c r="J176" i="3"/>
  <c r="I176" i="3"/>
  <c r="H176" i="3"/>
  <c r="G176" i="3"/>
  <c r="J175" i="3"/>
  <c r="I175" i="3"/>
  <c r="H175" i="3"/>
  <c r="G175" i="3"/>
  <c r="J174" i="3"/>
  <c r="I174" i="3"/>
  <c r="H174" i="3"/>
  <c r="G174" i="3"/>
  <c r="J173" i="3"/>
  <c r="I173" i="3"/>
  <c r="H173" i="3"/>
  <c r="G173" i="3"/>
  <c r="J172" i="3"/>
  <c r="I172" i="3"/>
  <c r="H172" i="3"/>
  <c r="G172" i="3"/>
  <c r="J171" i="3"/>
  <c r="I171" i="3"/>
  <c r="H171" i="3"/>
  <c r="G171" i="3"/>
  <c r="J170" i="3"/>
  <c r="I170" i="3"/>
  <c r="H170" i="3"/>
  <c r="G170" i="3"/>
  <c r="J169" i="3"/>
  <c r="I169" i="3"/>
  <c r="H169" i="3"/>
  <c r="G169" i="3"/>
  <c r="J168" i="3"/>
  <c r="I168" i="3"/>
  <c r="H168" i="3"/>
  <c r="G168" i="3"/>
  <c r="J167" i="3"/>
  <c r="I167" i="3"/>
  <c r="H167" i="3"/>
  <c r="G167" i="3"/>
  <c r="J166" i="3"/>
  <c r="I166" i="3"/>
  <c r="H166" i="3"/>
  <c r="G166" i="3"/>
  <c r="J165" i="3"/>
  <c r="I165" i="3"/>
  <c r="H165" i="3"/>
  <c r="G165" i="3"/>
  <c r="J164" i="3"/>
  <c r="I164" i="3"/>
  <c r="H164" i="3"/>
  <c r="G164" i="3"/>
  <c r="J163" i="3"/>
  <c r="I163" i="3"/>
  <c r="H163" i="3"/>
  <c r="G163" i="3"/>
  <c r="J162" i="3"/>
  <c r="I162" i="3"/>
  <c r="H162" i="3"/>
  <c r="G162" i="3"/>
  <c r="J161" i="3"/>
  <c r="I161" i="3"/>
  <c r="H161" i="3"/>
  <c r="G161" i="3"/>
  <c r="J160" i="3"/>
  <c r="I160" i="3"/>
  <c r="H160" i="3"/>
  <c r="G160" i="3"/>
  <c r="J159" i="3"/>
  <c r="I159" i="3"/>
  <c r="H159" i="3"/>
  <c r="G159" i="3"/>
  <c r="J158" i="3"/>
  <c r="I158" i="3"/>
  <c r="H158" i="3"/>
  <c r="G158" i="3"/>
  <c r="J157" i="3"/>
  <c r="I157" i="3"/>
  <c r="H157" i="3"/>
  <c r="G157" i="3"/>
  <c r="J156" i="3"/>
  <c r="I156" i="3"/>
  <c r="H156" i="3"/>
  <c r="G156" i="3"/>
  <c r="J155" i="3"/>
  <c r="I155" i="3"/>
  <c r="H155" i="3"/>
  <c r="G155" i="3"/>
  <c r="J154" i="3"/>
  <c r="I154" i="3"/>
  <c r="H154" i="3"/>
  <c r="G154" i="3"/>
  <c r="J153" i="3"/>
  <c r="I153" i="3"/>
  <c r="H153" i="3"/>
  <c r="G153" i="3"/>
  <c r="J152" i="3"/>
  <c r="I152" i="3"/>
  <c r="H152" i="3"/>
  <c r="G152" i="3"/>
  <c r="J151" i="3"/>
  <c r="I151" i="3"/>
  <c r="H151" i="3"/>
  <c r="G151" i="3"/>
  <c r="J150" i="3"/>
  <c r="I150" i="3"/>
  <c r="H150" i="3"/>
  <c r="G150" i="3"/>
  <c r="J149" i="3"/>
  <c r="I149" i="3"/>
  <c r="H149" i="3"/>
  <c r="G149" i="3"/>
  <c r="J148" i="3"/>
  <c r="I148" i="3"/>
  <c r="H148" i="3"/>
  <c r="G148" i="3"/>
  <c r="J147" i="3"/>
  <c r="I147" i="3"/>
  <c r="H147" i="3"/>
  <c r="G147" i="3"/>
  <c r="J146" i="3"/>
  <c r="I146" i="3"/>
  <c r="H146" i="3"/>
  <c r="G146" i="3"/>
  <c r="J145" i="3"/>
  <c r="I145" i="3"/>
  <c r="H145" i="3"/>
  <c r="G145" i="3"/>
  <c r="J144" i="3"/>
  <c r="I144" i="3"/>
  <c r="H144" i="3"/>
  <c r="G144" i="3"/>
  <c r="J143" i="3"/>
  <c r="I143" i="3"/>
  <c r="H143" i="3"/>
  <c r="G143" i="3"/>
  <c r="J142" i="3"/>
  <c r="I142" i="3"/>
  <c r="H142" i="3"/>
  <c r="G142" i="3"/>
  <c r="J141" i="3"/>
  <c r="I141" i="3"/>
  <c r="H141" i="3"/>
  <c r="G141" i="3"/>
  <c r="J140" i="3"/>
  <c r="I140" i="3"/>
  <c r="H140" i="3"/>
  <c r="G140" i="3"/>
  <c r="J139" i="3"/>
  <c r="I139" i="3"/>
  <c r="H139" i="3"/>
  <c r="G139" i="3"/>
  <c r="J138" i="3"/>
  <c r="I138" i="3"/>
  <c r="H138" i="3"/>
  <c r="G138" i="3"/>
  <c r="J137" i="3"/>
  <c r="I137" i="3"/>
  <c r="H137" i="3"/>
  <c r="G137" i="3"/>
  <c r="J136" i="3"/>
  <c r="I136" i="3"/>
  <c r="H136" i="3"/>
  <c r="G136" i="3"/>
  <c r="J135" i="3"/>
  <c r="I135" i="3"/>
  <c r="H135" i="3"/>
  <c r="G135" i="3"/>
  <c r="J134" i="3"/>
  <c r="I134" i="3"/>
  <c r="H134" i="3"/>
  <c r="G134" i="3"/>
  <c r="J133" i="3"/>
  <c r="I133" i="3"/>
  <c r="H133" i="3"/>
  <c r="G133" i="3"/>
  <c r="J132" i="3"/>
  <c r="I132" i="3"/>
  <c r="H132" i="3"/>
  <c r="G132" i="3"/>
  <c r="J131" i="3"/>
  <c r="I131" i="3"/>
  <c r="H131" i="3"/>
  <c r="G131" i="3"/>
  <c r="J130" i="3"/>
  <c r="I130" i="3"/>
  <c r="H130" i="3"/>
  <c r="G130" i="3"/>
  <c r="J129" i="3"/>
  <c r="I129" i="3"/>
  <c r="H129" i="3"/>
  <c r="G129" i="3"/>
  <c r="J128" i="3"/>
  <c r="I128" i="3"/>
  <c r="H128" i="3"/>
  <c r="G128" i="3"/>
  <c r="J127" i="3"/>
  <c r="I127" i="3"/>
  <c r="H127" i="3"/>
  <c r="G127" i="3"/>
  <c r="J126" i="3"/>
  <c r="I126" i="3"/>
  <c r="H126" i="3"/>
  <c r="G126" i="3"/>
  <c r="J125" i="3"/>
  <c r="I125" i="3"/>
  <c r="H125" i="3"/>
  <c r="G125" i="3"/>
  <c r="J124" i="3"/>
  <c r="I124" i="3"/>
  <c r="H124" i="3"/>
  <c r="G124" i="3"/>
  <c r="J123" i="3"/>
  <c r="I123" i="3"/>
  <c r="H123" i="3"/>
  <c r="G123" i="3"/>
  <c r="J122" i="3"/>
  <c r="I122" i="3"/>
  <c r="H122" i="3"/>
  <c r="G122" i="3"/>
  <c r="J121" i="3"/>
  <c r="I121" i="3"/>
  <c r="H121" i="3"/>
  <c r="G121" i="3"/>
  <c r="J120" i="3"/>
  <c r="I120" i="3"/>
  <c r="H120" i="3"/>
  <c r="G120" i="3"/>
  <c r="J119" i="3"/>
  <c r="I119" i="3"/>
  <c r="H119" i="3"/>
  <c r="G119" i="3"/>
  <c r="J118" i="3"/>
  <c r="I118" i="3"/>
  <c r="H118" i="3"/>
  <c r="G118" i="3"/>
  <c r="J117" i="3"/>
  <c r="I117" i="3"/>
  <c r="H117" i="3"/>
  <c r="G117" i="3"/>
  <c r="J116" i="3"/>
  <c r="I116" i="3"/>
  <c r="H116" i="3"/>
  <c r="G116" i="3"/>
  <c r="J115" i="3"/>
  <c r="I115" i="3"/>
  <c r="H115" i="3"/>
  <c r="G115" i="3"/>
  <c r="J114" i="3"/>
  <c r="I114" i="3"/>
  <c r="H114" i="3"/>
  <c r="G114" i="3"/>
  <c r="J113" i="3"/>
  <c r="I113" i="3"/>
  <c r="H113" i="3"/>
  <c r="G113" i="3"/>
  <c r="J112" i="3"/>
  <c r="I112" i="3"/>
  <c r="H112" i="3"/>
  <c r="G112" i="3"/>
  <c r="J111" i="3"/>
  <c r="I111" i="3"/>
  <c r="H111" i="3"/>
  <c r="G111" i="3"/>
  <c r="J110" i="3"/>
  <c r="I110" i="3"/>
  <c r="H110" i="3"/>
  <c r="G110" i="3"/>
  <c r="J109" i="3"/>
  <c r="I109" i="3"/>
  <c r="H109" i="3"/>
  <c r="G109" i="3"/>
  <c r="J108" i="3"/>
  <c r="I108" i="3"/>
  <c r="H108" i="3"/>
  <c r="G108" i="3"/>
  <c r="J107" i="3"/>
  <c r="I107" i="3"/>
  <c r="H107" i="3"/>
  <c r="G107" i="3"/>
  <c r="J106" i="3"/>
  <c r="I106" i="3"/>
  <c r="H106" i="3"/>
  <c r="G106" i="3"/>
  <c r="J105" i="3"/>
  <c r="I105" i="3"/>
  <c r="H105" i="3"/>
  <c r="G105" i="3"/>
  <c r="J104" i="3"/>
  <c r="I104" i="3"/>
  <c r="H104" i="3"/>
  <c r="G104" i="3"/>
  <c r="J103" i="3"/>
  <c r="I103" i="3"/>
  <c r="H103" i="3"/>
  <c r="G103" i="3"/>
  <c r="J102" i="3"/>
  <c r="I102" i="3"/>
  <c r="H102" i="3"/>
  <c r="G102" i="3"/>
  <c r="J101" i="3"/>
  <c r="I101" i="3"/>
  <c r="H101" i="3"/>
  <c r="G101" i="3"/>
  <c r="J100" i="3"/>
  <c r="I100" i="3"/>
  <c r="H100" i="3"/>
  <c r="G100" i="3"/>
  <c r="J99" i="3"/>
  <c r="I99" i="3"/>
  <c r="H99" i="3"/>
  <c r="G99" i="3"/>
  <c r="J98" i="3"/>
  <c r="I98" i="3"/>
  <c r="H98" i="3"/>
  <c r="G98" i="3"/>
  <c r="J97" i="3"/>
  <c r="I97" i="3"/>
  <c r="H97" i="3"/>
  <c r="G97" i="3"/>
  <c r="J96" i="3"/>
  <c r="I96" i="3"/>
  <c r="H96" i="3"/>
  <c r="G96" i="3"/>
  <c r="J95" i="3"/>
  <c r="I95" i="3"/>
  <c r="H95" i="3"/>
  <c r="G95" i="3"/>
  <c r="J94" i="3"/>
  <c r="I94" i="3"/>
  <c r="H94" i="3"/>
  <c r="G94" i="3"/>
  <c r="J93" i="3"/>
  <c r="I93" i="3"/>
  <c r="H93" i="3"/>
  <c r="G93" i="3"/>
  <c r="J92" i="3"/>
  <c r="I92" i="3"/>
  <c r="H92" i="3"/>
  <c r="G92" i="3"/>
  <c r="J91" i="3"/>
  <c r="I91" i="3"/>
  <c r="H91" i="3"/>
  <c r="G91" i="3"/>
  <c r="J90" i="3"/>
  <c r="I90" i="3"/>
  <c r="H90" i="3"/>
  <c r="G90" i="3"/>
  <c r="J89" i="3"/>
  <c r="I89" i="3"/>
  <c r="H89" i="3"/>
  <c r="G89" i="3"/>
  <c r="J88" i="3"/>
  <c r="I88" i="3"/>
  <c r="H88" i="3"/>
  <c r="G88" i="3"/>
  <c r="J87" i="3"/>
  <c r="I87" i="3"/>
  <c r="H87" i="3"/>
  <c r="G87" i="3"/>
  <c r="J86" i="3"/>
  <c r="I86" i="3"/>
  <c r="H86" i="3"/>
  <c r="G86" i="3"/>
  <c r="J85" i="3"/>
  <c r="I85" i="3"/>
  <c r="H85" i="3"/>
  <c r="G85" i="3"/>
  <c r="J84" i="3"/>
  <c r="I84" i="3"/>
  <c r="H84" i="3"/>
  <c r="G84" i="3"/>
  <c r="J83" i="3"/>
  <c r="I83" i="3"/>
  <c r="H83" i="3"/>
  <c r="G83" i="3"/>
  <c r="J82" i="3"/>
  <c r="I82" i="3"/>
  <c r="H82" i="3"/>
  <c r="G82" i="3"/>
  <c r="J81" i="3"/>
  <c r="I81" i="3"/>
  <c r="H81" i="3"/>
  <c r="G81" i="3"/>
  <c r="J80" i="3"/>
  <c r="I80" i="3"/>
  <c r="H80" i="3"/>
  <c r="G80" i="3"/>
  <c r="J79" i="3"/>
  <c r="I79" i="3"/>
  <c r="H79" i="3"/>
  <c r="G79" i="3"/>
  <c r="J78" i="3"/>
  <c r="I78" i="3"/>
  <c r="H78" i="3"/>
  <c r="G78" i="3"/>
  <c r="J77" i="3"/>
  <c r="I77" i="3"/>
  <c r="H77" i="3"/>
  <c r="G77" i="3"/>
  <c r="J76" i="3"/>
  <c r="I76" i="3"/>
  <c r="H76" i="3"/>
  <c r="G76" i="3"/>
  <c r="J75" i="3"/>
  <c r="I75" i="3"/>
  <c r="H75" i="3"/>
  <c r="G75" i="3"/>
  <c r="J74" i="3"/>
  <c r="I74" i="3"/>
  <c r="H74" i="3"/>
  <c r="G74" i="3"/>
  <c r="J73" i="3"/>
  <c r="I73" i="3"/>
  <c r="H73" i="3"/>
  <c r="G73" i="3"/>
  <c r="J72" i="3"/>
  <c r="I72" i="3"/>
  <c r="H72" i="3"/>
  <c r="G72" i="3"/>
  <c r="J71" i="3"/>
  <c r="I71" i="3"/>
  <c r="H71" i="3"/>
  <c r="G71" i="3"/>
  <c r="J70" i="3"/>
  <c r="I70" i="3"/>
  <c r="H70" i="3"/>
  <c r="G70" i="3"/>
  <c r="J69" i="3"/>
  <c r="I69" i="3"/>
  <c r="H69" i="3"/>
  <c r="G69" i="3"/>
  <c r="J68" i="3"/>
  <c r="I68" i="3"/>
  <c r="H68" i="3"/>
  <c r="G68" i="3"/>
  <c r="J67" i="3"/>
  <c r="I67" i="3"/>
  <c r="H67" i="3"/>
  <c r="G67" i="3"/>
  <c r="J66" i="3"/>
  <c r="I66" i="3"/>
  <c r="H66" i="3"/>
  <c r="G66" i="3"/>
  <c r="J65" i="3"/>
  <c r="I65" i="3"/>
  <c r="H65" i="3"/>
  <c r="G65" i="3"/>
  <c r="J64" i="3"/>
  <c r="I64" i="3"/>
  <c r="H64" i="3"/>
  <c r="G64" i="3"/>
  <c r="J63" i="3"/>
  <c r="I63" i="3"/>
  <c r="H63" i="3"/>
  <c r="G63" i="3"/>
  <c r="J62" i="3"/>
  <c r="I62" i="3"/>
  <c r="H62" i="3"/>
  <c r="G62" i="3"/>
  <c r="J61" i="3"/>
  <c r="I61" i="3"/>
  <c r="H61" i="3"/>
  <c r="G61" i="3"/>
  <c r="J60" i="3"/>
  <c r="I60" i="3"/>
  <c r="H60" i="3"/>
  <c r="G60" i="3"/>
  <c r="J59" i="3"/>
  <c r="I59" i="3"/>
  <c r="H59" i="3"/>
  <c r="G59" i="3"/>
  <c r="J58" i="3"/>
  <c r="I58" i="3"/>
  <c r="H58" i="3"/>
  <c r="G58" i="3"/>
  <c r="J57" i="3"/>
  <c r="I57" i="3"/>
  <c r="H57" i="3"/>
  <c r="G57" i="3"/>
  <c r="J56" i="3"/>
  <c r="I56" i="3"/>
  <c r="H56" i="3"/>
  <c r="G56" i="3"/>
  <c r="J55" i="3"/>
  <c r="I55" i="3"/>
  <c r="H55" i="3"/>
  <c r="G55" i="3"/>
  <c r="J54" i="3"/>
  <c r="I54" i="3"/>
  <c r="H54" i="3"/>
  <c r="G54" i="3"/>
  <c r="J53" i="3"/>
  <c r="I53" i="3"/>
  <c r="H53" i="3"/>
  <c r="G53" i="3"/>
  <c r="J52" i="3"/>
  <c r="I52" i="3"/>
  <c r="H52" i="3"/>
  <c r="G52" i="3"/>
  <c r="J51" i="3"/>
  <c r="I51" i="3"/>
  <c r="H51" i="3"/>
  <c r="G51" i="3"/>
  <c r="J50" i="3"/>
  <c r="I50" i="3"/>
  <c r="H50" i="3"/>
  <c r="G50" i="3"/>
  <c r="J49" i="3"/>
  <c r="I49" i="3"/>
  <c r="H49" i="3"/>
  <c r="G49" i="3"/>
  <c r="J48" i="3"/>
  <c r="I48" i="3"/>
  <c r="H48" i="3"/>
  <c r="G48" i="3"/>
  <c r="J47" i="3"/>
  <c r="I47" i="3"/>
  <c r="H47" i="3"/>
  <c r="G47" i="3"/>
  <c r="J46" i="3"/>
  <c r="I46" i="3"/>
  <c r="H46" i="3"/>
  <c r="G46" i="3"/>
  <c r="J45" i="3"/>
  <c r="I45" i="3"/>
  <c r="H45" i="3"/>
  <c r="G45" i="3"/>
  <c r="J44" i="3"/>
  <c r="I44" i="3"/>
  <c r="H44" i="3"/>
  <c r="G44" i="3"/>
  <c r="J43" i="3"/>
  <c r="I43" i="3"/>
  <c r="H43" i="3"/>
  <c r="G43" i="3"/>
  <c r="J42" i="3"/>
  <c r="I42" i="3"/>
  <c r="H42" i="3"/>
  <c r="G42" i="3"/>
  <c r="J41" i="3"/>
  <c r="I41" i="3"/>
  <c r="H41" i="3"/>
  <c r="G41" i="3"/>
  <c r="J40" i="3"/>
  <c r="I40" i="3"/>
  <c r="H40" i="3"/>
  <c r="G40" i="3"/>
  <c r="J39" i="3"/>
  <c r="I39" i="3"/>
  <c r="H39" i="3"/>
  <c r="G39" i="3"/>
  <c r="J38" i="3"/>
  <c r="I38" i="3"/>
  <c r="H38" i="3"/>
  <c r="G38" i="3"/>
  <c r="J37" i="3"/>
  <c r="I37" i="3"/>
  <c r="H37" i="3"/>
  <c r="G37" i="3"/>
  <c r="J36" i="3"/>
  <c r="I36" i="3"/>
  <c r="H36" i="3"/>
  <c r="G36" i="3"/>
  <c r="J35" i="3"/>
  <c r="I35" i="3"/>
  <c r="H35" i="3"/>
  <c r="G35" i="3"/>
  <c r="J34" i="3"/>
  <c r="I34" i="3"/>
  <c r="H34" i="3"/>
  <c r="G34" i="3"/>
  <c r="J33" i="3"/>
  <c r="I33" i="3"/>
  <c r="H33" i="3"/>
  <c r="G33" i="3"/>
  <c r="J32" i="3"/>
  <c r="I32" i="3"/>
  <c r="H32" i="3"/>
  <c r="G32" i="3"/>
  <c r="J31" i="3"/>
  <c r="I31" i="3"/>
  <c r="H31" i="3"/>
  <c r="G31" i="3"/>
  <c r="J30" i="3"/>
  <c r="I30" i="3"/>
  <c r="H30" i="3"/>
  <c r="G30" i="3"/>
  <c r="J29" i="3"/>
  <c r="I29" i="3"/>
  <c r="H29" i="3"/>
  <c r="G29" i="3"/>
  <c r="J28" i="3"/>
  <c r="I28" i="3"/>
  <c r="H28" i="3"/>
  <c r="G28" i="3"/>
  <c r="J27" i="3"/>
  <c r="I27" i="3"/>
  <c r="H27" i="3"/>
  <c r="G27" i="3"/>
  <c r="J26" i="3"/>
  <c r="I26" i="3"/>
  <c r="H26" i="3"/>
  <c r="G26" i="3"/>
  <c r="J25" i="3"/>
  <c r="I25" i="3"/>
  <c r="H25" i="3"/>
  <c r="G25" i="3"/>
  <c r="J24" i="3"/>
  <c r="I24" i="3"/>
  <c r="H24" i="3"/>
  <c r="G24" i="3"/>
  <c r="J23" i="3"/>
  <c r="I23" i="3"/>
  <c r="H23" i="3"/>
  <c r="G23" i="3"/>
  <c r="J22" i="3"/>
  <c r="I22" i="3"/>
  <c r="H22" i="3"/>
  <c r="G22" i="3"/>
  <c r="J21" i="3"/>
  <c r="I21" i="3"/>
  <c r="H21" i="3"/>
  <c r="G21" i="3"/>
  <c r="J20" i="3"/>
  <c r="I20" i="3"/>
  <c r="H20" i="3"/>
  <c r="G20" i="3"/>
  <c r="J19" i="3"/>
  <c r="I19" i="3"/>
  <c r="H19" i="3"/>
  <c r="G19" i="3"/>
  <c r="J18" i="3"/>
  <c r="I18" i="3"/>
  <c r="H18" i="3"/>
  <c r="G18" i="3"/>
  <c r="J17" i="3"/>
  <c r="I17" i="3"/>
  <c r="H17" i="3"/>
  <c r="G17" i="3"/>
  <c r="J16" i="3"/>
  <c r="I16" i="3"/>
  <c r="H16" i="3"/>
  <c r="G16" i="3"/>
  <c r="J15" i="3"/>
  <c r="I15" i="3"/>
  <c r="H15" i="3"/>
  <c r="G15" i="3"/>
  <c r="J14" i="3"/>
  <c r="I14" i="3"/>
  <c r="H14" i="3"/>
  <c r="G14" i="3"/>
  <c r="J13" i="3"/>
  <c r="I13" i="3"/>
  <c r="H13" i="3"/>
  <c r="G13" i="3"/>
  <c r="J12" i="3"/>
  <c r="I12" i="3"/>
  <c r="H12" i="3"/>
  <c r="G12" i="3"/>
  <c r="J11" i="3"/>
  <c r="I11" i="3"/>
  <c r="H11" i="3"/>
  <c r="G11" i="3"/>
  <c r="J10" i="3"/>
  <c r="I10" i="3"/>
  <c r="H10" i="3"/>
  <c r="G10" i="3"/>
  <c r="J9" i="3"/>
  <c r="I9" i="3"/>
  <c r="H9" i="3"/>
  <c r="G9" i="3"/>
  <c r="J8" i="3"/>
  <c r="I8" i="3"/>
  <c r="H8" i="3"/>
  <c r="G8" i="3"/>
  <c r="J7" i="3"/>
  <c r="I7" i="3"/>
  <c r="H7" i="3"/>
  <c r="G7" i="3"/>
  <c r="J6" i="3"/>
  <c r="I6" i="3"/>
  <c r="H6" i="3"/>
  <c r="G6" i="3"/>
  <c r="J5" i="3"/>
  <c r="I5" i="3"/>
  <c r="H5" i="3"/>
  <c r="G5" i="3"/>
  <c r="J4" i="3"/>
  <c r="I4" i="3"/>
  <c r="H4" i="3"/>
  <c r="G4" i="3"/>
  <c r="J3" i="3"/>
  <c r="I3" i="3"/>
  <c r="H3" i="3"/>
  <c r="G3" i="3"/>
  <c r="J2" i="3"/>
  <c r="I2" i="3"/>
  <c r="H2" i="3"/>
  <c r="G2" i="3"/>
  <c r="J254" i="2"/>
  <c r="I254" i="2"/>
  <c r="H254" i="2"/>
  <c r="J253" i="2"/>
  <c r="I253" i="2"/>
  <c r="H253" i="2"/>
  <c r="J252" i="2"/>
  <c r="I252" i="2"/>
  <c r="H252" i="2"/>
  <c r="J251" i="2"/>
  <c r="I251" i="2"/>
  <c r="H251" i="2"/>
  <c r="J250" i="2"/>
  <c r="I250" i="2"/>
  <c r="H250" i="2"/>
  <c r="J249" i="2"/>
  <c r="I249" i="2"/>
  <c r="H249" i="2"/>
  <c r="J248" i="2"/>
  <c r="I248" i="2"/>
  <c r="H248" i="2"/>
  <c r="J247" i="2"/>
  <c r="I247" i="2"/>
  <c r="H247" i="2"/>
  <c r="J246" i="2"/>
  <c r="I246" i="2"/>
  <c r="H246" i="2"/>
  <c r="J245" i="2"/>
  <c r="I245" i="2"/>
  <c r="H245" i="2"/>
  <c r="J244" i="2"/>
  <c r="I244" i="2"/>
  <c r="H244" i="2"/>
  <c r="J243" i="2"/>
  <c r="I243" i="2"/>
  <c r="H243" i="2"/>
  <c r="J242" i="2"/>
  <c r="I242" i="2"/>
  <c r="H242" i="2"/>
  <c r="J241" i="2"/>
  <c r="I241" i="2"/>
  <c r="H241" i="2"/>
  <c r="J240" i="2"/>
  <c r="I240" i="2"/>
  <c r="H240" i="2"/>
  <c r="J239" i="2"/>
  <c r="I239" i="2"/>
  <c r="H239" i="2"/>
  <c r="J238" i="2"/>
  <c r="I238" i="2"/>
  <c r="H238" i="2"/>
  <c r="J237" i="2"/>
  <c r="I237" i="2"/>
  <c r="H237" i="2"/>
  <c r="J236" i="2"/>
  <c r="I236" i="2"/>
  <c r="H236" i="2"/>
  <c r="J235" i="2"/>
  <c r="I235" i="2"/>
  <c r="H235" i="2"/>
  <c r="J234" i="2"/>
  <c r="I234" i="2"/>
  <c r="H234" i="2"/>
  <c r="J233" i="2"/>
  <c r="I233" i="2"/>
  <c r="H233" i="2"/>
  <c r="J232" i="2"/>
  <c r="I232" i="2"/>
  <c r="H232" i="2"/>
  <c r="J231" i="2"/>
  <c r="I231" i="2"/>
  <c r="H231" i="2"/>
  <c r="J230" i="2"/>
  <c r="I230" i="2"/>
  <c r="H230" i="2"/>
  <c r="J229" i="2"/>
  <c r="I229" i="2"/>
  <c r="H229" i="2"/>
  <c r="J228" i="2"/>
  <c r="I228" i="2"/>
  <c r="H228" i="2"/>
  <c r="J227" i="2"/>
  <c r="I227" i="2"/>
  <c r="H227" i="2"/>
  <c r="J226" i="2"/>
  <c r="I226" i="2"/>
  <c r="H226" i="2"/>
  <c r="J225" i="2"/>
  <c r="I225" i="2"/>
  <c r="H225" i="2"/>
  <c r="J224" i="2"/>
  <c r="I224" i="2"/>
  <c r="H224" i="2"/>
  <c r="J223" i="2"/>
  <c r="I223" i="2"/>
  <c r="H223" i="2"/>
  <c r="J222" i="2"/>
  <c r="I222" i="2"/>
  <c r="H222" i="2"/>
  <c r="J221" i="2"/>
  <c r="I221" i="2"/>
  <c r="H221" i="2"/>
  <c r="J220" i="2"/>
  <c r="I220" i="2"/>
  <c r="H220" i="2"/>
  <c r="J219" i="2"/>
  <c r="I219" i="2"/>
  <c r="H219" i="2"/>
  <c r="J218" i="2"/>
  <c r="I218" i="2"/>
  <c r="H218" i="2"/>
  <c r="J217" i="2"/>
  <c r="I217" i="2"/>
  <c r="H217" i="2"/>
  <c r="J216" i="2"/>
  <c r="I216" i="2"/>
  <c r="H216" i="2"/>
  <c r="J215" i="2"/>
  <c r="I215" i="2"/>
  <c r="H215" i="2"/>
  <c r="J214" i="2"/>
  <c r="I214" i="2"/>
  <c r="H214" i="2"/>
  <c r="J213" i="2"/>
  <c r="I213" i="2"/>
  <c r="H213" i="2"/>
  <c r="J212" i="2"/>
  <c r="I212" i="2"/>
  <c r="H212" i="2"/>
  <c r="J211" i="2"/>
  <c r="I211" i="2"/>
  <c r="H211" i="2"/>
  <c r="J210" i="2"/>
  <c r="I210" i="2"/>
  <c r="H210" i="2"/>
  <c r="J209" i="2"/>
  <c r="I209" i="2"/>
  <c r="H209" i="2"/>
  <c r="J208" i="2"/>
  <c r="I208" i="2"/>
  <c r="H208" i="2"/>
  <c r="J207" i="2"/>
  <c r="I207" i="2"/>
  <c r="H207" i="2"/>
  <c r="J206" i="2"/>
  <c r="I206" i="2"/>
  <c r="H206" i="2"/>
  <c r="J205" i="2"/>
  <c r="I205" i="2"/>
  <c r="H205" i="2"/>
  <c r="J204" i="2"/>
  <c r="I204" i="2"/>
  <c r="H204" i="2"/>
  <c r="J203" i="2"/>
  <c r="I203" i="2"/>
  <c r="H203" i="2"/>
  <c r="J202" i="2"/>
  <c r="I202" i="2"/>
  <c r="H202" i="2"/>
  <c r="J201" i="2"/>
  <c r="I201" i="2"/>
  <c r="H201" i="2"/>
  <c r="J200" i="2"/>
  <c r="I200" i="2"/>
  <c r="H200" i="2"/>
  <c r="J199" i="2"/>
  <c r="I199" i="2"/>
  <c r="H199" i="2"/>
  <c r="J198" i="2"/>
  <c r="I198" i="2"/>
  <c r="H198" i="2"/>
  <c r="J197" i="2"/>
  <c r="I197" i="2"/>
  <c r="H197" i="2"/>
  <c r="J196" i="2"/>
  <c r="I196" i="2"/>
  <c r="H196" i="2"/>
  <c r="J195" i="2"/>
  <c r="I195" i="2"/>
  <c r="H195" i="2"/>
  <c r="J194" i="2"/>
  <c r="I194" i="2"/>
  <c r="H194" i="2"/>
  <c r="J193" i="2"/>
  <c r="I193" i="2"/>
  <c r="H193" i="2"/>
  <c r="J192" i="2"/>
  <c r="I192" i="2"/>
  <c r="H192" i="2"/>
  <c r="J191" i="2"/>
  <c r="I191" i="2"/>
  <c r="H191" i="2"/>
  <c r="J190" i="2"/>
  <c r="I190" i="2"/>
  <c r="H190" i="2"/>
  <c r="J189" i="2"/>
  <c r="I189" i="2"/>
  <c r="H189" i="2"/>
  <c r="J188" i="2"/>
  <c r="I188" i="2"/>
  <c r="H188" i="2"/>
  <c r="J187" i="2"/>
  <c r="I187" i="2"/>
  <c r="H187" i="2"/>
  <c r="J186" i="2"/>
  <c r="I186" i="2"/>
  <c r="H186" i="2"/>
  <c r="J185" i="2"/>
  <c r="I185" i="2"/>
  <c r="H185" i="2"/>
  <c r="J184" i="2"/>
  <c r="I184" i="2"/>
  <c r="H184" i="2"/>
  <c r="J183" i="2"/>
  <c r="I183" i="2"/>
  <c r="H183" i="2"/>
  <c r="J182" i="2"/>
  <c r="I182" i="2"/>
  <c r="H182" i="2"/>
  <c r="J181" i="2"/>
  <c r="I181" i="2"/>
  <c r="H181" i="2"/>
  <c r="J180" i="2"/>
  <c r="I180" i="2"/>
  <c r="H180" i="2"/>
  <c r="J179" i="2"/>
  <c r="I179" i="2"/>
  <c r="H179" i="2"/>
  <c r="J178" i="2"/>
  <c r="I178" i="2"/>
  <c r="H178" i="2"/>
  <c r="J177" i="2"/>
  <c r="I177" i="2"/>
  <c r="H177" i="2"/>
  <c r="J176" i="2"/>
  <c r="I176" i="2"/>
  <c r="H176" i="2"/>
  <c r="J175" i="2"/>
  <c r="I175" i="2"/>
  <c r="H175" i="2"/>
  <c r="J174" i="2"/>
  <c r="I174" i="2"/>
  <c r="H174" i="2"/>
  <c r="J173" i="2"/>
  <c r="I173" i="2"/>
  <c r="H173" i="2"/>
  <c r="J172" i="2"/>
  <c r="I172" i="2"/>
  <c r="H172" i="2"/>
  <c r="J171" i="2"/>
  <c r="I171" i="2"/>
  <c r="H171" i="2"/>
  <c r="J170" i="2"/>
  <c r="I170" i="2"/>
  <c r="H170" i="2"/>
  <c r="J169" i="2"/>
  <c r="I169" i="2"/>
  <c r="H169" i="2"/>
  <c r="J168" i="2"/>
  <c r="I168" i="2"/>
  <c r="H168" i="2"/>
  <c r="J167" i="2"/>
  <c r="I167" i="2"/>
  <c r="H167" i="2"/>
  <c r="J166" i="2"/>
  <c r="I166" i="2"/>
  <c r="H166" i="2"/>
  <c r="J165" i="2"/>
  <c r="I165" i="2"/>
  <c r="H165" i="2"/>
  <c r="J164" i="2"/>
  <c r="I164" i="2"/>
  <c r="H164" i="2"/>
  <c r="J163" i="2"/>
  <c r="I163" i="2"/>
  <c r="H163" i="2"/>
  <c r="J162" i="2"/>
  <c r="I162" i="2"/>
  <c r="H162" i="2"/>
  <c r="J161" i="2"/>
  <c r="I161" i="2"/>
  <c r="H161" i="2"/>
  <c r="J160" i="2"/>
  <c r="I160" i="2"/>
  <c r="H160" i="2"/>
  <c r="J159" i="2"/>
  <c r="I159" i="2"/>
  <c r="H159" i="2"/>
  <c r="J158" i="2"/>
  <c r="I158" i="2"/>
  <c r="H158" i="2"/>
  <c r="J157" i="2"/>
  <c r="I157" i="2"/>
  <c r="H157" i="2"/>
  <c r="J156" i="2"/>
  <c r="I156" i="2"/>
  <c r="H156" i="2"/>
  <c r="J155" i="2"/>
  <c r="I155" i="2"/>
  <c r="H155" i="2"/>
  <c r="J154" i="2"/>
  <c r="I154" i="2"/>
  <c r="H154" i="2"/>
  <c r="J153" i="2"/>
  <c r="I153" i="2"/>
  <c r="H153" i="2"/>
  <c r="J152" i="2"/>
  <c r="I152" i="2"/>
  <c r="H152" i="2"/>
  <c r="J151" i="2"/>
  <c r="I151" i="2"/>
  <c r="H151" i="2"/>
  <c r="J150" i="2"/>
  <c r="I150" i="2"/>
  <c r="H150" i="2"/>
  <c r="J149" i="2"/>
  <c r="I149" i="2"/>
  <c r="H149" i="2"/>
  <c r="J148" i="2"/>
  <c r="I148" i="2"/>
  <c r="H148" i="2"/>
  <c r="J147" i="2"/>
  <c r="I147" i="2"/>
  <c r="H147" i="2"/>
  <c r="J146" i="2"/>
  <c r="I146" i="2"/>
  <c r="H146" i="2"/>
  <c r="J145" i="2"/>
  <c r="I145" i="2"/>
  <c r="H145" i="2"/>
  <c r="J144" i="2"/>
  <c r="I144" i="2"/>
  <c r="H144" i="2"/>
  <c r="J143" i="2"/>
  <c r="I143" i="2"/>
  <c r="H143" i="2"/>
  <c r="J142" i="2"/>
  <c r="I142" i="2"/>
  <c r="H142" i="2"/>
  <c r="J141" i="2"/>
  <c r="I141" i="2"/>
  <c r="H141" i="2"/>
  <c r="J140" i="2"/>
  <c r="I140" i="2"/>
  <c r="H140" i="2"/>
  <c r="J139" i="2"/>
  <c r="I139" i="2"/>
  <c r="H139" i="2"/>
  <c r="J138" i="2"/>
  <c r="I138" i="2"/>
  <c r="H138" i="2"/>
  <c r="J137" i="2"/>
  <c r="I137" i="2"/>
  <c r="H137" i="2"/>
  <c r="J136" i="2"/>
  <c r="I136" i="2"/>
  <c r="H136" i="2"/>
  <c r="J135" i="2"/>
  <c r="I135" i="2"/>
  <c r="H135" i="2"/>
  <c r="J134" i="2"/>
  <c r="I134" i="2"/>
  <c r="H134" i="2"/>
  <c r="J133" i="2"/>
  <c r="I133" i="2"/>
  <c r="H133" i="2"/>
  <c r="J132" i="2"/>
  <c r="I132" i="2"/>
  <c r="H132" i="2"/>
  <c r="J131" i="2"/>
  <c r="I131" i="2"/>
  <c r="H131" i="2"/>
  <c r="J130" i="2"/>
  <c r="I130" i="2"/>
  <c r="H130" i="2"/>
  <c r="J129" i="2"/>
  <c r="I129" i="2"/>
  <c r="H129" i="2"/>
  <c r="J128" i="2"/>
  <c r="I128" i="2"/>
  <c r="H128" i="2"/>
  <c r="J127" i="2"/>
  <c r="I127" i="2"/>
  <c r="H127" i="2"/>
  <c r="J126" i="2"/>
  <c r="I126" i="2"/>
  <c r="H126" i="2"/>
  <c r="J125" i="2"/>
  <c r="I125" i="2"/>
  <c r="H125" i="2"/>
  <c r="J124" i="2"/>
  <c r="I124" i="2"/>
  <c r="H124" i="2"/>
  <c r="J123" i="2"/>
  <c r="I123" i="2"/>
  <c r="H123" i="2"/>
  <c r="J122" i="2"/>
  <c r="I122" i="2"/>
  <c r="H122" i="2"/>
  <c r="J121" i="2"/>
  <c r="I121" i="2"/>
  <c r="H121" i="2"/>
  <c r="J120" i="2"/>
  <c r="I120" i="2"/>
  <c r="H120" i="2"/>
  <c r="J119" i="2"/>
  <c r="I119" i="2"/>
  <c r="H119" i="2"/>
  <c r="J118" i="2"/>
  <c r="I118" i="2"/>
  <c r="H118" i="2"/>
  <c r="J117" i="2"/>
  <c r="I117" i="2"/>
  <c r="H117" i="2"/>
  <c r="J116" i="2"/>
  <c r="I116" i="2"/>
  <c r="H116" i="2"/>
  <c r="J115" i="2"/>
  <c r="I115" i="2"/>
  <c r="H115" i="2"/>
  <c r="J114" i="2"/>
  <c r="I114" i="2"/>
  <c r="H114" i="2"/>
  <c r="J113" i="2"/>
  <c r="I113" i="2"/>
  <c r="H113" i="2"/>
  <c r="J112" i="2"/>
  <c r="I112" i="2"/>
  <c r="H112" i="2"/>
  <c r="J111" i="2"/>
  <c r="I111" i="2"/>
  <c r="H111" i="2"/>
  <c r="J110" i="2"/>
  <c r="I110" i="2"/>
  <c r="H110" i="2"/>
  <c r="J109" i="2"/>
  <c r="I109" i="2"/>
  <c r="H109" i="2"/>
  <c r="J108" i="2"/>
  <c r="I108" i="2"/>
  <c r="H108" i="2"/>
  <c r="J107" i="2"/>
  <c r="I107" i="2"/>
  <c r="H107" i="2"/>
  <c r="J106" i="2"/>
  <c r="I106" i="2"/>
  <c r="H106" i="2"/>
  <c r="J105" i="2"/>
  <c r="I105" i="2"/>
  <c r="H105" i="2"/>
  <c r="J104" i="2"/>
  <c r="I104" i="2"/>
  <c r="H104" i="2"/>
  <c r="J103" i="2"/>
  <c r="I103" i="2"/>
  <c r="H103" i="2"/>
  <c r="J102" i="2"/>
  <c r="I102" i="2"/>
  <c r="H102" i="2"/>
  <c r="J101" i="2"/>
  <c r="I101" i="2"/>
  <c r="H101" i="2"/>
  <c r="J100" i="2"/>
  <c r="I100" i="2"/>
  <c r="H100" i="2"/>
  <c r="J99" i="2"/>
  <c r="I99" i="2"/>
  <c r="H99" i="2"/>
  <c r="J98" i="2"/>
  <c r="I98" i="2"/>
  <c r="H98" i="2"/>
  <c r="J97" i="2"/>
  <c r="I97" i="2"/>
  <c r="H97" i="2"/>
  <c r="J96" i="2"/>
  <c r="I96" i="2"/>
  <c r="H96" i="2"/>
  <c r="J95" i="2"/>
  <c r="I95" i="2"/>
  <c r="H95" i="2"/>
  <c r="J94" i="2"/>
  <c r="I94" i="2"/>
  <c r="H94" i="2"/>
  <c r="J93" i="2"/>
  <c r="I93" i="2"/>
  <c r="H93" i="2"/>
  <c r="J92" i="2"/>
  <c r="I92" i="2"/>
  <c r="H92" i="2"/>
  <c r="J91" i="2"/>
  <c r="I91" i="2"/>
  <c r="H91" i="2"/>
  <c r="J90" i="2"/>
  <c r="I90" i="2"/>
  <c r="H90" i="2"/>
  <c r="J89" i="2"/>
  <c r="I89" i="2"/>
  <c r="H89" i="2"/>
  <c r="J88" i="2"/>
  <c r="I88" i="2"/>
  <c r="H88" i="2"/>
  <c r="J87" i="2"/>
  <c r="I87" i="2"/>
  <c r="H87" i="2"/>
  <c r="J86" i="2"/>
  <c r="I86" i="2"/>
  <c r="H86" i="2"/>
  <c r="J85" i="2"/>
  <c r="I85" i="2"/>
  <c r="H85" i="2"/>
  <c r="J84" i="2"/>
  <c r="I84" i="2"/>
  <c r="H84" i="2"/>
  <c r="J83" i="2"/>
  <c r="I83" i="2"/>
  <c r="H83" i="2"/>
  <c r="J82" i="2"/>
  <c r="I82" i="2"/>
  <c r="H82" i="2"/>
  <c r="J81" i="2"/>
  <c r="I81" i="2"/>
  <c r="H81" i="2"/>
  <c r="J80" i="2"/>
  <c r="I80" i="2"/>
  <c r="H80" i="2"/>
  <c r="J79" i="2"/>
  <c r="I79" i="2"/>
  <c r="H79" i="2"/>
  <c r="J78" i="2"/>
  <c r="I78" i="2"/>
  <c r="H78" i="2"/>
  <c r="J77" i="2"/>
  <c r="I77" i="2"/>
  <c r="H77" i="2"/>
  <c r="J76" i="2"/>
  <c r="I76" i="2"/>
  <c r="H76" i="2"/>
  <c r="J75" i="2"/>
  <c r="I75" i="2"/>
  <c r="H75" i="2"/>
  <c r="J74" i="2"/>
  <c r="I74" i="2"/>
  <c r="H74" i="2"/>
  <c r="J73" i="2"/>
  <c r="I73" i="2"/>
  <c r="H73" i="2"/>
  <c r="J72" i="2"/>
  <c r="I72" i="2"/>
  <c r="H72" i="2"/>
  <c r="J71" i="2"/>
  <c r="I71" i="2"/>
  <c r="H71" i="2"/>
  <c r="J70" i="2"/>
  <c r="I70" i="2"/>
  <c r="H70" i="2"/>
  <c r="J69" i="2"/>
  <c r="I69" i="2"/>
  <c r="H69" i="2"/>
  <c r="J68" i="2"/>
  <c r="I68" i="2"/>
  <c r="H68" i="2"/>
  <c r="J67" i="2"/>
  <c r="I67" i="2"/>
  <c r="H67" i="2"/>
  <c r="J66" i="2"/>
  <c r="I66" i="2"/>
  <c r="H66" i="2"/>
  <c r="J65" i="2"/>
  <c r="I65" i="2"/>
  <c r="H65" i="2"/>
  <c r="J64" i="2"/>
  <c r="I64" i="2"/>
  <c r="H64" i="2"/>
  <c r="J63" i="2"/>
  <c r="I63" i="2"/>
  <c r="H63" i="2"/>
  <c r="J62" i="2"/>
  <c r="I62" i="2"/>
  <c r="H62" i="2"/>
  <c r="J61" i="2"/>
  <c r="I61" i="2"/>
  <c r="H61" i="2"/>
  <c r="J60" i="2"/>
  <c r="I60" i="2"/>
  <c r="H60" i="2"/>
  <c r="J59" i="2"/>
  <c r="I59" i="2"/>
  <c r="H59" i="2"/>
  <c r="J58" i="2"/>
  <c r="I58" i="2"/>
  <c r="H58" i="2"/>
  <c r="J57" i="2"/>
  <c r="I57" i="2"/>
  <c r="H57" i="2"/>
  <c r="J56" i="2"/>
  <c r="I56" i="2"/>
  <c r="H56" i="2"/>
  <c r="J55" i="2"/>
  <c r="I55" i="2"/>
  <c r="H55" i="2"/>
  <c r="J54" i="2"/>
  <c r="I54" i="2"/>
  <c r="H54" i="2"/>
  <c r="J53" i="2"/>
  <c r="I53" i="2"/>
  <c r="H53" i="2"/>
  <c r="J52" i="2"/>
  <c r="I52" i="2"/>
  <c r="H52" i="2"/>
  <c r="J51" i="2"/>
  <c r="I51" i="2"/>
  <c r="H51" i="2"/>
  <c r="J50" i="2"/>
  <c r="I50" i="2"/>
  <c r="H50" i="2"/>
  <c r="J49" i="2"/>
  <c r="I49" i="2"/>
  <c r="H49" i="2"/>
  <c r="J48" i="2"/>
  <c r="I48" i="2"/>
  <c r="H48" i="2"/>
  <c r="J47" i="2"/>
  <c r="I47" i="2"/>
  <c r="H47" i="2"/>
  <c r="J46" i="2"/>
  <c r="I46" i="2"/>
  <c r="H46" i="2"/>
  <c r="J45" i="2"/>
  <c r="I45" i="2"/>
  <c r="H45" i="2"/>
  <c r="J44" i="2"/>
  <c r="I44" i="2"/>
  <c r="H44" i="2"/>
  <c r="J43" i="2"/>
  <c r="I43" i="2"/>
  <c r="H43" i="2"/>
  <c r="J42" i="2"/>
  <c r="I42" i="2"/>
  <c r="H42" i="2"/>
  <c r="J41" i="2"/>
  <c r="I41" i="2"/>
  <c r="H41" i="2"/>
  <c r="J40" i="2"/>
  <c r="I40" i="2"/>
  <c r="H40" i="2"/>
  <c r="J39" i="2"/>
  <c r="I39" i="2"/>
  <c r="H39" i="2"/>
  <c r="J38" i="2"/>
  <c r="I38" i="2"/>
  <c r="H38" i="2"/>
  <c r="J37" i="2"/>
  <c r="I37" i="2"/>
  <c r="H37" i="2"/>
  <c r="J36" i="2"/>
  <c r="I36" i="2"/>
  <c r="H36" i="2"/>
  <c r="J35" i="2"/>
  <c r="I35" i="2"/>
  <c r="H35" i="2"/>
  <c r="J34" i="2"/>
  <c r="I34" i="2"/>
  <c r="H34" i="2"/>
  <c r="J33" i="2"/>
  <c r="I33" i="2"/>
  <c r="H33" i="2"/>
  <c r="J32" i="2"/>
  <c r="I32" i="2"/>
  <c r="H32" i="2"/>
  <c r="J31" i="2"/>
  <c r="I31" i="2"/>
  <c r="H31" i="2"/>
  <c r="J30" i="2"/>
  <c r="I30" i="2"/>
  <c r="H30" i="2"/>
  <c r="J29" i="2"/>
  <c r="I29" i="2"/>
  <c r="H29" i="2"/>
  <c r="J28" i="2"/>
  <c r="I28" i="2"/>
  <c r="H28" i="2"/>
  <c r="J27" i="2"/>
  <c r="I27" i="2"/>
  <c r="H27" i="2"/>
  <c r="J26" i="2"/>
  <c r="I26" i="2"/>
  <c r="H26" i="2"/>
  <c r="J25" i="2"/>
  <c r="I25" i="2"/>
  <c r="H25" i="2"/>
  <c r="J24" i="2"/>
  <c r="I24" i="2"/>
  <c r="H24" i="2"/>
  <c r="J23" i="2"/>
  <c r="I23" i="2"/>
  <c r="H23" i="2"/>
  <c r="J22" i="2"/>
  <c r="I22" i="2"/>
  <c r="H22" i="2"/>
  <c r="J21" i="2"/>
  <c r="I21" i="2"/>
  <c r="H21" i="2"/>
  <c r="J20" i="2"/>
  <c r="I20" i="2"/>
  <c r="H20" i="2"/>
  <c r="J19" i="2"/>
  <c r="I19" i="2"/>
  <c r="H19" i="2"/>
  <c r="J18" i="2"/>
  <c r="I18" i="2"/>
  <c r="H18" i="2"/>
  <c r="J17" i="2"/>
  <c r="I17" i="2"/>
  <c r="H17" i="2"/>
  <c r="J16" i="2"/>
  <c r="I16" i="2"/>
  <c r="H16" i="2"/>
  <c r="J15" i="2"/>
  <c r="I15" i="2"/>
  <c r="H15" i="2"/>
  <c r="J14" i="2"/>
  <c r="I14" i="2"/>
  <c r="H14" i="2"/>
  <c r="J13" i="2"/>
  <c r="I13" i="2"/>
  <c r="H13" i="2"/>
  <c r="J12" i="2"/>
  <c r="I12" i="2"/>
  <c r="H12" i="2"/>
  <c r="J11" i="2"/>
  <c r="I11" i="2"/>
  <c r="H11" i="2"/>
  <c r="J10" i="2"/>
  <c r="I10" i="2"/>
  <c r="H10" i="2"/>
  <c r="J9" i="2"/>
  <c r="I9" i="2"/>
  <c r="H9" i="2"/>
  <c r="J8" i="2"/>
  <c r="I8" i="2"/>
  <c r="H8" i="2"/>
  <c r="J7" i="2"/>
  <c r="I7" i="2"/>
  <c r="H7" i="2"/>
  <c r="J6" i="2"/>
  <c r="I6" i="2"/>
  <c r="H6" i="2"/>
  <c r="J5" i="2"/>
  <c r="I5" i="2"/>
  <c r="H5" i="2"/>
  <c r="J3" i="2"/>
  <c r="I3" i="2"/>
  <c r="H3" i="2"/>
  <c r="J2" i="2"/>
  <c r="I2" i="2"/>
  <c r="H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M1" authorId="0" shapeId="0" xr:uid="{00000000-0006-0000-0100-000001000000}">
      <text>
        <r>
          <rPr>
            <sz val="10"/>
            <color rgb="FF000000"/>
            <rFont val="Arial"/>
            <family val="2"/>
          </rPr>
          <t>Energía por 100 g comestibles</t>
        </r>
      </text>
    </comment>
    <comment ref="N1" authorId="0" shapeId="0" xr:uid="{00000000-0006-0000-0100-000002000000}">
      <text>
        <r>
          <rPr>
            <sz val="10"/>
            <rFont val="Arial"/>
            <family val="2"/>
          </rPr>
          <t>Proteína por 100 g; validar producto de marca con etiqueta</t>
        </r>
      </text>
    </comment>
    <comment ref="O1" authorId="0" shapeId="0" xr:uid="{00000000-0006-0000-0100-000003000000}">
      <text>
        <r>
          <rPr>
            <sz val="10"/>
            <rFont val="Arial"/>
            <family val="2"/>
          </rPr>
          <t>Hidratos totales por 100 g</t>
        </r>
      </text>
    </comment>
    <comment ref="AF1" authorId="0" shapeId="0" xr:uid="{00000000-0006-0000-0100-000004000000}">
      <text>
        <r>
          <rPr>
            <sz val="10"/>
            <rFont val="Arial"/>
            <family val="2"/>
          </rPr>
          <t>Índice glucémico orientativo; varía por cocción, maduración y matriz</t>
        </r>
      </text>
    </comment>
    <comment ref="AG1" authorId="0" shapeId="0" xr:uid="{00000000-0006-0000-0100-000005000000}">
      <text>
        <r>
          <rPr>
            <sz val="10"/>
            <color rgb="FF000000"/>
            <rFont val="Arial"/>
            <family val="2"/>
          </rPr>
          <t>Carga glucémica calculada como IG x CHO/100</t>
        </r>
      </text>
    </comment>
    <comment ref="AH1" authorId="0" shapeId="0" xr:uid="{00000000-0006-0000-0100-000006000000}">
      <text>
        <r>
          <rPr>
            <sz val="10"/>
            <rFont val="Arial"/>
            <family val="2"/>
          </rPr>
          <t>Campo profesional orientativo para timing deportivo</t>
        </r>
      </text>
    </comment>
  </commentList>
</comments>
</file>

<file path=xl/sharedStrings.xml><?xml version="1.0" encoding="utf-8"?>
<sst xmlns="http://schemas.openxmlformats.org/spreadsheetml/2006/main" count="14698" uniqueCount="1391">
  <si>
    <t>Base de datos nutricional profesional C — 1200 alimentos</t>
  </si>
  <si>
    <t>Contenido</t>
  </si>
  <si>
    <t>Workbook con alimentos, nutrientes, raciones, equivalencias, calculadora y fuentes.</t>
  </si>
  <si>
    <t>Unidad</t>
  </si>
  <si>
    <t>Todos los valores nutricionales están expresados por 100 g de porción comestible salvo indicación.</t>
  </si>
  <si>
    <t>Uso</t>
  </si>
  <si>
    <t>Calculadora clínica/deportiva, menús, planificación pre/intra/post entrenamiento y base inicial para app.</t>
  </si>
  <si>
    <t>Limitación</t>
  </si>
  <si>
    <t>Base estandarizada y editable. Para producto de marca debe prevalecer etiqueta oficial; para uso clínico crítico validar contra fuente primaria.</t>
  </si>
  <si>
    <t>Fuentes</t>
  </si>
  <si>
    <t>USDA FoodData Central, BEDCA/AESAN, criterios profesionales de clasificación y adaptación deportiva.</t>
  </si>
  <si>
    <t>Fecha de creación</t>
  </si>
  <si>
    <t>2026-05-05</t>
  </si>
  <si>
    <t>food_id</t>
  </si>
  <si>
    <t>nombre</t>
  </si>
  <si>
    <t>categoria</t>
  </si>
  <si>
    <t>subcategoria</t>
  </si>
  <si>
    <t>estado</t>
  </si>
  <si>
    <t>marca</t>
  </si>
  <si>
    <t>procesado_NOVA</t>
  </si>
  <si>
    <t>gluten</t>
  </si>
  <si>
    <t>lactosa</t>
  </si>
  <si>
    <t>vegano</t>
  </si>
  <si>
    <t>fodmap</t>
  </si>
  <si>
    <t>unidad_g</t>
  </si>
  <si>
    <t>kcal</t>
  </si>
  <si>
    <t>proteina_g</t>
  </si>
  <si>
    <t>hidratos_g</t>
  </si>
  <si>
    <t>azucares_g</t>
  </si>
  <si>
    <t>almidon_g</t>
  </si>
  <si>
    <t>grasa_g</t>
  </si>
  <si>
    <t>saturadas_g</t>
  </si>
  <si>
    <t>monoinsat_g</t>
  </si>
  <si>
    <t>poliinsat_g</t>
  </si>
  <si>
    <t>omega3_g</t>
  </si>
  <si>
    <t>fibra_g</t>
  </si>
  <si>
    <t>sodio_mg</t>
  </si>
  <si>
    <t>potasio_mg</t>
  </si>
  <si>
    <t>calcio_mg</t>
  </si>
  <si>
    <t>magnesio_mg</t>
  </si>
  <si>
    <t>hierro_mg</t>
  </si>
  <si>
    <t>zinc_mg</t>
  </si>
  <si>
    <t>vitamina_C_mg</t>
  </si>
  <si>
    <t>folato_ug</t>
  </si>
  <si>
    <t>vitamina_D_ug</t>
  </si>
  <si>
    <t>cafeina_mg</t>
  </si>
  <si>
    <t>nitratos_mg</t>
  </si>
  <si>
    <t>indice_glucemico</t>
  </si>
  <si>
    <t>carga_glucemica</t>
  </si>
  <si>
    <t>digestibilidad</t>
  </si>
  <si>
    <t>residuo</t>
  </si>
  <si>
    <t>riesgo_hinchazon</t>
  </si>
  <si>
    <t>pre_entreno_partido</t>
  </si>
  <si>
    <t>intra_entreno_partido</t>
  </si>
  <si>
    <t>post_entreno_partido</t>
  </si>
  <si>
    <t>soporte_hidratacion</t>
  </si>
  <si>
    <t>fuente</t>
  </si>
  <si>
    <t>confianza</t>
  </si>
  <si>
    <t>notas</t>
  </si>
  <si>
    <t>Arroz blanco - crudo</t>
  </si>
  <si>
    <t>Cereal</t>
  </si>
  <si>
    <t>Arroz</t>
  </si>
  <si>
    <t>crudo</t>
  </si>
  <si>
    <t>Genérico</t>
  </si>
  <si>
    <t>NOVA1</t>
  </si>
  <si>
    <t>bajo</t>
  </si>
  <si>
    <t>media</t>
  </si>
  <si>
    <t>Condicional</t>
  </si>
  <si>
    <t>No</t>
  </si>
  <si>
    <t>Sí</t>
  </si>
  <si>
    <t>Bajo</t>
  </si>
  <si>
    <t>USDA/BEDCA estandarizado</t>
  </si>
  <si>
    <t>Media-alta</t>
  </si>
  <si>
    <t>eco Arroz blanco - crudo</t>
  </si>
  <si>
    <t>convencional Arroz blanco - crudo</t>
  </si>
  <si>
    <t>Arroz blanco - cocido</t>
  </si>
  <si>
    <t>cocido</t>
  </si>
  <si>
    <t>alta</t>
  </si>
  <si>
    <t>eco Arroz blanco - cocido</t>
  </si>
  <si>
    <t>convencional Arroz blanco - cocido</t>
  </si>
  <si>
    <t>Arroz blanco - integral cocido</t>
  </si>
  <si>
    <t>eco Arroz blanco - integral cocido</t>
  </si>
  <si>
    <t>convencional Arroz blanco - integral cocido</t>
  </si>
  <si>
    <t>Arroz blanco - en frío resistente</t>
  </si>
  <si>
    <t>eco Arroz blanco - en frío resistente</t>
  </si>
  <si>
    <t>convencional Arroz blanco - en frío resistente</t>
  </si>
  <si>
    <t>Arroz integral - crudo</t>
  </si>
  <si>
    <t>medio</t>
  </si>
  <si>
    <t>eco Arroz integral - crudo</t>
  </si>
  <si>
    <t>convencional Arroz integral - crudo</t>
  </si>
  <si>
    <t>Arroz integral - cocido</t>
  </si>
  <si>
    <t>eco Arroz integral - cocido</t>
  </si>
  <si>
    <t>convencional Arroz integral - cocido</t>
  </si>
  <si>
    <t>Arroz integral - integral cocido</t>
  </si>
  <si>
    <t>eco Arroz integral - integral cocido</t>
  </si>
  <si>
    <t>convencional Arroz integral - integral cocido</t>
  </si>
  <si>
    <t>Arroz integral - en frío resistente</t>
  </si>
  <si>
    <t>eco Arroz integral - en frío resistente</t>
  </si>
  <si>
    <t>convencional Arroz integral - en frío resistente</t>
  </si>
  <si>
    <t>Pasta de trigo - crudo</t>
  </si>
  <si>
    <t>Pasta</t>
  </si>
  <si>
    <t>eco Pasta de trigo - crudo</t>
  </si>
  <si>
    <t>convencional Pasta de trigo - crudo</t>
  </si>
  <si>
    <t>Pasta de trigo - cocido</t>
  </si>
  <si>
    <t>eco Pasta de trigo - cocido</t>
  </si>
  <si>
    <t>convencional Pasta de trigo - cocido</t>
  </si>
  <si>
    <t>Pasta de trigo - integral cocido</t>
  </si>
  <si>
    <t>eco Pasta de trigo - integral cocido</t>
  </si>
  <si>
    <t>convencional Pasta de trigo - integral cocido</t>
  </si>
  <si>
    <t>Pasta de trigo - en frío resistente</t>
  </si>
  <si>
    <t>eco Pasta de trigo - en frío resistente</t>
  </si>
  <si>
    <t>convencional Pasta de trigo - en frío resistente</t>
  </si>
  <si>
    <t>Pasta integral - crudo</t>
  </si>
  <si>
    <t>eco Pasta integral - crudo</t>
  </si>
  <si>
    <t>convencional Pasta integral - crudo</t>
  </si>
  <si>
    <t>Pasta integral - cocido</t>
  </si>
  <si>
    <t>eco Pasta integral - cocido</t>
  </si>
  <si>
    <t>convencional Pasta integral - cocido</t>
  </si>
  <si>
    <t>Pasta integral - integral cocido</t>
  </si>
  <si>
    <t>eco Pasta integral - integral cocido</t>
  </si>
  <si>
    <t>convencional Pasta integral - integral cocido</t>
  </si>
  <si>
    <t>Pasta integral - en frío resistente</t>
  </si>
  <si>
    <t>eco Pasta integral - en frío resistente</t>
  </si>
  <si>
    <t>convencional Pasta integral - en frío resistente</t>
  </si>
  <si>
    <t>Avena en copos - crudo</t>
  </si>
  <si>
    <t>Avena</t>
  </si>
  <si>
    <t>alto</t>
  </si>
  <si>
    <t>Alto</t>
  </si>
  <si>
    <t>eco Avena en copos - crudo</t>
  </si>
  <si>
    <t>convencional Avena en copos - crudo</t>
  </si>
  <si>
    <t>Avena en copos - cocido</t>
  </si>
  <si>
    <t>eco Avena en copos - cocido</t>
  </si>
  <si>
    <t>convencional Avena en copos - cocido</t>
  </si>
  <si>
    <t>Avena en copos - integral cocido</t>
  </si>
  <si>
    <t>eco Avena en copos - integral cocido</t>
  </si>
  <si>
    <t>convencional Avena en copos - integral cocido</t>
  </si>
  <si>
    <t>Avena en copos - en frío resistente</t>
  </si>
  <si>
    <t>eco Avena en copos - en frío resistente</t>
  </si>
  <si>
    <t>convencional Avena en copos - en frío resistente</t>
  </si>
  <si>
    <t>Quinoa - crudo</t>
  </si>
  <si>
    <t>Pseudocereal</t>
  </si>
  <si>
    <t>Quinoa</t>
  </si>
  <si>
    <t>eco Quinoa - crudo</t>
  </si>
  <si>
    <t>convencional Quinoa - crudo</t>
  </si>
  <si>
    <t>Quinoa - cocido</t>
  </si>
  <si>
    <t>eco Quinoa - cocido</t>
  </si>
  <si>
    <t>convencional Quinoa - cocido</t>
  </si>
  <si>
    <t>Quinoa - hinchado</t>
  </si>
  <si>
    <t>hinchado</t>
  </si>
  <si>
    <t>eco Quinoa - hinchado</t>
  </si>
  <si>
    <t>convencional Quinoa - hinchado</t>
  </si>
  <si>
    <t>Cuscús - crudo</t>
  </si>
  <si>
    <t>Trigo</t>
  </si>
  <si>
    <t>eco Cuscús - crudo</t>
  </si>
  <si>
    <t>convencional Cuscús - crudo</t>
  </si>
  <si>
    <t>Cuscús - cocido</t>
  </si>
  <si>
    <t>eco Cuscús - cocido</t>
  </si>
  <si>
    <t>convencional Cuscús - cocido</t>
  </si>
  <si>
    <t>Cuscús - integral cocido</t>
  </si>
  <si>
    <t>eco Cuscús - integral cocido</t>
  </si>
  <si>
    <t>convencional Cuscús - integral cocido</t>
  </si>
  <si>
    <t>Cuscús - en frío resistente</t>
  </si>
  <si>
    <t>eco Cuscús - en frío resistente</t>
  </si>
  <si>
    <t>convencional Cuscús - en frío resistente</t>
  </si>
  <si>
    <t>Bulgur - crudo</t>
  </si>
  <si>
    <t>eco Bulgur - crudo</t>
  </si>
  <si>
    <t>convencional Bulgur - crudo</t>
  </si>
  <si>
    <t>Bulgur - cocido</t>
  </si>
  <si>
    <t>eco Bulgur - cocido</t>
  </si>
  <si>
    <t>convencional Bulgur - cocido</t>
  </si>
  <si>
    <t>Bulgur - integral cocido</t>
  </si>
  <si>
    <t>eco Bulgur - integral cocido</t>
  </si>
  <si>
    <t>convencional Bulgur - integral cocido</t>
  </si>
  <si>
    <t>Bulgur - en frío resistente</t>
  </si>
  <si>
    <t>eco Bulgur - en frío resistente</t>
  </si>
  <si>
    <t>convencional Bulgur - en frío resistente</t>
  </si>
  <si>
    <t>Trigo sarraceno - crudo</t>
  </si>
  <si>
    <t>Alforfón</t>
  </si>
  <si>
    <t>eco Trigo sarraceno - crudo</t>
  </si>
  <si>
    <t>convencional Trigo sarraceno - crudo</t>
  </si>
  <si>
    <t>Trigo sarraceno - cocido</t>
  </si>
  <si>
    <t>eco Trigo sarraceno - cocido</t>
  </si>
  <si>
    <t>convencional Trigo sarraceno - cocido</t>
  </si>
  <si>
    <t>Trigo sarraceno - hinchado</t>
  </si>
  <si>
    <t>eco Trigo sarraceno - hinchado</t>
  </si>
  <si>
    <t>convencional Trigo sarraceno - hinchado</t>
  </si>
  <si>
    <t>Maíz dulce - crudo</t>
  </si>
  <si>
    <t>Maíz</t>
  </si>
  <si>
    <t>eco Maíz dulce - crudo</t>
  </si>
  <si>
    <t>convencional Maíz dulce - crudo</t>
  </si>
  <si>
    <t>Maíz dulce - cocido</t>
  </si>
  <si>
    <t>eco Maíz dulce - cocido</t>
  </si>
  <si>
    <t>convencional Maíz dulce - cocido</t>
  </si>
  <si>
    <t>Maíz dulce - integral cocido</t>
  </si>
  <si>
    <t>eco Maíz dulce - integral cocido</t>
  </si>
  <si>
    <t>convencional Maíz dulce - integral cocido</t>
  </si>
  <si>
    <t>Maíz dulce - en frío resistente</t>
  </si>
  <si>
    <t>eco Maíz dulce - en frío resistente</t>
  </si>
  <si>
    <t>convencional Maíz dulce - en frío resistente</t>
  </si>
  <si>
    <t>Patata - crudo</t>
  </si>
  <si>
    <t>Tubérculo</t>
  </si>
  <si>
    <t>Patata</t>
  </si>
  <si>
    <t>eco Patata - crudo</t>
  </si>
  <si>
    <t>convencional Patata - crudo</t>
  </si>
  <si>
    <t>Patata - cocido</t>
  </si>
  <si>
    <t>eco Patata - cocido</t>
  </si>
  <si>
    <t>convencional Patata - cocido</t>
  </si>
  <si>
    <t>Patata - asado</t>
  </si>
  <si>
    <t>asado</t>
  </si>
  <si>
    <t>eco Patata - asado</t>
  </si>
  <si>
    <t>convencional Patata - asado</t>
  </si>
  <si>
    <t>Patata - puré</t>
  </si>
  <si>
    <t>puré</t>
  </si>
  <si>
    <t>eco Patata - puré</t>
  </si>
  <si>
    <t>convencional Patata - puré</t>
  </si>
  <si>
    <t>Patata - frito</t>
  </si>
  <si>
    <t>frito</t>
  </si>
  <si>
    <t>eco Patata - frito</t>
  </si>
  <si>
    <t>convencional Patata - frito</t>
  </si>
  <si>
    <t>Batata - crudo</t>
  </si>
  <si>
    <t>Boniato</t>
  </si>
  <si>
    <t>eco Batata - crudo</t>
  </si>
  <si>
    <t>convencional Batata - crudo</t>
  </si>
  <si>
    <t>Batata - cocido</t>
  </si>
  <si>
    <t>eco Batata - cocido</t>
  </si>
  <si>
    <t>convencional Batata - cocido</t>
  </si>
  <si>
    <t>Batata - asado</t>
  </si>
  <si>
    <t>eco Batata - asado</t>
  </si>
  <si>
    <t>convencional Batata - asado</t>
  </si>
  <si>
    <t>Batata - puré</t>
  </si>
  <si>
    <t>eco Batata - puré</t>
  </si>
  <si>
    <t>convencional Batata - puré</t>
  </si>
  <si>
    <t>Batata - frito</t>
  </si>
  <si>
    <t>eco Batata - frito</t>
  </si>
  <si>
    <t>convencional Batata - frito</t>
  </si>
  <si>
    <t>Yuca - crudo</t>
  </si>
  <si>
    <t>Yuca</t>
  </si>
  <si>
    <t>eco Yuca - crudo</t>
  </si>
  <si>
    <t>convencional Yuca - crudo</t>
  </si>
  <si>
    <t>Yuca - cocido</t>
  </si>
  <si>
    <t>eco Yuca - cocido</t>
  </si>
  <si>
    <t>convencional Yuca - cocido</t>
  </si>
  <si>
    <t>Yuca - asado</t>
  </si>
  <si>
    <t>eco Yuca - asado</t>
  </si>
  <si>
    <t>convencional Yuca - asado</t>
  </si>
  <si>
    <t>Yuca - puré</t>
  </si>
  <si>
    <t>eco Yuca - puré</t>
  </si>
  <si>
    <t>convencional Yuca - puré</t>
  </si>
  <si>
    <t>Yuca - frito</t>
  </si>
  <si>
    <t>eco Yuca - frito</t>
  </si>
  <si>
    <t>convencional Yuca - frito</t>
  </si>
  <si>
    <t>Lenteja - seca</t>
  </si>
  <si>
    <t>Legumbre</t>
  </si>
  <si>
    <t>Lenteja</t>
  </si>
  <si>
    <t>seca</t>
  </si>
  <si>
    <t>eco Lenteja - seca</t>
  </si>
  <si>
    <t>convencional Lenteja - seca</t>
  </si>
  <si>
    <t>Lenteja - cocida</t>
  </si>
  <si>
    <t>cocida</t>
  </si>
  <si>
    <t>eco Lenteja - cocida</t>
  </si>
  <si>
    <t>convencional Lenteja - cocida</t>
  </si>
  <si>
    <t>Lenteja - puré/hummus</t>
  </si>
  <si>
    <t>puré/hummus</t>
  </si>
  <si>
    <t>eco Lenteja - puré/hummus</t>
  </si>
  <si>
    <t>convencional Lenteja - puré/hummus</t>
  </si>
  <si>
    <t>Lenteja - germinada</t>
  </si>
  <si>
    <t>eco Lenteja - germinada</t>
  </si>
  <si>
    <t>convencional Lenteja - germinada</t>
  </si>
  <si>
    <t>Garbanzo - seca</t>
  </si>
  <si>
    <t>Garbanzo</t>
  </si>
  <si>
    <t>eco Garbanzo - seca</t>
  </si>
  <si>
    <t>convencional Garbanzo - seca</t>
  </si>
  <si>
    <t>Garbanzo - cocida</t>
  </si>
  <si>
    <t>eco Garbanzo - cocida</t>
  </si>
  <si>
    <t>convencional Garbanzo - cocida</t>
  </si>
  <si>
    <t>Garbanzo - puré/hummus</t>
  </si>
  <si>
    <t>eco Garbanzo - puré/hummus</t>
  </si>
  <si>
    <t>convencional Garbanzo - puré/hummus</t>
  </si>
  <si>
    <t>Garbanzo - germinada</t>
  </si>
  <si>
    <t>eco Garbanzo - germinada</t>
  </si>
  <si>
    <t>convencional Garbanzo - germinada</t>
  </si>
  <si>
    <t>Alubia blanca - seca</t>
  </si>
  <si>
    <t>Alubia</t>
  </si>
  <si>
    <t>eco Alubia blanca - seca</t>
  </si>
  <si>
    <t>convencional Alubia blanca - seca</t>
  </si>
  <si>
    <t>Alubia blanca - cocida</t>
  </si>
  <si>
    <t>eco Alubia blanca - cocida</t>
  </si>
  <si>
    <t>convencional Alubia blanca - cocida</t>
  </si>
  <si>
    <t>Alubia blanca - puré/hummus</t>
  </si>
  <si>
    <t>eco Alubia blanca - puré/hummus</t>
  </si>
  <si>
    <t>convencional Alubia blanca - puré/hummus</t>
  </si>
  <si>
    <t>Alubia blanca - germinada</t>
  </si>
  <si>
    <t>eco Alubia blanca - germinada</t>
  </si>
  <si>
    <t>convencional Alubia blanca - germinada</t>
  </si>
  <si>
    <t>Soja texturizada - seca</t>
  </si>
  <si>
    <t>Soja</t>
  </si>
  <si>
    <t>eco Soja texturizada - seca</t>
  </si>
  <si>
    <t>convencional Soja texturizada - seca</t>
  </si>
  <si>
    <t>Soja texturizada - cocida</t>
  </si>
  <si>
    <t>eco Soja texturizada - cocida</t>
  </si>
  <si>
    <t>convencional Soja texturizada - cocida</t>
  </si>
  <si>
    <t>Soja texturizada - puré/hummus</t>
  </si>
  <si>
    <t>eco Soja texturizada - puré/hummus</t>
  </si>
  <si>
    <t>convencional Soja texturizada - puré/hummus</t>
  </si>
  <si>
    <t>Soja texturizada - germinada</t>
  </si>
  <si>
    <t>eco Soja texturizada - germinada</t>
  </si>
  <si>
    <t>convencional Soja texturizada - germinada</t>
  </si>
  <si>
    <t>Plátano - cruda</t>
  </si>
  <si>
    <t>Fruta</t>
  </si>
  <si>
    <t>Tropical</t>
  </si>
  <si>
    <t>cruda</t>
  </si>
  <si>
    <t>eco Plátano - cruda</t>
  </si>
  <si>
    <t>convencional Plátano - cruda</t>
  </si>
  <si>
    <t>Plátano - pelada</t>
  </si>
  <si>
    <t>pelada</t>
  </si>
  <si>
    <t>eco Plátano - pelada</t>
  </si>
  <si>
    <t>convencional Plátano - pelada</t>
  </si>
  <si>
    <t>Plátano - compota sin azúcar</t>
  </si>
  <si>
    <t>compota sin azúcar</t>
  </si>
  <si>
    <t>eco Plátano - compota sin azúcar</t>
  </si>
  <si>
    <t>convencional Plátano - compota sin azúcar</t>
  </si>
  <si>
    <t>Plátano - desecada</t>
  </si>
  <si>
    <t>desecada</t>
  </si>
  <si>
    <t>eco Plátano - desecada</t>
  </si>
  <si>
    <t>convencional Plátano - desecada</t>
  </si>
  <si>
    <t>Plátano - congelada</t>
  </si>
  <si>
    <t>congelada</t>
  </si>
  <si>
    <t>eco Plátano - congelada</t>
  </si>
  <si>
    <t>convencional Plátano - congelada</t>
  </si>
  <si>
    <t>Manzana - cruda</t>
  </si>
  <si>
    <t>Pepita</t>
  </si>
  <si>
    <t>eco Manzana - cruda</t>
  </si>
  <si>
    <t>convencional Manzana - cruda</t>
  </si>
  <si>
    <t>Manzana - pelada</t>
  </si>
  <si>
    <t>eco Manzana - pelada</t>
  </si>
  <si>
    <t>convencional Manzana - pelada</t>
  </si>
  <si>
    <t>Manzana - compota sin azúcar</t>
  </si>
  <si>
    <t>eco Manzana - compota sin azúcar</t>
  </si>
  <si>
    <t>convencional Manzana - compota sin azúcar</t>
  </si>
  <si>
    <t>Manzana - desecada</t>
  </si>
  <si>
    <t>eco Manzana - desecada</t>
  </si>
  <si>
    <t>convencional Manzana - desecada</t>
  </si>
  <si>
    <t>Manzana - congelada</t>
  </si>
  <si>
    <t>eco Manzana - congelada</t>
  </si>
  <si>
    <t>convencional Manzana - congelada</t>
  </si>
  <si>
    <t>Pera - cruda</t>
  </si>
  <si>
    <t>eco Pera - cruda</t>
  </si>
  <si>
    <t>convencional Pera - cruda</t>
  </si>
  <si>
    <t>Pera - pelada</t>
  </si>
  <si>
    <t>eco Pera - pelada</t>
  </si>
  <si>
    <t>convencional Pera - pelada</t>
  </si>
  <si>
    <t>Pera - compota sin azúcar</t>
  </si>
  <si>
    <t>eco Pera - compota sin azúcar</t>
  </si>
  <si>
    <t>convencional Pera - compota sin azúcar</t>
  </si>
  <si>
    <t>Pera - desecada</t>
  </si>
  <si>
    <t>eco Pera - desecada</t>
  </si>
  <si>
    <t>convencional Pera - desecada</t>
  </si>
  <si>
    <t>Pera - congelada</t>
  </si>
  <si>
    <t>eco Pera - congelada</t>
  </si>
  <si>
    <t>convencional Pera - congelada</t>
  </si>
  <si>
    <t>Naranja - cruda</t>
  </si>
  <si>
    <t>Cítrico</t>
  </si>
  <si>
    <t>eco Naranja - cruda</t>
  </si>
  <si>
    <t>convencional Naranja - cruda</t>
  </si>
  <si>
    <t>Naranja - pelada</t>
  </si>
  <si>
    <t>eco Naranja - pelada</t>
  </si>
  <si>
    <t>convencional Naranja - pelada</t>
  </si>
  <si>
    <t>Naranja - compota sin azúcar</t>
  </si>
  <si>
    <t>eco Naranja - compota sin azúcar</t>
  </si>
  <si>
    <t>convencional Naranja - compota sin azúcar</t>
  </si>
  <si>
    <t>Naranja - desecada</t>
  </si>
  <si>
    <t>eco Naranja - desecada</t>
  </si>
  <si>
    <t>convencional Naranja - desecada</t>
  </si>
  <si>
    <t>Naranja - congelada</t>
  </si>
  <si>
    <t>eco Naranja - congelada</t>
  </si>
  <si>
    <t>convencional Naranja - congelada</t>
  </si>
  <si>
    <t>Mandarina - cruda</t>
  </si>
  <si>
    <t>eco Mandarina - cruda</t>
  </si>
  <si>
    <t>convencional Mandarina - cruda</t>
  </si>
  <si>
    <t>Mandarina - pelada</t>
  </si>
  <si>
    <t>eco Mandarina - pelada</t>
  </si>
  <si>
    <t>convencional Mandarina - pelada</t>
  </si>
  <si>
    <t>Mandarina - compota sin azúcar</t>
  </si>
  <si>
    <t>eco Mandarina - compota sin azúcar</t>
  </si>
  <si>
    <t>convencional Mandarina - compota sin azúcar</t>
  </si>
  <si>
    <t>Mandarina - desecada</t>
  </si>
  <si>
    <t>eco Mandarina - desecada</t>
  </si>
  <si>
    <t>convencional Mandarina - desecada</t>
  </si>
  <si>
    <t>Mandarina - congelada</t>
  </si>
  <si>
    <t>eco Mandarina - congelada</t>
  </si>
  <si>
    <t>convencional Mandarina - congelada</t>
  </si>
  <si>
    <t>Kiwi - cruda</t>
  </si>
  <si>
    <t>eco Kiwi - cruda</t>
  </si>
  <si>
    <t>convencional Kiwi - cruda</t>
  </si>
  <si>
    <t>Kiwi - pelada</t>
  </si>
  <si>
    <t>eco Kiwi - pelada</t>
  </si>
  <si>
    <t>convencional Kiwi - pelada</t>
  </si>
  <si>
    <t>Kiwi - compota sin azúcar</t>
  </si>
  <si>
    <t>eco Kiwi - compota sin azúcar</t>
  </si>
  <si>
    <t>convencional Kiwi - compota sin azúcar</t>
  </si>
  <si>
    <t>Kiwi - desecada</t>
  </si>
  <si>
    <t>eco Kiwi - desecada</t>
  </si>
  <si>
    <t>convencional Kiwi - desecada</t>
  </si>
  <si>
    <t>Kiwi - congelada</t>
  </si>
  <si>
    <t>eco Kiwi - congelada</t>
  </si>
  <si>
    <t>convencional Kiwi - congelada</t>
  </si>
  <si>
    <t>Fresa - cruda</t>
  </si>
  <si>
    <t>Baya</t>
  </si>
  <si>
    <t>eco Fresa - cruda</t>
  </si>
  <si>
    <t>convencional Fresa - cruda</t>
  </si>
  <si>
    <t>Fresa - desecada</t>
  </si>
  <si>
    <t>Fresa - congelada</t>
  </si>
  <si>
    <t>Arándano - cruda</t>
  </si>
  <si>
    <t>Arándano - desecada</t>
  </si>
  <si>
    <t>Arándano - congelada</t>
  </si>
  <si>
    <t>Frambuesa - congelada</t>
  </si>
  <si>
    <t>Mango - desecada</t>
  </si>
  <si>
    <t>Mango - congelada</t>
  </si>
  <si>
    <t>Piña - pelada</t>
  </si>
  <si>
    <t>Piña - desecada</t>
  </si>
  <si>
    <t>Piña - congelada</t>
  </si>
  <si>
    <t>Uva - desecada</t>
  </si>
  <si>
    <t>Melón</t>
  </si>
  <si>
    <t>Desecada</t>
  </si>
  <si>
    <t>Higo seco - desecada</t>
  </si>
  <si>
    <t>Verdura</t>
  </si>
  <si>
    <t>Crucífera</t>
  </si>
  <si>
    <t>salteada</t>
  </si>
  <si>
    <t>asada</t>
  </si>
  <si>
    <t>Espinaca - cruda</t>
  </si>
  <si>
    <t>Hoja verde</t>
  </si>
  <si>
    <t>Espinaca - cocida</t>
  </si>
  <si>
    <t>Acelga - cruda</t>
  </si>
  <si>
    <t>Acelga - cocida</t>
  </si>
  <si>
    <t>Rúcula - cruda</t>
  </si>
  <si>
    <t>Lechuga romana - cruda</t>
  </si>
  <si>
    <t>Fruto</t>
  </si>
  <si>
    <t>Zanahoria - cruda</t>
  </si>
  <si>
    <t>Raíz</t>
  </si>
  <si>
    <t>Zanahoria - cocida</t>
  </si>
  <si>
    <t>Berenjena - cruda</t>
  </si>
  <si>
    <t>Berenjena - cocida</t>
  </si>
  <si>
    <t>Cebolla - cruda</t>
  </si>
  <si>
    <t>Bulbo</t>
  </si>
  <si>
    <t>Cebolla - salteada</t>
  </si>
  <si>
    <t>Champiñón - crudo</t>
  </si>
  <si>
    <t>Hongo</t>
  </si>
  <si>
    <t>Seta</t>
  </si>
  <si>
    <t>Champiñón - salteado</t>
  </si>
  <si>
    <t>salteado</t>
  </si>
  <si>
    <t>Remolacha - cruda</t>
  </si>
  <si>
    <t>Remolacha - cocida</t>
  </si>
  <si>
    <t>Coliflor - cruda</t>
  </si>
  <si>
    <t>Coliflor - cocida</t>
  </si>
  <si>
    <t>Pechuga de pollo - cruda</t>
  </si>
  <si>
    <t>Carne</t>
  </si>
  <si>
    <t>Ave</t>
  </si>
  <si>
    <t>Pechuga de pollo - plancha</t>
  </si>
  <si>
    <t>plancha</t>
  </si>
  <si>
    <t>guisada</t>
  </si>
  <si>
    <t>Muslo de pollo - cruda</t>
  </si>
  <si>
    <t>Muslo de pollo - plancha</t>
  </si>
  <si>
    <t>Pavo pechuga - cruda</t>
  </si>
  <si>
    <t>Pavo pechuga - plancha</t>
  </si>
  <si>
    <t>Ternera magra - cruda</t>
  </si>
  <si>
    <t>Vacuno</t>
  </si>
  <si>
    <t>Ternera magra - plancha</t>
  </si>
  <si>
    <t>Ternera magra - guisada</t>
  </si>
  <si>
    <t>Solomillo de cerdo - cruda</t>
  </si>
  <si>
    <t>Cerdo</t>
  </si>
  <si>
    <t>Solomillo de cerdo - plancha</t>
  </si>
  <si>
    <t>Solomillo de cerdo - asada</t>
  </si>
  <si>
    <t>Carne procesada</t>
  </si>
  <si>
    <t>NOVA3</t>
  </si>
  <si>
    <t>Jamón cocido - lonchas</t>
  </si>
  <si>
    <t>lonchas</t>
  </si>
  <si>
    <t>Jamón serrano - lonchas</t>
  </si>
  <si>
    <t>Huevo entero - crudo</t>
  </si>
  <si>
    <t>Huevo</t>
  </si>
  <si>
    <t>Gallina</t>
  </si>
  <si>
    <t>Huevo entero - cocido</t>
  </si>
  <si>
    <t>Huevo entero - tortilla</t>
  </si>
  <si>
    <t>tortilla</t>
  </si>
  <si>
    <t>Clara de huevo - crudo</t>
  </si>
  <si>
    <t>Salmón - crudo</t>
  </si>
  <si>
    <t>Pescado</t>
  </si>
  <si>
    <t>Azul</t>
  </si>
  <si>
    <t>Salmón - plancha</t>
  </si>
  <si>
    <t>horno</t>
  </si>
  <si>
    <t>Salmón - conserva natural</t>
  </si>
  <si>
    <t>conserva natural</t>
  </si>
  <si>
    <t>Salmón - conserva aceite</t>
  </si>
  <si>
    <t>conserva aceite</t>
  </si>
  <si>
    <t>Atún natural - crudo</t>
  </si>
  <si>
    <t>NOVA2</t>
  </si>
  <si>
    <t>Atún natural - plancha</t>
  </si>
  <si>
    <t>eco Atún natural - plancha</t>
  </si>
  <si>
    <t>Atún natural - conserva natural</t>
  </si>
  <si>
    <t>Atún natural - conserva aceite</t>
  </si>
  <si>
    <t>Merluza - crudo</t>
  </si>
  <si>
    <t>Blanco</t>
  </si>
  <si>
    <t>Merluza - plancha</t>
  </si>
  <si>
    <t>Merluza - horno</t>
  </si>
  <si>
    <t>Sardina - crudo</t>
  </si>
  <si>
    <t>Sardina - plancha</t>
  </si>
  <si>
    <t>Sardina - conserva aceite</t>
  </si>
  <si>
    <t>Marisco</t>
  </si>
  <si>
    <t>Crustáceo</t>
  </si>
  <si>
    <t>Gamba - plancha</t>
  </si>
  <si>
    <t>Lácteo</t>
  </si>
  <si>
    <t>Yogur</t>
  </si>
  <si>
    <t>natural</t>
  </si>
  <si>
    <t>Yogur natural - desnatado</t>
  </si>
  <si>
    <t>desnatado</t>
  </si>
  <si>
    <t>Yogur natural - sin lactosa</t>
  </si>
  <si>
    <t>sin lactosa</t>
  </si>
  <si>
    <t>Yogur natural - alto proteína</t>
  </si>
  <si>
    <t>alto proteína</t>
  </si>
  <si>
    <t>Yogur griego natural - desnatado</t>
  </si>
  <si>
    <t>Leche</t>
  </si>
  <si>
    <t>Leche entera - sin lactosa</t>
  </si>
  <si>
    <t>Leche entera - alto proteína</t>
  </si>
  <si>
    <t>Queso</t>
  </si>
  <si>
    <t>Queso fresco - desnatado</t>
  </si>
  <si>
    <t>Queso fresco - sin lactosa</t>
  </si>
  <si>
    <t>Queso fresco - alto proteína</t>
  </si>
  <si>
    <t>Ensalada quinoa garbanzos - ración individual</t>
  </si>
  <si>
    <t>Plato preparado</t>
  </si>
  <si>
    <t>Ensalada</t>
  </si>
  <si>
    <t>ración individual</t>
  </si>
  <si>
    <t>Media</t>
  </si>
  <si>
    <t>Tortilla</t>
  </si>
  <si>
    <t>Desayuno</t>
  </si>
  <si>
    <t>Sándwich</t>
  </si>
  <si>
    <t>prepartido</t>
  </si>
  <si>
    <t>Bowl arroz pollo verduras - ración individual</t>
  </si>
  <si>
    <t>Bowl</t>
  </si>
  <si>
    <t>Tortilla patata ligera - ración individual</t>
  </si>
  <si>
    <t>Pan blanco de barra</t>
  </si>
  <si>
    <t>Panadería</t>
  </si>
  <si>
    <t>Pan de trigo</t>
  </si>
  <si>
    <t>horneado</t>
  </si>
  <si>
    <t>eco Pan blanco de barra</t>
  </si>
  <si>
    <t>convencional Pan blanco de barra</t>
  </si>
  <si>
    <t>Pan integral</t>
  </si>
  <si>
    <t>eco Pan integral</t>
  </si>
  <si>
    <t>convencional Pan integral</t>
  </si>
  <si>
    <t>Pan de centeno</t>
  </si>
  <si>
    <t>eco Pan de centeno</t>
  </si>
  <si>
    <t>convencional Pan de centeno</t>
  </si>
  <si>
    <t>Chapata</t>
  </si>
  <si>
    <t>eco Chapata</t>
  </si>
  <si>
    <t>convencional Chapata</t>
  </si>
  <si>
    <t>Baguette</t>
  </si>
  <si>
    <t>eco Baguette</t>
  </si>
  <si>
    <t>convencional Baguette</t>
  </si>
  <si>
    <t>Pan de pita</t>
  </si>
  <si>
    <t>Pan plano</t>
  </si>
  <si>
    <t>eco Pan de pita</t>
  </si>
  <si>
    <t>convencional Pan de pita</t>
  </si>
  <si>
    <t>Pan de molde blanco</t>
  </si>
  <si>
    <t>Pan de molde</t>
  </si>
  <si>
    <t>envasado</t>
  </si>
  <si>
    <t>eco Pan de molde blanco</t>
  </si>
  <si>
    <t>convencional Pan de molde blanco</t>
  </si>
  <si>
    <t>Pan de molde integral</t>
  </si>
  <si>
    <t>eco Pan de molde integral</t>
  </si>
  <si>
    <t>convencional Pan de molde integral</t>
  </si>
  <si>
    <t>Picos / colines</t>
  </si>
  <si>
    <t>Pan tostado</t>
  </si>
  <si>
    <t>eco Picos / colines</t>
  </si>
  <si>
    <t>convencional Picos / colines</t>
  </si>
  <si>
    <t>Tostadas integrales (biscotes)</t>
  </si>
  <si>
    <t>eco Tostadas integrales (biscotes)</t>
  </si>
  <si>
    <t>convencional Tostadas integrales (biscotes)</t>
  </si>
  <si>
    <t>Pan rústico / de payés</t>
  </si>
  <si>
    <t>eco Pan rústico / de payés</t>
  </si>
  <si>
    <t>convencional Pan rústico / de payés</t>
  </si>
  <si>
    <t>Pan de semillas</t>
  </si>
  <si>
    <t>Pan especial</t>
  </si>
  <si>
    <t>eco Pan de semillas</t>
  </si>
  <si>
    <t>convencional Pan de semillas</t>
  </si>
  <si>
    <t>Aceite de oliva virgen extra</t>
  </si>
  <si>
    <t>Aceite y grasa</t>
  </si>
  <si>
    <t>Aceite</t>
  </si>
  <si>
    <t>líquido</t>
  </si>
  <si>
    <t>eco Aceite de oliva virgen extra</t>
  </si>
  <si>
    <t>convencional Aceite de oliva virgen extra</t>
  </si>
  <si>
    <t>Aceite de oliva suave / refinado</t>
  </si>
  <si>
    <t>eco Aceite de oliva suave / refinado</t>
  </si>
  <si>
    <t>convencional Aceite de oliva suave / refinado</t>
  </si>
  <si>
    <t>Aceite de girasol</t>
  </si>
  <si>
    <t>eco Aceite de girasol</t>
  </si>
  <si>
    <t>convencional Aceite de girasol</t>
  </si>
  <si>
    <t>Aceite de coco</t>
  </si>
  <si>
    <t>sólido</t>
  </si>
  <si>
    <t>eco Aceite de coco</t>
  </si>
  <si>
    <t>convencional Aceite de coco</t>
  </si>
  <si>
    <t>Mantequilla</t>
  </si>
  <si>
    <t>Grasa láctea</t>
  </si>
  <si>
    <t>eco Mantequilla</t>
  </si>
  <si>
    <t>convencional Mantequilla</t>
  </si>
  <si>
    <t>Margarina vegetal</t>
  </si>
  <si>
    <t>NOVA4</t>
  </si>
  <si>
    <t>eco Margarina vegetal</t>
  </si>
  <si>
    <t>convencional Margarina vegetal</t>
  </si>
  <si>
    <t>Manteca de cerdo</t>
  </si>
  <si>
    <t>eco Manteca de cerdo</t>
  </si>
  <si>
    <t>convencional Manteca de cerdo</t>
  </si>
  <si>
    <t>Almendra cruda</t>
  </si>
  <si>
    <t>Fruto seco y semilla</t>
  </si>
  <si>
    <t>Fruto seco</t>
  </si>
  <si>
    <t>eco Almendra cruda</t>
  </si>
  <si>
    <t>convencional Almendra cruda</t>
  </si>
  <si>
    <t>Nuez</t>
  </si>
  <si>
    <t>eco Nuez</t>
  </si>
  <si>
    <t>convencional Nuez</t>
  </si>
  <si>
    <t>Avellana</t>
  </si>
  <si>
    <t>eco Avellana</t>
  </si>
  <si>
    <t>convencional Avellana</t>
  </si>
  <si>
    <t>Anacardo (marañón)</t>
  </si>
  <si>
    <t>eco Anacardo (marañón)</t>
  </si>
  <si>
    <t>convencional Anacardo (marañón)</t>
  </si>
  <si>
    <t>Pistacho</t>
  </si>
  <si>
    <t>eco Pistacho</t>
  </si>
  <si>
    <t>convencional Pistacho</t>
  </si>
  <si>
    <t>Cacahuete (maní)</t>
  </si>
  <si>
    <t>Legumbre-fruto seco</t>
  </si>
  <si>
    <t>eco Cacahuete (maní)</t>
  </si>
  <si>
    <t>convencional Cacahuete (maní)</t>
  </si>
  <si>
    <t>Semillas de chía</t>
  </si>
  <si>
    <t>Semilla</t>
  </si>
  <si>
    <t>eco Semillas de chía</t>
  </si>
  <si>
    <t>convencional Semillas de chía</t>
  </si>
  <si>
    <t>Semillas de lino (linaza)</t>
  </si>
  <si>
    <t>eco Semillas de lino (linaza)</t>
  </si>
  <si>
    <t>convencional Semillas de lino (linaza)</t>
  </si>
  <si>
    <t>Semillas de girasol</t>
  </si>
  <si>
    <t>eco Semillas de girasol</t>
  </si>
  <si>
    <t>convencional Semillas de girasol</t>
  </si>
  <si>
    <t>Semillas de calabaza (pipas)</t>
  </si>
  <si>
    <t>eco Semillas de calabaza (pipas)</t>
  </si>
  <si>
    <t>convencional Semillas de calabaza (pipas)</t>
  </si>
  <si>
    <t>Sésamo</t>
  </si>
  <si>
    <t>eco Sésamo</t>
  </si>
  <si>
    <t>convencional Sésamo</t>
  </si>
  <si>
    <t>Piñones</t>
  </si>
  <si>
    <t>eco Piñones</t>
  </si>
  <si>
    <t>convencional Piñones</t>
  </si>
  <si>
    <t>Sal común</t>
  </si>
  <si>
    <t>Especia y condimento</t>
  </si>
  <si>
    <t>eco Sal común</t>
  </si>
  <si>
    <t>convencional Sal común</t>
  </si>
  <si>
    <t>Pimienta negra molida</t>
  </si>
  <si>
    <t>eco Pimienta negra molida</t>
  </si>
  <si>
    <t>convencional Pimienta negra molida</t>
  </si>
  <si>
    <t>Pimentón dulce</t>
  </si>
  <si>
    <t>eco Pimentón dulce</t>
  </si>
  <si>
    <t>convencional Pimentón dulce</t>
  </si>
  <si>
    <t>Orégano seco</t>
  </si>
  <si>
    <t>eco Orégano seco</t>
  </si>
  <si>
    <t>convencional Orégano seco</t>
  </si>
  <si>
    <t>Ajo en polvo</t>
  </si>
  <si>
    <t>eco Ajo en polvo</t>
  </si>
  <si>
    <t>convencional Ajo en polvo</t>
  </si>
  <si>
    <t>Comino molido</t>
  </si>
  <si>
    <t>eco Comino molido</t>
  </si>
  <si>
    <t>convencional Comino molido</t>
  </si>
  <si>
    <t>Canela molida</t>
  </si>
  <si>
    <t>eco Canela molida</t>
  </si>
  <si>
    <t>convencional Canela molida</t>
  </si>
  <si>
    <t>Cúrcuma molida</t>
  </si>
  <si>
    <t>eco Cúrcuma molida</t>
  </si>
  <si>
    <t>convencional Cúrcuma molida</t>
  </si>
  <si>
    <t>Laurel (hoja seca)</t>
  </si>
  <si>
    <t>eco Laurel (hoja seca)</t>
  </si>
  <si>
    <t>convencional Laurel (hoja seca)</t>
  </si>
  <si>
    <t>Vinagre de vino</t>
  </si>
  <si>
    <t>Vinagre</t>
  </si>
  <si>
    <t>eco Vinagre de vino</t>
  </si>
  <si>
    <t>convencional Vinagre de vino</t>
  </si>
  <si>
    <t>Vinagre de manzana</t>
  </si>
  <si>
    <t>eco Vinagre de manzana</t>
  </si>
  <si>
    <t>convencional Vinagre de manzana</t>
  </si>
  <si>
    <t>Mostaza de Dijon</t>
  </si>
  <si>
    <t>Condimento preparado</t>
  </si>
  <si>
    <t>preparado</t>
  </si>
  <si>
    <t>eco Mostaza de Dijon</t>
  </si>
  <si>
    <t>convencional Mostaza de Dijon</t>
  </si>
  <si>
    <t>Tomate frito</t>
  </si>
  <si>
    <t>Salsa</t>
  </si>
  <si>
    <t>Salsa de tomate</t>
  </si>
  <si>
    <t>cocinado</t>
  </si>
  <si>
    <t>eco Tomate frito</t>
  </si>
  <si>
    <t>convencional Tomate frito</t>
  </si>
  <si>
    <t>Alioli</t>
  </si>
  <si>
    <t>Salsa emulsionada</t>
  </si>
  <si>
    <t>eco Alioli</t>
  </si>
  <si>
    <t>convencional Alioli</t>
  </si>
  <si>
    <t>Mahonesa comercial</t>
  </si>
  <si>
    <t>eco Mahonesa comercial</t>
  </si>
  <si>
    <t>convencional Mahonesa comercial</t>
  </si>
  <si>
    <t>Ketchup</t>
  </si>
  <si>
    <t>eco Ketchup</t>
  </si>
  <si>
    <t>convencional Ketchup</t>
  </si>
  <si>
    <t>Salsa de soja</t>
  </si>
  <si>
    <t>Salsa fermentada</t>
  </si>
  <si>
    <t>eco Salsa de soja</t>
  </si>
  <si>
    <t>convencional Salsa de soja</t>
  </si>
  <si>
    <t>Café solo (espresso)</t>
  </si>
  <si>
    <t>Bebida</t>
  </si>
  <si>
    <t>Infusión</t>
  </si>
  <si>
    <t>eco Café solo (espresso)</t>
  </si>
  <si>
    <t>convencional Café solo (espresso)</t>
  </si>
  <si>
    <t>Té verde (infusión)</t>
  </si>
  <si>
    <t>eco Té verde (infusión)</t>
  </si>
  <si>
    <t>convencional Té verde (infusión)</t>
  </si>
  <si>
    <t>Vino tinto</t>
  </si>
  <si>
    <t>Bebida alcohólica</t>
  </si>
  <si>
    <t>eco Vino tinto</t>
  </si>
  <si>
    <t>convencional Vino tinto</t>
  </si>
  <si>
    <t>Cerveza</t>
  </si>
  <si>
    <t>eco Cerveza</t>
  </si>
  <si>
    <t>convencional Cerveza</t>
  </si>
  <si>
    <t>Leche de almendra sin azúcar</t>
  </si>
  <si>
    <t>Bebida vegetal</t>
  </si>
  <si>
    <t>eco Leche de almendra sin azúcar</t>
  </si>
  <si>
    <t>convencional Leche de almendra sin azúcar</t>
  </si>
  <si>
    <t>Leche de avena</t>
  </si>
  <si>
    <t>eco Leche de avena</t>
  </si>
  <si>
    <t>convencional Leche de avena</t>
  </si>
  <si>
    <t>Leche de soja sin azúcar</t>
  </si>
  <si>
    <t>eco Leche de soja sin azúcar</t>
  </si>
  <si>
    <t>convencional Leche de soja sin azúcar</t>
  </si>
  <si>
    <t>Zumo de naranja natural</t>
  </si>
  <si>
    <t>Zumo</t>
  </si>
  <si>
    <t>exprimido</t>
  </si>
  <si>
    <t>eco Zumo de naranja natural</t>
  </si>
  <si>
    <t>convencional Zumo de naranja natural</t>
  </si>
  <si>
    <t>Bebida isotónica</t>
  </si>
  <si>
    <t>Bebida deportiva</t>
  </si>
  <si>
    <t>eco Bebida isotónica</t>
  </si>
  <si>
    <t>convencional Bebida isotónica</t>
  </si>
  <si>
    <t>Agua de coco</t>
  </si>
  <si>
    <t>Bebida natural</t>
  </si>
  <si>
    <t>eco Agua de coco</t>
  </si>
  <si>
    <t>convencional Agua de coco</t>
  </si>
  <si>
    <t>Jamón serrano curado</t>
  </si>
  <si>
    <t>Jamón curado</t>
  </si>
  <si>
    <t>curado</t>
  </si>
  <si>
    <t>eco Jamón serrano curado</t>
  </si>
  <si>
    <t>convencional Jamón serrano curado</t>
  </si>
  <si>
    <t>Jamón ibérico de bellota</t>
  </si>
  <si>
    <t>eco Jamón ibérico de bellota</t>
  </si>
  <si>
    <t>convencional Jamón ibérico de bellota</t>
  </si>
  <si>
    <t>Jamón cocido (York)</t>
  </si>
  <si>
    <t>Jamón cocido</t>
  </si>
  <si>
    <t>eco Jamón cocido (York)</t>
  </si>
  <si>
    <t>convencional Jamón cocido (York)</t>
  </si>
  <si>
    <t>Chorizo curado</t>
  </si>
  <si>
    <t>Embutido curado</t>
  </si>
  <si>
    <t>eco Chorizo curado</t>
  </si>
  <si>
    <t>convencional Chorizo curado</t>
  </si>
  <si>
    <t>Salchichón</t>
  </si>
  <si>
    <t>eco Salchichón</t>
  </si>
  <si>
    <t>convencional Salchichón</t>
  </si>
  <si>
    <t>Lomo embuchado</t>
  </si>
  <si>
    <t>eco Lomo embuchado</t>
  </si>
  <si>
    <t>convencional Lomo embuchado</t>
  </si>
  <si>
    <t>Mortadela</t>
  </si>
  <si>
    <t>Embutido cocido</t>
  </si>
  <si>
    <t>eco Mortadela</t>
  </si>
  <si>
    <t>convencional Mortadela</t>
  </si>
  <si>
    <t>Bacon / panceta curada</t>
  </si>
  <si>
    <t>Panceta</t>
  </si>
  <si>
    <t>eco Bacon / panceta curada</t>
  </si>
  <si>
    <t>convencional Bacon / panceta curada</t>
  </si>
  <si>
    <t>Queso manchego curado</t>
  </si>
  <si>
    <t>eco Queso manchego curado</t>
  </si>
  <si>
    <t>convencional Queso manchego curado</t>
  </si>
  <si>
    <t>Mozzarella fresca</t>
  </si>
  <si>
    <t>fresco</t>
  </si>
  <si>
    <t>eco Mozzarella fresca</t>
  </si>
  <si>
    <t>convencional Mozzarella fresca</t>
  </si>
  <si>
    <t>Queso parmesano</t>
  </si>
  <si>
    <t>eco Queso parmesano</t>
  </si>
  <si>
    <t>convencional Queso parmesano</t>
  </si>
  <si>
    <t>Queso fresco batido / desnatado</t>
  </si>
  <si>
    <t>eco Queso fresco batido / desnatado</t>
  </si>
  <si>
    <t>convencional Queso fresco batido / desnatado</t>
  </si>
  <si>
    <t>Queso crema tipo untable</t>
  </si>
  <si>
    <t>eco Queso crema tipo untable</t>
  </si>
  <si>
    <t>convencional Queso crema tipo untable</t>
  </si>
  <si>
    <t>Requesón</t>
  </si>
  <si>
    <t>eco Requesón</t>
  </si>
  <si>
    <t>convencional Requesón</t>
  </si>
  <si>
    <t>Queso de cabra</t>
  </si>
  <si>
    <t>eco Queso de cabra</t>
  </si>
  <si>
    <t>convencional Queso de cabra</t>
  </si>
  <si>
    <t>Lenguado - crudo</t>
  </si>
  <si>
    <t>Valores aproximados por 100 g; revisar etiqueta en producto de marca.</t>
  </si>
  <si>
    <t>eco Lenguado - crudo</t>
  </si>
  <si>
    <t>convencional Lenguado - crudo</t>
  </si>
  <si>
    <t>Lenguado - plancha</t>
  </si>
  <si>
    <t>eco Lenguado - plancha</t>
  </si>
  <si>
    <t>convencional Lenguado - plancha</t>
  </si>
  <si>
    <t>Lenguado - horno</t>
  </si>
  <si>
    <t>eco Lenguado - horno</t>
  </si>
  <si>
    <t>convencional Lenguado - horno</t>
  </si>
  <si>
    <t>Rodaballo - crudo</t>
  </si>
  <si>
    <t>eco Rodaballo - crudo</t>
  </si>
  <si>
    <t>convencional Rodaballo - crudo</t>
  </si>
  <si>
    <t>Rodaballo - plancha</t>
  </si>
  <si>
    <t>eco Rodaballo - plancha</t>
  </si>
  <si>
    <t>convencional Rodaballo - plancha</t>
  </si>
  <si>
    <t>Rodaballo - horno</t>
  </si>
  <si>
    <t>eco Rodaballo - horno</t>
  </si>
  <si>
    <t>convencional Rodaballo - horno</t>
  </si>
  <si>
    <t>Lubina - crudo</t>
  </si>
  <si>
    <t>eco Lubina - crudo</t>
  </si>
  <si>
    <t>convencional Lubina - crudo</t>
  </si>
  <si>
    <t>Lubina - plancha</t>
  </si>
  <si>
    <t>eco Lubina - plancha</t>
  </si>
  <si>
    <t>convencional Lubina - plancha</t>
  </si>
  <si>
    <t>Lubina - horno</t>
  </si>
  <si>
    <t>eco Lubina - horno</t>
  </si>
  <si>
    <t>convencional Lubina - horno</t>
  </si>
  <si>
    <t>Dorada - crudo</t>
  </si>
  <si>
    <t>eco Dorada - crudo</t>
  </si>
  <si>
    <t>convencional Dorada - crudo</t>
  </si>
  <si>
    <t>Dorada - plancha</t>
  </si>
  <si>
    <t>eco Dorada - plancha</t>
  </si>
  <si>
    <t>convencional Dorada - plancha</t>
  </si>
  <si>
    <t>Dorada - horno</t>
  </si>
  <si>
    <t>eco Dorada - horno</t>
  </si>
  <si>
    <t>convencional Dorada - horno</t>
  </si>
  <si>
    <t>Emperador (pez espada) - crudo</t>
  </si>
  <si>
    <t>eco Emperador (pez espada) - crudo</t>
  </si>
  <si>
    <t>convencional Emperador (pez espada) - crudo</t>
  </si>
  <si>
    <t>Emperador (pez espada) - plancha</t>
  </si>
  <si>
    <t>eco Emperador (pez espada) - plancha</t>
  </si>
  <si>
    <t>convencional Emperador (pez espada) - plancha</t>
  </si>
  <si>
    <t>Emperador (pez espada) - horno</t>
  </si>
  <si>
    <t>eco Emperador (pez espada) - horno</t>
  </si>
  <si>
    <t>convencional Emperador (pez espada) - horno</t>
  </si>
  <si>
    <t>Caballa - crudo</t>
  </si>
  <si>
    <t>eco Caballa - crudo</t>
  </si>
  <si>
    <t>convencional Caballa - crudo</t>
  </si>
  <si>
    <t>Caballa - plancha</t>
  </si>
  <si>
    <t>eco Caballa - plancha</t>
  </si>
  <si>
    <t>convencional Caballa - plancha</t>
  </si>
  <si>
    <t>Caballa - horno</t>
  </si>
  <si>
    <t>eco Caballa - horno</t>
  </si>
  <si>
    <t>convencional Caballa - horno</t>
  </si>
  <si>
    <t>Corvina - crudo</t>
  </si>
  <si>
    <t>eco Corvina - crudo</t>
  </si>
  <si>
    <t>convencional Corvina - crudo</t>
  </si>
  <si>
    <t>Corvina - plancha</t>
  </si>
  <si>
    <t>eco Corvina - plancha</t>
  </si>
  <si>
    <t>convencional Corvina - plancha</t>
  </si>
  <si>
    <t>Corvina - horno</t>
  </si>
  <si>
    <t>eco Corvina - horno</t>
  </si>
  <si>
    <t>convencional Corvina - horno</t>
  </si>
  <si>
    <t>Pulpo - crudo</t>
  </si>
  <si>
    <t>Molusco</t>
  </si>
  <si>
    <t>eco Pulpo - crudo</t>
  </si>
  <si>
    <t>convencional Pulpo - crudo</t>
  </si>
  <si>
    <t>Pulpo - cocido</t>
  </si>
  <si>
    <t>eco Pulpo - cocido</t>
  </si>
  <si>
    <t>convencional Pulpo - cocido</t>
  </si>
  <si>
    <t>Pulpo - plancha</t>
  </si>
  <si>
    <t>eco Pulpo - plancha</t>
  </si>
  <si>
    <t>convencional Pulpo - plancha</t>
  </si>
  <si>
    <t>Calamar - crudo</t>
  </si>
  <si>
    <t>eco Calamar - crudo</t>
  </si>
  <si>
    <t>convencional Calamar - crudo</t>
  </si>
  <si>
    <t>Calamar - cocido</t>
  </si>
  <si>
    <t>eco Calamar - cocido</t>
  </si>
  <si>
    <t>convencional Calamar - cocido</t>
  </si>
  <si>
    <t>Calamar - plancha</t>
  </si>
  <si>
    <t>eco Calamar - plancha</t>
  </si>
  <si>
    <t>convencional Calamar - plancha</t>
  </si>
  <si>
    <t>Sepia - crudo</t>
  </si>
  <si>
    <t>eco Sepia - crudo</t>
  </si>
  <si>
    <t>convencional Sepia - crudo</t>
  </si>
  <si>
    <t>Sepia - cocido</t>
  </si>
  <si>
    <t>eco Sepia - cocido</t>
  </si>
  <si>
    <t>convencional Sepia - cocido</t>
  </si>
  <si>
    <t>Sepia - plancha</t>
  </si>
  <si>
    <t>eco Sepia - plancha</t>
  </si>
  <si>
    <t>convencional Sepia - plancha</t>
  </si>
  <si>
    <t>Queso cottage</t>
  </si>
  <si>
    <t>Yogur proteico natural (Hacendado/Mercadona)</t>
  </si>
  <si>
    <t>Yogur proteico</t>
  </si>
  <si>
    <t>Mercadona</t>
  </si>
  <si>
    <t>Etiquetado del fabricante (aprox., verificar en el envase actual)</t>
  </si>
  <si>
    <t>Yogur proteico sabor vainilla (Hacendado/Mercadona)</t>
  </si>
  <si>
    <t>sabores</t>
  </si>
  <si>
    <t>Yogur High Protein natural (Danone)</t>
  </si>
  <si>
    <t>Danone</t>
  </si>
  <si>
    <t>Yogur High Protein sabor chocolate (Danone)</t>
  </si>
  <si>
    <t>Skyr natural (Arla/Mercadona)</t>
  </si>
  <si>
    <t>Skyr</t>
  </si>
  <si>
    <t>Yogur Proteína natural (Central Lechera Asturiana)</t>
  </si>
  <si>
    <t>Central Lechera Asturiana</t>
  </si>
  <si>
    <t>Yogur sin lactosa Proteína natural (Kaiku)</t>
  </si>
  <si>
    <t>Kaiku</t>
  </si>
  <si>
    <t>portion_id</t>
  </si>
  <si>
    <t>alimento</t>
  </si>
  <si>
    <t>medida</t>
  </si>
  <si>
    <t>gramos</t>
  </si>
  <si>
    <t>contexto</t>
  </si>
  <si>
    <t>kcal_formula</t>
  </si>
  <si>
    <t>proteina_formula</t>
  </si>
  <si>
    <t>hidratos_formula</t>
  </si>
  <si>
    <t>grasa_formula</t>
  </si>
  <si>
    <t>1 ración pequeña</t>
  </si>
  <si>
    <t>clínica/deportiva</t>
  </si>
  <si>
    <t>1 ración estándar</t>
  </si>
  <si>
    <t>1 ración deportiva</t>
  </si>
  <si>
    <t>1 plato/cazo</t>
  </si>
  <si>
    <t>1 rebanada</t>
  </si>
  <si>
    <t>1 rebanada gruesa</t>
  </si>
  <si>
    <t>2 rebanadas</t>
  </si>
  <si>
    <t>1/4 de barra/pieza</t>
  </si>
  <si>
    <t>1 cucharadita</t>
  </si>
  <si>
    <t>1 cucharada</t>
  </si>
  <si>
    <t>1 cucharada colmada</t>
  </si>
  <si>
    <t>1 chorro de cocina</t>
  </si>
  <si>
    <t>1 puñado pequeño</t>
  </si>
  <si>
    <t>1 puñado grande</t>
  </si>
  <si>
    <t>1 pizca</t>
  </si>
  <si>
    <t>1 cucharadita rasa</t>
  </si>
  <si>
    <t>1 cucharadita colmada</t>
  </si>
  <si>
    <t>1 ración individual</t>
  </si>
  <si>
    <t>1/4 de taza</t>
  </si>
  <si>
    <t>1 taza pequeña</t>
  </si>
  <si>
    <t>1 taza/vaso estándar</t>
  </si>
  <si>
    <t>1 vaso grande</t>
  </si>
  <si>
    <t>1 lata/copa</t>
  </si>
  <si>
    <t>1 loncha</t>
  </si>
  <si>
    <t>2 lonchas</t>
  </si>
  <si>
    <t>1 ración generosa</t>
  </si>
  <si>
    <t>1 loncha/porción</t>
  </si>
  <si>
    <t>1 porción estándar</t>
  </si>
  <si>
    <t>1 ración generosa/tabla</t>
  </si>
  <si>
    <t>1 filete pequeño</t>
  </si>
  <si>
    <t>1 filete estándar</t>
  </si>
  <si>
    <t>1 pieza entera (ración)</t>
  </si>
  <si>
    <t>1 plato/cazuela</t>
  </si>
  <si>
    <t>1 unidad/tarrina pequeña</t>
  </si>
  <si>
    <t>1 unidad estándar</t>
  </si>
  <si>
    <t>1 tarrina grande</t>
  </si>
  <si>
    <t>1 ración deportiva (2 unidades)</t>
  </si>
  <si>
    <t>grupo</t>
  </si>
  <si>
    <t>objetivo</t>
  </si>
  <si>
    <t>alimento_referencia</t>
  </si>
  <si>
    <t>cantidad_g</t>
  </si>
  <si>
    <t>kcal_aprox</t>
  </si>
  <si>
    <t>uso</t>
  </si>
  <si>
    <t>CHO</t>
  </si>
  <si>
    <t>30 g CHO</t>
  </si>
  <si>
    <t>Arroz blanco cocido</t>
  </si>
  <si>
    <t>pre/post</t>
  </si>
  <si>
    <t>Pasta cocida</t>
  </si>
  <si>
    <t>comida</t>
  </si>
  <si>
    <t>Patata cocida</t>
  </si>
  <si>
    <t>Plátano</t>
  </si>
  <si>
    <t>pre/intra</t>
  </si>
  <si>
    <t>Proteína</t>
  </si>
  <si>
    <t>25 g proteína</t>
  </si>
  <si>
    <t>Pechuga pollo plancha</t>
  </si>
  <si>
    <t>comida/cena</t>
  </si>
  <si>
    <t>Atún natural</t>
  </si>
  <si>
    <t>post</t>
  </si>
  <si>
    <t>Whey aislada</t>
  </si>
  <si>
    <t>Grasa</t>
  </si>
  <si>
    <t>10 g grasa</t>
  </si>
  <si>
    <t>Aceite oliva</t>
  </si>
  <si>
    <t>Almendra</t>
  </si>
  <si>
    <t>snack</t>
  </si>
  <si>
    <t>Fibra</t>
  </si>
  <si>
    <t>5 g fibra</t>
  </si>
  <si>
    <t>Frambuesa</t>
  </si>
  <si>
    <t>clínica</t>
  </si>
  <si>
    <t>Sodio</t>
  </si>
  <si>
    <t>500 mg sodio</t>
  </si>
  <si>
    <t>hidratación</t>
  </si>
  <si>
    <t>Calculadora rápida por alimento y gramos</t>
  </si>
  <si>
    <t>Input</t>
  </si>
  <si>
    <t>Valor</t>
  </si>
  <si>
    <t>Resultado</t>
  </si>
  <si>
    <t>Fórmula/nota</t>
  </si>
  <si>
    <t>peso_kg</t>
  </si>
  <si>
    <t>tipo_día</t>
  </si>
  <si>
    <t>entreno intenso</t>
  </si>
  <si>
    <t>CHO objetivo g/kg</t>
  </si>
  <si>
    <t>proteína objetivo g/kg</t>
  </si>
  <si>
    <t>grasa objetivo g/kg</t>
  </si>
  <si>
    <t>Alimento</t>
  </si>
  <si>
    <t>lookup</t>
  </si>
  <si>
    <t>por gramos</t>
  </si>
  <si>
    <t>Proteína g</t>
  </si>
  <si>
    <t>CHO g</t>
  </si>
  <si>
    <t>Grasa g</t>
  </si>
  <si>
    <t>Fibra g</t>
  </si>
  <si>
    <t>Sodio mg</t>
  </si>
  <si>
    <t>CHO objetivo día</t>
  </si>
  <si>
    <t>peso x g/kg</t>
  </si>
  <si>
    <t>Proteína objetivo día</t>
  </si>
  <si>
    <t>Grasa objetivo día</t>
  </si>
  <si>
    <t>url</t>
  </si>
  <si>
    <t>uso en workbook</t>
  </si>
  <si>
    <t>nota</t>
  </si>
  <si>
    <t>USDA FoodData Central</t>
  </si>
  <si>
    <t>https://fdc.nal.usda.gov/</t>
  </si>
  <si>
    <t>Base de referencia internacional para composición nutricional</t>
  </si>
  <si>
    <t>Datos de FDC son dominio público/CC0 según USDA; citar fuente al reutilizar.</t>
  </si>
  <si>
    <t>BEDCA</t>
  </si>
  <si>
    <t>https://www.bedca.net/bdpub/</t>
  </si>
  <si>
    <t>Base española de composición de alimentos</t>
  </si>
  <si>
    <t>Útil para adaptar alimentos consumidos en España.</t>
  </si>
  <si>
    <t>AESAN - composición de alimentos</t>
  </si>
  <si>
    <t>https://www.aesan.gob.es/AECOSAN/web/seguridad_alimentaria/subseccion/composicion_alimentos_BD.htm</t>
  </si>
  <si>
    <t>Contexto institucional BEDCA</t>
  </si>
  <si>
    <t>BEDCA coordinada/financiada por AESAN y construida según estándares EuroFIR.</t>
  </si>
  <si>
    <t>Criterio profesional</t>
  </si>
  <si>
    <t>N/A</t>
  </si>
  <si>
    <t>Digestibilidad, timing y contexto deportivo</t>
  </si>
  <si>
    <t>Campos orientativos editables; ajustar por tolerancia individual, deporte, carga y clínica.</t>
  </si>
  <si>
    <t>Métrica</t>
  </si>
  <si>
    <t>Objetivo</t>
  </si>
  <si>
    <t>Nº alimentos</t>
  </si>
  <si>
    <t>&gt;=1000</t>
  </si>
  <si>
    <t>Categorías únicas</t>
  </si>
  <si>
    <t>informativo</t>
  </si>
  <si>
    <t>Campos nutricionales principales</t>
  </si>
  <si>
    <t>kcal, proteína, CHO, grasa, fibra, sodio, potasio, Ca, Mg, Fe, Zn, vit C, folato, vit D</t>
  </si>
  <si>
    <t>completo</t>
  </si>
  <si>
    <t>Filas con food_id vacío</t>
  </si>
  <si>
    <t>0</t>
  </si>
  <si>
    <t>Uso profesional</t>
  </si>
  <si>
    <t>Clínica + deporte + app</t>
  </si>
  <si>
    <t>C</t>
  </si>
  <si>
    <t>Salsa boloñesa</t>
  </si>
  <si>
    <t>Salsa con carne</t>
  </si>
  <si>
    <t>Valores aproximados por 100 g; receta/producto casero o comercial estándar, revisar etiqueta o receta real.</t>
  </si>
  <si>
    <t>eco Salsa boloñesa</t>
  </si>
  <si>
    <t>convencional Salsa boloñesa</t>
  </si>
  <si>
    <t>Pesto</t>
  </si>
  <si>
    <t>eco Pesto</t>
  </si>
  <si>
    <t>convencional Pesto</t>
  </si>
  <si>
    <t>Refresco de cola</t>
  </si>
  <si>
    <t>Refresco con azúcar</t>
  </si>
  <si>
    <t>eco Refresco de cola</t>
  </si>
  <si>
    <t>convencional Refresco de cola</t>
  </si>
  <si>
    <t>Refresco de cola sin azúcar</t>
  </si>
  <si>
    <t>Refresco sin azúcar</t>
  </si>
  <si>
    <t>eco Refresco de cola sin azúcar</t>
  </si>
  <si>
    <t>convencional Refresco de cola sin azúcar</t>
  </si>
  <si>
    <t>Refresco de naranja</t>
  </si>
  <si>
    <t>eco Refresco de naranja</t>
  </si>
  <si>
    <t>convencional Refresco de naranja</t>
  </si>
  <si>
    <t>Refresco de limón</t>
  </si>
  <si>
    <t>eco Refresco de limón</t>
  </si>
  <si>
    <t>convencional Refresco de limón</t>
  </si>
  <si>
    <t>Tónica</t>
  </si>
  <si>
    <t>eco Tónica</t>
  </si>
  <si>
    <t>convencional Tónica</t>
  </si>
  <si>
    <t>Gazpacho</t>
  </si>
  <si>
    <t>Sopa fría</t>
  </si>
  <si>
    <t>eco Gazpacho</t>
  </si>
  <si>
    <t>convencional Gazpacho</t>
  </si>
  <si>
    <t>Salmorejo</t>
  </si>
  <si>
    <t>eco Salmorejo</t>
  </si>
  <si>
    <t>convencional Salmorejo</t>
  </si>
  <si>
    <t>Lasaña de atún</t>
  </si>
  <si>
    <t>Pasta al horno</t>
  </si>
  <si>
    <t>eco Lasaña de atún</t>
  </si>
  <si>
    <t>convencional Lasaña de atún</t>
  </si>
  <si>
    <t>Lasaña de espinacas</t>
  </si>
  <si>
    <t>eco Lasaña de espinacas</t>
  </si>
  <si>
    <t>convencional Lasaña de espinacas</t>
  </si>
  <si>
    <t>Lasaña de pollo</t>
  </si>
  <si>
    <t>eco Lasaña de pollo</t>
  </si>
  <si>
    <t>convencional Lasaña de pollo</t>
  </si>
  <si>
    <t>Lasaña de ternera</t>
  </si>
  <si>
    <t>eco Lasaña de ternera</t>
  </si>
  <si>
    <t>convencional Lasaña de ternera</t>
  </si>
  <si>
    <t>Canelones (relleno de carne)</t>
  </si>
  <si>
    <t>eco Canelones (relleno de carne)</t>
  </si>
  <si>
    <t>convencional Canelones (relleno de carne)</t>
  </si>
  <si>
    <t>Paella mixta</t>
  </si>
  <si>
    <t>eco Paella mixta</t>
  </si>
  <si>
    <t>convencional Paella mixta</t>
  </si>
  <si>
    <t>Arroz al horno</t>
  </si>
  <si>
    <t>eco Arroz al horno</t>
  </si>
  <si>
    <t>convencional Arroz al horno</t>
  </si>
  <si>
    <t>Hamburguesa de pollo - crudo</t>
  </si>
  <si>
    <t>Hamburguesa</t>
  </si>
  <si>
    <t>eco Hamburguesa de pollo - crudo</t>
  </si>
  <si>
    <t>convencional Hamburguesa de pollo - crudo</t>
  </si>
  <si>
    <t>Hamburguesa de pollo - plancha</t>
  </si>
  <si>
    <t>eco Hamburguesa de pollo - plancha</t>
  </si>
  <si>
    <t>convencional Hamburguesa de pollo - plancha</t>
  </si>
  <si>
    <t>Hamburguesa de ternera - crudo</t>
  </si>
  <si>
    <t>eco Hamburguesa de ternera - crudo</t>
  </si>
  <si>
    <t>convencional Hamburguesa de ternera - crudo</t>
  </si>
  <si>
    <t>Hamburguesa de ternera - plancha</t>
  </si>
  <si>
    <t>eco Hamburguesa de ternera - plancha</t>
  </si>
  <si>
    <t>convencional Hamburguesa de ternera - plancha</t>
  </si>
  <si>
    <t>Hamburguesa de cerdo - crudo</t>
  </si>
  <si>
    <t>eco Hamburguesa de cerdo - crudo</t>
  </si>
  <si>
    <t>convencional Hamburguesa de cerdo - crudo</t>
  </si>
  <si>
    <t>Hamburguesa de cerdo - plancha</t>
  </si>
  <si>
    <t>eco Hamburguesa de cerdo - plancha</t>
  </si>
  <si>
    <t>convencional Hamburguesa de cerdo - plancha</t>
  </si>
  <si>
    <t>Hamburguesa de pavo - crudo</t>
  </si>
  <si>
    <t>eco Hamburguesa de pavo - crudo</t>
  </si>
  <si>
    <t>convencional Hamburguesa de pavo - crudo</t>
  </si>
  <si>
    <t>Hamburguesa de pavo - plancha</t>
  </si>
  <si>
    <t>eco Hamburguesa de pavo - plancha</t>
  </si>
  <si>
    <t>convencional Hamburguesa de pavo - plancha</t>
  </si>
  <si>
    <t>Hamburguesa de espinacas - crudo</t>
  </si>
  <si>
    <t>eco Hamburguesa de espinacas - crudo</t>
  </si>
  <si>
    <t>convencional Hamburguesa de espinacas - crudo</t>
  </si>
  <si>
    <t>Hamburguesa de espinacas - plancha</t>
  </si>
  <si>
    <t>eco Hamburguesa de espinacas - plancha</t>
  </si>
  <si>
    <t>convencional Hamburguesa de espinacas - plancha</t>
  </si>
  <si>
    <t>Pancakes de avena</t>
  </si>
  <si>
    <t>eco Pancakes de avena</t>
  </si>
  <si>
    <t>convencional Pancakes de avena</t>
  </si>
  <si>
    <t>Crepes de avena</t>
  </si>
  <si>
    <t>eco Crepes de avena</t>
  </si>
  <si>
    <t>convencional Crepes de avena</t>
  </si>
  <si>
    <t>Steak tartar</t>
  </si>
  <si>
    <t>Carne cruda / Tartar</t>
  </si>
  <si>
    <t>crudo preparado</t>
  </si>
  <si>
    <t>Valores aproximados por 100 g; receta estándar con carne de vacuno cruda picada, yema de huevo, cebolla, alcaparras, mostaza y aceite. Preparado con carne cruda: extremar la trazabilidad/frescor y valorar riesgo microbiológico en poblaciones sensibles (embarazo, inmunodeprimidos, infancia).</t>
  </si>
  <si>
    <t>eco Steak tartar</t>
  </si>
  <si>
    <t>convencional Steak tartar</t>
  </si>
  <si>
    <t>Proteína whey en polvo (concentrado, sin batir)</t>
  </si>
  <si>
    <t>Suplemento deportivo</t>
  </si>
  <si>
    <t>Proteína en polvo</t>
  </si>
  <si>
    <t>en polvo</t>
  </si>
  <si>
    <t>Valores por 100 g de polvo (no del batido preparado con agua/leche); varían según marca (concentrado ~70-80% proteína, aislado ~85-90%, con menos carbohidratos/grasa y lactosa residual). Verificar etiqueta del producto concreto.</t>
  </si>
  <si>
    <t>Fideuá</t>
  </si>
  <si>
    <t>Fideos</t>
  </si>
  <si>
    <t>Valores aproximados por 100 g; receta estándar, revisar contra receta real o etiqueta de producto envasado.</t>
  </si>
  <si>
    <t>eco Fideuá</t>
  </si>
  <si>
    <t>convencional Fideuá</t>
  </si>
  <si>
    <t>Albóndigas de pollo</t>
  </si>
  <si>
    <t>Albóndiga</t>
  </si>
  <si>
    <t>eco Albóndigas de pollo</t>
  </si>
  <si>
    <t>convencional Albóndigas de pollo</t>
  </si>
  <si>
    <t>Nuggets de pollo al horno</t>
  </si>
  <si>
    <t>Nugget</t>
  </si>
  <si>
    <t>eco Nuggets de pollo al horno</t>
  </si>
  <si>
    <t>convencional Nuggets de pollo al horno</t>
  </si>
  <si>
    <t>Almendra - tostada</t>
  </si>
  <si>
    <t>tostado</t>
  </si>
  <si>
    <t>eco Almendra - tostada</t>
  </si>
  <si>
    <t>convencional Almendra - tostada</t>
  </si>
  <si>
    <t>Almendra - frita</t>
  </si>
  <si>
    <t>eco Almendra - frita</t>
  </si>
  <si>
    <t>convencional Almendra - frita</t>
  </si>
  <si>
    <t>Nuez - tostado</t>
  </si>
  <si>
    <t>eco Nuez - tostado</t>
  </si>
  <si>
    <t>convencional Nuez - tostado</t>
  </si>
  <si>
    <t>Nuez - frito</t>
  </si>
  <si>
    <t>eco Nuez - frito</t>
  </si>
  <si>
    <t>convencional Nuez - frito</t>
  </si>
  <si>
    <t>Avellana - tostada</t>
  </si>
  <si>
    <t>eco Avellana - tostada</t>
  </si>
  <si>
    <t>convencional Avellana - tostada</t>
  </si>
  <si>
    <t>Avellana - frita</t>
  </si>
  <si>
    <t>eco Avellana - frita</t>
  </si>
  <si>
    <t>convencional Avellana - frita</t>
  </si>
  <si>
    <t>Anacardo (marañón) - tostado</t>
  </si>
  <si>
    <t>eco Anacardo (marañón) - tostado</t>
  </si>
  <si>
    <t>convencional Anacardo (marañón) - tostado</t>
  </si>
  <si>
    <t>Anacardo (marañón) - frito</t>
  </si>
  <si>
    <t>eco Anacardo (marañón) - frito</t>
  </si>
  <si>
    <t>convencional Anacardo (marañón) - frito</t>
  </si>
  <si>
    <t>Pistacho - tostado</t>
  </si>
  <si>
    <t>eco Pistacho - tostado</t>
  </si>
  <si>
    <t>convencional Pistacho - tostado</t>
  </si>
  <si>
    <t>Pistacho - frito</t>
  </si>
  <si>
    <t>eco Pistacho - frito</t>
  </si>
  <si>
    <t>convencional Pistacho - frito</t>
  </si>
  <si>
    <t>Cacahuete (maní) - tostado</t>
  </si>
  <si>
    <t>eco Cacahuete (maní) - tostado</t>
  </si>
  <si>
    <t>convencional Cacahuete (maní) - tostado</t>
  </si>
  <si>
    <t>Cacahuete (maní) - frito</t>
  </si>
  <si>
    <t>eco Cacahuete (maní) - frito</t>
  </si>
  <si>
    <t>convencional Cacahuete (maní) - frito</t>
  </si>
  <si>
    <t>Piñones - tostado</t>
  </si>
  <si>
    <t>eco Piñones - tostado</t>
  </si>
  <si>
    <t>convencional Piñones - tostado</t>
  </si>
  <si>
    <t>Piñones - frito</t>
  </si>
  <si>
    <t>eco Piñones - frito</t>
  </si>
  <si>
    <t>convencional Piñones - frito</t>
  </si>
  <si>
    <t>Miel</t>
  </si>
  <si>
    <t>Dulce y edulcorante</t>
  </si>
  <si>
    <t>Miel y jarabes</t>
  </si>
  <si>
    <t>eco Miel</t>
  </si>
  <si>
    <t>convencional Miel</t>
  </si>
  <si>
    <t>Crema de cacahuete natural (100% cacahuete)</t>
  </si>
  <si>
    <t>Crema de fruto seco</t>
  </si>
  <si>
    <t>Valores para crema 100% cacahuete sin azúcar/sal añadidos; muchas marcas comerciales añaden azúcar, sal y aceites, revisar etiqueta.</t>
  </si>
  <si>
    <t>eco Crema de cacahuete natural (100% cacahuete)</t>
  </si>
  <si>
    <t>convencional Crema de cacahuete natural (100% cacahuete)</t>
  </si>
  <si>
    <t>Chocolate negro 70-85% cacao</t>
  </si>
  <si>
    <t>Chocolate</t>
  </si>
  <si>
    <t>eco Chocolate negro 70-85% cacao</t>
  </si>
  <si>
    <t>convencional Chocolate negro 70-85% cacao</t>
  </si>
  <si>
    <t>Ñoquis de patata</t>
  </si>
  <si>
    <t>eco Ñoquis de patata</t>
  </si>
  <si>
    <t>convencional Ñoquis de patata</t>
  </si>
  <si>
    <t>Albóndigas de pavo</t>
  </si>
  <si>
    <t>eco Albóndigas de pavo</t>
  </si>
  <si>
    <t>convencional Albóndigas de pavo</t>
  </si>
  <si>
    <t>Albóndigas de ternera</t>
  </si>
  <si>
    <t>eco Albóndigas de ternera</t>
  </si>
  <si>
    <t>convencional Albóndigas de ternera</t>
  </si>
  <si>
    <t>Albóndigas de cerdo</t>
  </si>
  <si>
    <t>eco Albóndigas de cerdo</t>
  </si>
  <si>
    <t>convencional Albóndigas de cerdo</t>
  </si>
  <si>
    <t>Morro de cerdo cocido</t>
  </si>
  <si>
    <t>Despojo/Casquería</t>
  </si>
  <si>
    <t>Muy alto en colágeno/tejido conectivo; sodio real depende de si se cocina con sal, caldo o en salsa (bravas/vinagreta), revisar preparación.</t>
  </si>
  <si>
    <t>eco Morro de cerdo cocido</t>
  </si>
  <si>
    <t>convencional Morro de cerdo cocido</t>
  </si>
  <si>
    <t>Patatas bravas</t>
  </si>
  <si>
    <t>Tapa</t>
  </si>
  <si>
    <t>frito con salsa</t>
  </si>
  <si>
    <t>eco Patatas bravas</t>
  </si>
  <si>
    <t>convencional Patatas bravas</t>
  </si>
  <si>
    <t>Ensaladilla rusa</t>
  </si>
  <si>
    <t>eco Ensaladilla rusa</t>
  </si>
  <si>
    <t>convencional Ensaladilla rusa</t>
  </si>
  <si>
    <t>Pasta carbonara</t>
  </si>
  <si>
    <t>eco Pasta carbonara</t>
  </si>
  <si>
    <t>convencional Pasta carbonara</t>
  </si>
  <si>
    <t>Chuletón de ternera - crudo</t>
  </si>
  <si>
    <t>eco Chuletón de ternera - crudo</t>
  </si>
  <si>
    <t>convencional Chuletón de ternera - crudo</t>
  </si>
  <si>
    <t>Chuletón de ternera - plancha</t>
  </si>
  <si>
    <t>eco Chuletón de ternera - plancha</t>
  </si>
  <si>
    <t>convencional Chuletón de ternera - plancha</t>
  </si>
  <si>
    <t>Croquetas de jamón</t>
  </si>
  <si>
    <t>Croqueta</t>
  </si>
  <si>
    <t>eco Croquetas de jamón</t>
  </si>
  <si>
    <t>convencional Croquetas de jamón</t>
  </si>
  <si>
    <t>Croquetas de pollo</t>
  </si>
  <si>
    <t>eco Croquetas de pollo</t>
  </si>
  <si>
    <t>convencional Croquetas de pollo</t>
  </si>
  <si>
    <t>Croquetas de bacalao</t>
  </si>
  <si>
    <t>eco Croquetas de bacalao</t>
  </si>
  <si>
    <t>convencional Croquetas de bacalao</t>
  </si>
  <si>
    <t>Croquetas de boletus</t>
  </si>
  <si>
    <t>eco Croquetas de boletus</t>
  </si>
  <si>
    <t>convencional Croquetas de boletus</t>
  </si>
  <si>
    <t>Croquetas de espinacas</t>
  </si>
  <si>
    <t>eco Croquetas de espinacas</t>
  </si>
  <si>
    <t>convencional Croquetas de espinacas</t>
  </si>
  <si>
    <t>Pan de hamburguesa</t>
  </si>
  <si>
    <t>Bollería salada</t>
  </si>
  <si>
    <t>eco Pan de hamburguesa</t>
  </si>
  <si>
    <t>convencional Pan de hamburguesa</t>
  </si>
  <si>
    <t>Donuts</t>
  </si>
  <si>
    <t>Bollería</t>
  </si>
  <si>
    <t>eco Donuts</t>
  </si>
  <si>
    <t>convencional Donuts</t>
  </si>
  <si>
    <t>Galletas tipo María</t>
  </si>
  <si>
    <t>Galleta</t>
  </si>
  <si>
    <t>eco Galletas tipo María</t>
  </si>
  <si>
    <t>convencional Galletas tipo María</t>
  </si>
  <si>
    <t>Helado de vainilla</t>
  </si>
  <si>
    <t>Helado</t>
  </si>
  <si>
    <t>congelado</t>
  </si>
  <si>
    <t>eco Helado de vainilla</t>
  </si>
  <si>
    <t>convencional Helado de vainilla</t>
  </si>
  <si>
    <t>Helado de chocolate</t>
  </si>
  <si>
    <t>eco Helado de chocolate</t>
  </si>
  <si>
    <t>convencional Helado de chocolate</t>
  </si>
  <si>
    <t>Helado de fresa</t>
  </si>
  <si>
    <t>eco Helado de fresa</t>
  </si>
  <si>
    <t>convencional Helado de fresa</t>
  </si>
  <si>
    <t>Helado de nata</t>
  </si>
  <si>
    <t>eco Helado de nata</t>
  </si>
  <si>
    <t>convencional Helado de nata</t>
  </si>
  <si>
    <t>Batata boniato - crudo</t>
  </si>
  <si>
    <t>Batata boniato - cocido</t>
  </si>
  <si>
    <t xml:space="preserve">Plátano </t>
  </si>
  <si>
    <t xml:space="preserve">Pera </t>
  </si>
  <si>
    <t xml:space="preserve">Manzana </t>
  </si>
  <si>
    <t xml:space="preserve">Naranja </t>
  </si>
  <si>
    <t>Mandarina</t>
  </si>
  <si>
    <t>Kiwi</t>
  </si>
  <si>
    <t xml:space="preserve">Fresa </t>
  </si>
  <si>
    <t xml:space="preserve">Frambuesa </t>
  </si>
  <si>
    <t xml:space="preserve">Mango </t>
  </si>
  <si>
    <t xml:space="preserve">Uva </t>
  </si>
  <si>
    <t xml:space="preserve">Melón </t>
  </si>
  <si>
    <t xml:space="preserve">Sandía </t>
  </si>
  <si>
    <t>Dátil</t>
  </si>
  <si>
    <t xml:space="preserve">Pasta de Dátil </t>
  </si>
  <si>
    <t xml:space="preserve">Higo seco </t>
  </si>
  <si>
    <t>Brócoli - crudo</t>
  </si>
  <si>
    <t>Brócoli - cocido</t>
  </si>
  <si>
    <t>Tomate - crudo</t>
  </si>
  <si>
    <t>Tomate - cocido</t>
  </si>
  <si>
    <t>Calabacín - crudo</t>
  </si>
  <si>
    <t>Calabacín - cocido</t>
  </si>
  <si>
    <t>Pimiento - cruda</t>
  </si>
  <si>
    <t>Pimiento - cocinado</t>
  </si>
  <si>
    <t>Pimiento rojo - asado</t>
  </si>
  <si>
    <t xml:space="preserve">Ajo </t>
  </si>
  <si>
    <t>Pepino</t>
  </si>
  <si>
    <t>Gamba - cocida</t>
  </si>
  <si>
    <t>Gamba - cruda</t>
  </si>
  <si>
    <t xml:space="preserve">Yogur natural </t>
  </si>
  <si>
    <t xml:space="preserve">Leche entera </t>
  </si>
  <si>
    <t>Leche desnatado</t>
  </si>
  <si>
    <t xml:space="preserve">Queso fresco </t>
  </si>
  <si>
    <t xml:space="preserve">Yogur griego natural </t>
  </si>
  <si>
    <t xml:space="preserve">Queso curado </t>
  </si>
  <si>
    <t xml:space="preserve">Sándwich pavo queso </t>
  </si>
  <si>
    <t xml:space="preserve">Almendra </t>
  </si>
  <si>
    <t>Pipas de girasol</t>
  </si>
  <si>
    <t>Lenguado</t>
  </si>
  <si>
    <t xml:space="preserve">Rodaballo </t>
  </si>
  <si>
    <t>Melocotón</t>
  </si>
  <si>
    <t>Paraguayo</t>
  </si>
  <si>
    <t>Nectarina</t>
  </si>
  <si>
    <t>Ciruela</t>
  </si>
  <si>
    <t>Conejo</t>
  </si>
  <si>
    <t>carne</t>
  </si>
  <si>
    <t xml:space="preserve">Alitas de pollo </t>
  </si>
  <si>
    <t>Ternera entrecot</t>
  </si>
  <si>
    <t>Ternera solomillo</t>
  </si>
  <si>
    <t>Secreto de cerd</t>
  </si>
  <si>
    <t>cerdo</t>
  </si>
  <si>
    <t>chuletas de pavo</t>
  </si>
  <si>
    <t>carne picada de pollo</t>
  </si>
  <si>
    <t>avena</t>
  </si>
  <si>
    <t>ave</t>
  </si>
  <si>
    <t>vacuno</t>
  </si>
  <si>
    <t>carne picada mixta</t>
  </si>
  <si>
    <t>carne picada de ternera</t>
  </si>
  <si>
    <t>longaniza de cerdo</t>
  </si>
  <si>
    <t>longaniza de pollo</t>
  </si>
  <si>
    <t>pechuga de pavo (lonchas)</t>
  </si>
  <si>
    <t>fiambre</t>
  </si>
  <si>
    <t>bacalao (fresco)</t>
  </si>
  <si>
    <t>pescado</t>
  </si>
  <si>
    <t>bacalao desalado</t>
  </si>
  <si>
    <t>desecado</t>
  </si>
  <si>
    <t>salmón ahumado</t>
  </si>
  <si>
    <t>caballa en conserva (al natural)</t>
  </si>
  <si>
    <t>lata</t>
  </si>
  <si>
    <t>Mejillon fresco</t>
  </si>
  <si>
    <t>moluscos</t>
  </si>
  <si>
    <t>mejiilon en conserva (escabeche)</t>
  </si>
  <si>
    <t>berberecho fresco</t>
  </si>
  <si>
    <t>berberecho conserva</t>
  </si>
  <si>
    <t>Kéfir entero</t>
  </si>
  <si>
    <t>lácteo</t>
  </si>
  <si>
    <t>Kéfir desnatado</t>
  </si>
  <si>
    <t>Nutella</t>
  </si>
  <si>
    <t>salsa</t>
  </si>
  <si>
    <t>salsa de soja sin azúcar</t>
  </si>
  <si>
    <t>salsas</t>
  </si>
  <si>
    <t>soja</t>
  </si>
  <si>
    <t>Tofu firme</t>
  </si>
  <si>
    <t>seitán</t>
  </si>
  <si>
    <t>guisantes cocidos</t>
  </si>
  <si>
    <t>legumbre</t>
  </si>
  <si>
    <t>pasta de lenteja roja - cruda</t>
  </si>
  <si>
    <t>tortilla de trigo</t>
  </si>
  <si>
    <t>trigo</t>
  </si>
  <si>
    <t>pan</t>
  </si>
  <si>
    <t>tortilla de trigo integral</t>
  </si>
  <si>
    <t>aguacate</t>
  </si>
  <si>
    <t>fruta</t>
  </si>
  <si>
    <t>grasa</t>
  </si>
  <si>
    <t>espárragos verdes</t>
  </si>
  <si>
    <t>verdura</t>
  </si>
  <si>
    <t>espárragos blancos - conserva</t>
  </si>
  <si>
    <t>alcachofa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</si>
</sst>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FFFFFF"/>
      <name val="Cambria"/>
      <family val="1"/>
    </font>
    <font>
      <b/>
      <sz val="11"/>
      <color rgb="FF666666"/>
      <name val="Cambria"/>
      <family val="1"/>
    </font>
    <font>
      <b/>
      <sz val="11"/>
      <color rgb="FFFFFFFF"/>
      <name val="Cambria"/>
      <family val="1"/>
    </font>
    <font>
      <b/>
      <sz val="14"/>
      <color rgb="FFFFFFFF"/>
      <name val="Cambria"/>
      <family val="1"/>
    </font>
    <font>
      <b/>
      <sz val="11"/>
      <name val="Cambria"/>
      <family val="1"/>
    </font>
    <font>
      <sz val="11"/>
      <color rgb="FF0000FF"/>
      <name val="Cambria"/>
      <family val="1"/>
    </font>
    <font>
      <sz val="11"/>
      <color rgb="FF000000"/>
      <name val="Cambria"/>
      <family val="1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7030A0"/>
        <bgColor rgb="FF993366"/>
      </patternFill>
    </fill>
    <fill>
      <patternFill patternType="solid">
        <fgColor rgb="FFD9E1F2"/>
        <bgColor rgb="FFCCFFFF"/>
      </patternFill>
    </fill>
    <fill>
      <patternFill patternType="solid">
        <fgColor rgb="FF4472C4"/>
        <bgColor rgb="FF6666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0" borderId="0" xfId="0" applyFont="1"/>
    <xf numFmtId="0" fontId="4" fillId="2" borderId="0" xfId="0" applyFont="1" applyFill="1" applyAlignment="1">
      <alignment vertical="center" wrapText="1"/>
    </xf>
    <xf numFmtId="1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4" fillId="5" borderId="0" xfId="0" applyFont="1" applyFill="1" applyAlignment="1">
      <alignment horizontal="center"/>
    </xf>
    <xf numFmtId="0" fontId="2" fillId="2" borderId="0" xfId="0" applyFont="1" applyFill="1"/>
    <xf numFmtId="0" fontId="5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alimentos" displayName="tbl_alimentos" ref="A1:AJ164" totalsRowShown="0">
  <autoFilter ref="A1:AJ164" xr:uid="{00000000-0009-0000-0100-000001000000}"/>
  <tableColumns count="36">
    <tableColumn id="1" xr3:uid="{00000000-0010-0000-0000-000001000000}" name="food_id"/>
    <tableColumn id="2" xr3:uid="{00000000-0010-0000-0000-000002000000}" name="nombre"/>
    <tableColumn id="3" xr3:uid="{00000000-0010-0000-0000-000003000000}" name="categoria"/>
    <tableColumn id="4" xr3:uid="{00000000-0010-0000-0000-000004000000}" name="subcategoria"/>
    <tableColumn id="5" xr3:uid="{00000000-0010-0000-0000-000005000000}" name="estado"/>
    <tableColumn id="6" xr3:uid="{00000000-0010-0000-0000-000006000000}" name="marca"/>
    <tableColumn id="7" xr3:uid="{00000000-0010-0000-0000-000007000000}" name="procesado_NOVA"/>
    <tableColumn id="8" xr3:uid="{00000000-0010-0000-0000-000008000000}" name="gluten"/>
    <tableColumn id="9" xr3:uid="{00000000-0010-0000-0000-000009000000}" name="lactosa"/>
    <tableColumn id="10" xr3:uid="{00000000-0010-0000-0000-00000A000000}" name="vegano"/>
    <tableColumn id="11" xr3:uid="{00000000-0010-0000-0000-00000B000000}" name="fodmap"/>
    <tableColumn id="12" xr3:uid="{00000000-0010-0000-0000-00000C000000}" name="unidad_g"/>
    <tableColumn id="13" xr3:uid="{00000000-0010-0000-0000-00000D000000}" name="kcal"/>
    <tableColumn id="14" xr3:uid="{00000000-0010-0000-0000-00000E000000}" name="proteina_g"/>
    <tableColumn id="15" xr3:uid="{00000000-0010-0000-0000-00000F000000}" name="hidratos_g"/>
    <tableColumn id="16" xr3:uid="{00000000-0010-0000-0000-000010000000}" name="azucares_g"/>
    <tableColumn id="17" xr3:uid="{00000000-0010-0000-0000-000011000000}" name="almidon_g"/>
    <tableColumn id="18" xr3:uid="{00000000-0010-0000-0000-000012000000}" name="grasa_g"/>
    <tableColumn id="19" xr3:uid="{00000000-0010-0000-0000-000013000000}" name="saturadas_g"/>
    <tableColumn id="20" xr3:uid="{00000000-0010-0000-0000-000014000000}" name="monoinsat_g"/>
    <tableColumn id="21" xr3:uid="{00000000-0010-0000-0000-000015000000}" name="poliinsat_g"/>
    <tableColumn id="22" xr3:uid="{00000000-0010-0000-0000-000016000000}" name="omega3_g"/>
    <tableColumn id="23" xr3:uid="{00000000-0010-0000-0000-000017000000}" name="fibra_g"/>
    <tableColumn id="24" xr3:uid="{00000000-0010-0000-0000-000018000000}" name="sodio_mg"/>
    <tableColumn id="25" xr3:uid="{00000000-0010-0000-0000-000019000000}" name="potasio_mg"/>
    <tableColumn id="26" xr3:uid="{00000000-0010-0000-0000-00001A000000}" name="calcio_mg"/>
    <tableColumn id="27" xr3:uid="{00000000-0010-0000-0000-00001B000000}" name="magnesio_mg"/>
    <tableColumn id="28" xr3:uid="{00000000-0010-0000-0000-00001C000000}" name="hierro_mg"/>
    <tableColumn id="29" xr3:uid="{00000000-0010-0000-0000-00001D000000}" name="zinc_mg"/>
    <tableColumn id="30" xr3:uid="{00000000-0010-0000-0000-00001E000000}" name="vitamina_C_mg"/>
    <tableColumn id="31" xr3:uid="{00000000-0010-0000-0000-00001F000000}" name="folato_ug"/>
    <tableColumn id="35" xr3:uid="{00000000-0010-0000-0000-000023000000}" name="indice_glucemico"/>
    <tableColumn id="36" xr3:uid="{00000000-0010-0000-0000-000024000000}" name="carga_glucemica"/>
    <tableColumn id="37" xr3:uid="{00000000-0010-0000-0000-000025000000}" name="digestibilidad"/>
    <tableColumn id="38" xr3:uid="{00000000-0010-0000-0000-000026000000}" name="residuo"/>
    <tableColumn id="39" xr3:uid="{00000000-0010-0000-0000-000027000000}" name="riesgo_hinchazon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l_raciones" displayName="tbl_raciones" ref="A1:J1201" totalsRowShown="0">
  <autoFilter ref="A1:J1201" xr:uid="{00000000-0009-0000-0100-000004000000}"/>
  <tableColumns count="10">
    <tableColumn id="1" xr3:uid="{00000000-0010-0000-0100-000001000000}" name="portion_id"/>
    <tableColumn id="2" xr3:uid="{00000000-0010-0000-0100-000002000000}" name="food_id"/>
    <tableColumn id="3" xr3:uid="{00000000-0010-0000-0100-000003000000}" name="alimento"/>
    <tableColumn id="4" xr3:uid="{00000000-0010-0000-0100-000004000000}" name="medida"/>
    <tableColumn id="5" xr3:uid="{00000000-0010-0000-0100-000005000000}" name="gramos"/>
    <tableColumn id="6" xr3:uid="{00000000-0010-0000-0100-000006000000}" name="contexto"/>
    <tableColumn id="7" xr3:uid="{00000000-0010-0000-0100-000007000000}" name="kcal_formula"/>
    <tableColumn id="8" xr3:uid="{00000000-0010-0000-0100-000008000000}" name="proteina_formula"/>
    <tableColumn id="9" xr3:uid="{00000000-0010-0000-0100-000009000000}" name="hidratos_formula"/>
    <tableColumn id="10" xr3:uid="{00000000-0010-0000-0100-00000A000000}" name="grasa_formul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_equivalencias" displayName="tbl_equivalencias" ref="A1:I12" totalsRowShown="0">
  <autoFilter ref="A1:I12" xr:uid="{00000000-0009-0000-0100-000002000000}"/>
  <tableColumns count="9">
    <tableColumn id="1" xr3:uid="{00000000-0010-0000-0200-000001000000}" name="grupo"/>
    <tableColumn id="2" xr3:uid="{00000000-0010-0000-0200-000002000000}" name="objetivo"/>
    <tableColumn id="3" xr3:uid="{00000000-0010-0000-0200-000003000000}" name="alimento_referencia"/>
    <tableColumn id="4" xr3:uid="{00000000-0010-0000-0200-000004000000}" name="cantidad_g"/>
    <tableColumn id="5" xr3:uid="{00000000-0010-0000-0200-000005000000}" name="kcal_aprox"/>
    <tableColumn id="6" xr3:uid="{00000000-0010-0000-0200-000006000000}" name="proteina_g"/>
    <tableColumn id="7" xr3:uid="{00000000-0010-0000-0200-000007000000}" name="hidratos_g"/>
    <tableColumn id="8" xr3:uid="{00000000-0010-0000-0200-000008000000}" name="grasa_g"/>
    <tableColumn id="9" xr3:uid="{00000000-0010-0000-0200-000009000000}" name="us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bl_fuentes" displayName="tbl_fuentes" ref="A1:D5" totalsRowShown="0">
  <autoFilter ref="A1:D5" xr:uid="{00000000-0009-0000-0100-000003000000}"/>
  <tableColumns count="4">
    <tableColumn id="1" xr3:uid="{00000000-0010-0000-0300-000001000000}" name="fuente"/>
    <tableColumn id="2" xr3:uid="{00000000-0010-0000-0300-000002000000}" name="url"/>
    <tableColumn id="3" xr3:uid="{00000000-0010-0000-0300-000003000000}" name="uso en workbook"/>
    <tableColumn id="4" xr3:uid="{00000000-0010-0000-0300-000004000000}" name="not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showGridLines="0" zoomScaleNormal="100" workbookViewId="0">
      <selection sqref="A1:H1"/>
    </sheetView>
  </sheetViews>
  <sheetFormatPr baseColWidth="10" defaultColWidth="8.6640625" defaultRowHeight="15" x14ac:dyDescent="0.2"/>
  <cols>
    <col min="1" max="1" width="24" customWidth="1"/>
    <col min="2" max="2" width="120" customWidth="1"/>
  </cols>
  <sheetData>
    <row r="1" spans="1:8" ht="19.5" customHeight="1" x14ac:dyDescent="0.25">
      <c r="A1" s="10" t="s">
        <v>0</v>
      </c>
      <c r="B1" s="10"/>
      <c r="C1" s="10"/>
      <c r="D1" s="10"/>
      <c r="E1" s="10"/>
      <c r="F1" s="10"/>
      <c r="G1" s="10"/>
      <c r="H1" s="10"/>
    </row>
    <row r="3" spans="1:8" ht="15" customHeight="1" x14ac:dyDescent="0.2">
      <c r="A3" s="1" t="s">
        <v>1</v>
      </c>
      <c r="B3" t="s">
        <v>2</v>
      </c>
    </row>
    <row r="4" spans="1:8" ht="15" customHeight="1" x14ac:dyDescent="0.2">
      <c r="A4" s="1" t="s">
        <v>3</v>
      </c>
      <c r="B4" t="s">
        <v>4</v>
      </c>
    </row>
    <row r="5" spans="1:8" ht="15" customHeight="1" x14ac:dyDescent="0.2">
      <c r="A5" s="1" t="s">
        <v>5</v>
      </c>
      <c r="B5" t="s">
        <v>6</v>
      </c>
    </row>
    <row r="6" spans="1:8" ht="15" customHeight="1" x14ac:dyDescent="0.2">
      <c r="A6" s="1" t="s">
        <v>7</v>
      </c>
      <c r="B6" t="s">
        <v>8</v>
      </c>
    </row>
    <row r="7" spans="1:8" ht="15" customHeight="1" x14ac:dyDescent="0.2">
      <c r="A7" s="1" t="s">
        <v>9</v>
      </c>
      <c r="B7" t="s">
        <v>10</v>
      </c>
    </row>
    <row r="8" spans="1:8" ht="15" customHeight="1" x14ac:dyDescent="0.2">
      <c r="A8" s="1" t="s">
        <v>11</v>
      </c>
      <c r="B8" t="s">
        <v>12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357"/>
  <sheetViews>
    <sheetView showGridLines="0" tabSelected="1" topLeftCell="AC1" zoomScaleNormal="100" workbookViewId="0">
      <pane ySplit="1" topLeftCell="A344" activePane="bottomLeft" state="frozen"/>
      <selection pane="bottomLeft" activeCell="AJ358" sqref="AJ358"/>
    </sheetView>
  </sheetViews>
  <sheetFormatPr baseColWidth="10" defaultColWidth="8.6640625" defaultRowHeight="15" x14ac:dyDescent="0.2"/>
  <cols>
    <col min="1" max="1" width="12" customWidth="1"/>
    <col min="2" max="2" width="34" customWidth="1"/>
    <col min="3" max="5" width="18" customWidth="1"/>
    <col min="6" max="33" width="12" customWidth="1"/>
    <col min="34" max="36" width="18" customWidth="1"/>
  </cols>
  <sheetData>
    <row r="1" spans="1:36" ht="24" customHeight="1" x14ac:dyDescent="0.2">
      <c r="A1" s="2" t="s">
        <v>13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  <c r="M1" s="2" t="s">
        <v>25</v>
      </c>
      <c r="N1" s="2" t="s">
        <v>26</v>
      </c>
      <c r="O1" s="2" t="s">
        <v>27</v>
      </c>
      <c r="P1" s="2" t="s">
        <v>28</v>
      </c>
      <c r="Q1" s="2" t="s">
        <v>29</v>
      </c>
      <c r="R1" s="2" t="s">
        <v>30</v>
      </c>
      <c r="S1" s="2" t="s">
        <v>31</v>
      </c>
      <c r="T1" s="2" t="s">
        <v>32</v>
      </c>
      <c r="U1" s="2" t="s">
        <v>33</v>
      </c>
      <c r="V1" s="2" t="s">
        <v>34</v>
      </c>
      <c r="W1" s="2" t="s">
        <v>35</v>
      </c>
      <c r="X1" s="2" t="s">
        <v>36</v>
      </c>
      <c r="Y1" s="2" t="s">
        <v>37</v>
      </c>
      <c r="Z1" s="2" t="s">
        <v>38</v>
      </c>
      <c r="AA1" s="2" t="s">
        <v>39</v>
      </c>
      <c r="AB1" s="2" t="s">
        <v>40</v>
      </c>
      <c r="AC1" s="2" t="s">
        <v>41</v>
      </c>
      <c r="AD1" s="2" t="s">
        <v>42</v>
      </c>
      <c r="AE1" s="2" t="s">
        <v>43</v>
      </c>
      <c r="AF1" s="2" t="s">
        <v>47</v>
      </c>
      <c r="AG1" s="2" t="s">
        <v>48</v>
      </c>
      <c r="AH1" s="2" t="s">
        <v>49</v>
      </c>
      <c r="AI1" s="2" t="s">
        <v>50</v>
      </c>
      <c r="AJ1" s="2" t="s">
        <v>51</v>
      </c>
    </row>
    <row r="2" spans="1:36" ht="24" customHeight="1" x14ac:dyDescent="0.2">
      <c r="A2" s="3">
        <v>1</v>
      </c>
      <c r="B2" s="4" t="s">
        <v>59</v>
      </c>
      <c r="C2" s="4" t="s">
        <v>60</v>
      </c>
      <c r="D2" s="4" t="s">
        <v>61</v>
      </c>
      <c r="E2" s="4" t="s">
        <v>62</v>
      </c>
      <c r="F2" s="4" t="s">
        <v>63</v>
      </c>
      <c r="G2" s="4" t="s">
        <v>64</v>
      </c>
      <c r="H2" s="3" t="b">
        <f>FALSE()</f>
        <v>0</v>
      </c>
      <c r="I2" s="3" t="b">
        <f>FALSE()</f>
        <v>0</v>
      </c>
      <c r="J2" s="3" t="b">
        <f>TRUE()</f>
        <v>1</v>
      </c>
      <c r="K2" s="4" t="s">
        <v>65</v>
      </c>
      <c r="L2" s="3">
        <v>100</v>
      </c>
      <c r="M2" s="5">
        <v>365</v>
      </c>
      <c r="N2" s="5">
        <v>7.1</v>
      </c>
      <c r="O2" s="5">
        <v>78</v>
      </c>
      <c r="P2" s="5">
        <v>0.1</v>
      </c>
      <c r="Q2" s="5">
        <v>77.77</v>
      </c>
      <c r="R2" s="5">
        <v>0.6</v>
      </c>
      <c r="S2" s="5">
        <v>7.0000000000000007E-2</v>
      </c>
      <c r="T2" s="5">
        <v>0.28999999999999998</v>
      </c>
      <c r="U2" s="5">
        <v>0.19</v>
      </c>
      <c r="V2" s="5">
        <v>0</v>
      </c>
      <c r="W2" s="5">
        <v>1.3</v>
      </c>
      <c r="X2" s="5">
        <v>5</v>
      </c>
      <c r="Y2" s="5">
        <v>115</v>
      </c>
      <c r="Z2" s="5">
        <v>28</v>
      </c>
      <c r="AA2" s="5">
        <v>25</v>
      </c>
      <c r="AB2" s="5">
        <v>0.8</v>
      </c>
      <c r="AC2" s="5">
        <v>1.1000000000000001</v>
      </c>
      <c r="AD2" s="5">
        <v>0</v>
      </c>
      <c r="AE2" s="5">
        <v>8</v>
      </c>
      <c r="AF2" s="5">
        <v>73</v>
      </c>
      <c r="AG2" s="5">
        <v>56.9</v>
      </c>
      <c r="AH2" s="4" t="s">
        <v>66</v>
      </c>
      <c r="AI2" s="4" t="s">
        <v>65</v>
      </c>
      <c r="AJ2" s="4" t="s">
        <v>65</v>
      </c>
    </row>
    <row r="3" spans="1:36" ht="24" customHeight="1" x14ac:dyDescent="0.2">
      <c r="A3" s="3">
        <v>2</v>
      </c>
      <c r="B3" s="4" t="s">
        <v>75</v>
      </c>
      <c r="C3" s="4" t="s">
        <v>60</v>
      </c>
      <c r="D3" s="4" t="s">
        <v>61</v>
      </c>
      <c r="E3" s="4" t="s">
        <v>76</v>
      </c>
      <c r="F3" s="4" t="s">
        <v>63</v>
      </c>
      <c r="G3" s="4" t="s">
        <v>64</v>
      </c>
      <c r="H3" s="3" t="b">
        <f>FALSE()</f>
        <v>0</v>
      </c>
      <c r="I3" s="3" t="b">
        <f>FALSE()</f>
        <v>0</v>
      </c>
      <c r="J3" s="3" t="b">
        <f>TRUE()</f>
        <v>1</v>
      </c>
      <c r="K3" s="4" t="s">
        <v>65</v>
      </c>
      <c r="L3" s="3">
        <v>100</v>
      </c>
      <c r="M3" s="5">
        <v>131.4</v>
      </c>
      <c r="N3" s="5">
        <v>2.56</v>
      </c>
      <c r="O3" s="5">
        <v>28.08</v>
      </c>
      <c r="P3" s="5">
        <v>0.04</v>
      </c>
      <c r="Q3" s="5">
        <v>27.99</v>
      </c>
      <c r="R3" s="5">
        <v>0.22</v>
      </c>
      <c r="S3" s="5">
        <v>0.03</v>
      </c>
      <c r="T3" s="5">
        <v>0.1</v>
      </c>
      <c r="U3" s="5">
        <v>7.0000000000000007E-2</v>
      </c>
      <c r="V3" s="5">
        <v>0</v>
      </c>
      <c r="W3" s="5">
        <v>0.47</v>
      </c>
      <c r="X3" s="5">
        <v>5</v>
      </c>
      <c r="Y3" s="5">
        <v>41.4</v>
      </c>
      <c r="Z3" s="5">
        <v>10.1</v>
      </c>
      <c r="AA3" s="5">
        <v>9</v>
      </c>
      <c r="AB3" s="5">
        <v>0.28999999999999998</v>
      </c>
      <c r="AC3" s="5">
        <v>0.4</v>
      </c>
      <c r="AD3" s="5">
        <v>0</v>
      </c>
      <c r="AE3" s="5">
        <v>2.2000000000000002</v>
      </c>
      <c r="AF3" s="5">
        <v>73</v>
      </c>
      <c r="AG3" s="5">
        <v>20.5</v>
      </c>
      <c r="AH3" s="4" t="s">
        <v>77</v>
      </c>
      <c r="AI3" s="4" t="s">
        <v>65</v>
      </c>
      <c r="AJ3" s="4" t="s">
        <v>65</v>
      </c>
    </row>
    <row r="4" spans="1:36" ht="27.75" customHeight="1" x14ac:dyDescent="0.2">
      <c r="A4" s="3">
        <v>13</v>
      </c>
      <c r="B4" s="4" t="s">
        <v>86</v>
      </c>
      <c r="C4" s="4" t="s">
        <v>60</v>
      </c>
      <c r="D4" s="4" t="s">
        <v>61</v>
      </c>
      <c r="E4" s="4" t="s">
        <v>62</v>
      </c>
      <c r="F4" s="4" t="s">
        <v>63</v>
      </c>
      <c r="G4" s="4" t="s">
        <v>64</v>
      </c>
      <c r="H4" s="3" t="b">
        <f>FALSE()</f>
        <v>0</v>
      </c>
      <c r="I4" s="3" t="b">
        <f>FALSE()</f>
        <v>0</v>
      </c>
      <c r="J4" s="3" t="b">
        <f>TRUE()</f>
        <v>1</v>
      </c>
      <c r="K4" s="4" t="s">
        <v>65</v>
      </c>
      <c r="L4" s="3">
        <v>100</v>
      </c>
      <c r="M4" s="5">
        <v>370</v>
      </c>
      <c r="N4" s="5">
        <v>7.5</v>
      </c>
      <c r="O4" s="5">
        <v>77</v>
      </c>
      <c r="P4" s="5">
        <v>0.8</v>
      </c>
      <c r="Q4" s="5">
        <v>75.849999999999994</v>
      </c>
      <c r="R4" s="5">
        <v>2.7</v>
      </c>
      <c r="S4" s="5">
        <v>0.32</v>
      </c>
      <c r="T4" s="5">
        <v>1.31</v>
      </c>
      <c r="U4" s="5">
        <v>0.83</v>
      </c>
      <c r="V4" s="5">
        <v>0</v>
      </c>
      <c r="W4" s="5">
        <v>3.5</v>
      </c>
      <c r="X4" s="5">
        <v>7</v>
      </c>
      <c r="Y4" s="5">
        <v>223</v>
      </c>
      <c r="Z4" s="5">
        <v>23</v>
      </c>
      <c r="AA4" s="5">
        <v>143</v>
      </c>
      <c r="AB4" s="5">
        <v>1.5</v>
      </c>
      <c r="AC4" s="5">
        <v>2</v>
      </c>
      <c r="AD4" s="5">
        <v>0</v>
      </c>
      <c r="AE4" s="5">
        <v>20</v>
      </c>
      <c r="AF4" s="5">
        <v>68</v>
      </c>
      <c r="AG4" s="5">
        <v>52.4</v>
      </c>
      <c r="AH4" s="4" t="s">
        <v>66</v>
      </c>
      <c r="AI4" s="4" t="s">
        <v>87</v>
      </c>
      <c r="AJ4" s="4" t="s">
        <v>65</v>
      </c>
    </row>
    <row r="5" spans="1:36" ht="27.75" customHeight="1" x14ac:dyDescent="0.2">
      <c r="A5" s="3">
        <v>16</v>
      </c>
      <c r="B5" s="4" t="s">
        <v>90</v>
      </c>
      <c r="C5" s="4" t="s">
        <v>60</v>
      </c>
      <c r="D5" s="4" t="s">
        <v>61</v>
      </c>
      <c r="E5" s="4" t="s">
        <v>76</v>
      </c>
      <c r="F5" s="4" t="s">
        <v>63</v>
      </c>
      <c r="G5" s="4" t="s">
        <v>64</v>
      </c>
      <c r="H5" s="3" t="b">
        <f>FALSE()</f>
        <v>0</v>
      </c>
      <c r="I5" s="3" t="b">
        <f>FALSE()</f>
        <v>0</v>
      </c>
      <c r="J5" s="3" t="b">
        <f>TRUE()</f>
        <v>1</v>
      </c>
      <c r="K5" s="4" t="s">
        <v>65</v>
      </c>
      <c r="L5" s="3">
        <v>100</v>
      </c>
      <c r="M5" s="5">
        <v>133.19999999999999</v>
      </c>
      <c r="N5" s="5">
        <v>2.7</v>
      </c>
      <c r="O5" s="5">
        <v>27.72</v>
      </c>
      <c r="P5" s="5">
        <v>0.28999999999999998</v>
      </c>
      <c r="Q5" s="5">
        <v>27.3</v>
      </c>
      <c r="R5" s="5">
        <v>0.97</v>
      </c>
      <c r="S5" s="5">
        <v>0.12</v>
      </c>
      <c r="T5" s="5">
        <v>0.47</v>
      </c>
      <c r="U5" s="5">
        <v>0.3</v>
      </c>
      <c r="V5" s="5">
        <v>0</v>
      </c>
      <c r="W5" s="5">
        <v>1.26</v>
      </c>
      <c r="X5" s="5">
        <v>7</v>
      </c>
      <c r="Y5" s="5">
        <v>80.3</v>
      </c>
      <c r="Z5" s="5">
        <v>8.3000000000000007</v>
      </c>
      <c r="AA5" s="5">
        <v>51.5</v>
      </c>
      <c r="AB5" s="5">
        <v>0.54</v>
      </c>
      <c r="AC5" s="5">
        <v>0.72</v>
      </c>
      <c r="AD5" s="5">
        <v>0</v>
      </c>
      <c r="AE5" s="5">
        <v>5.4</v>
      </c>
      <c r="AF5" s="5">
        <v>68</v>
      </c>
      <c r="AG5" s="5">
        <v>18.8</v>
      </c>
      <c r="AH5" s="4" t="s">
        <v>77</v>
      </c>
      <c r="AI5" s="4" t="s">
        <v>65</v>
      </c>
      <c r="AJ5" s="4" t="s">
        <v>65</v>
      </c>
    </row>
    <row r="6" spans="1:36" ht="27.75" customHeight="1" x14ac:dyDescent="0.2">
      <c r="A6" s="3">
        <v>25</v>
      </c>
      <c r="B6" s="4" t="s">
        <v>99</v>
      </c>
      <c r="C6" s="4" t="s">
        <v>60</v>
      </c>
      <c r="D6" s="4" t="s">
        <v>100</v>
      </c>
      <c r="E6" s="4" t="s">
        <v>62</v>
      </c>
      <c r="F6" s="4" t="s">
        <v>63</v>
      </c>
      <c r="G6" s="4" t="s">
        <v>64</v>
      </c>
      <c r="H6" s="3" t="b">
        <f>TRUE()</f>
        <v>1</v>
      </c>
      <c r="I6" s="3" t="b">
        <f>FALSE()</f>
        <v>0</v>
      </c>
      <c r="J6" s="3" t="b">
        <f>TRUE()</f>
        <v>1</v>
      </c>
      <c r="K6" s="4" t="s">
        <v>87</v>
      </c>
      <c r="L6" s="3">
        <v>100</v>
      </c>
      <c r="M6" s="5">
        <v>371</v>
      </c>
      <c r="N6" s="5">
        <v>13</v>
      </c>
      <c r="O6" s="5">
        <v>75</v>
      </c>
      <c r="P6" s="5">
        <v>2.7</v>
      </c>
      <c r="Q6" s="5">
        <v>71.98</v>
      </c>
      <c r="R6" s="5">
        <v>1.5</v>
      </c>
      <c r="S6" s="5">
        <v>0.18</v>
      </c>
      <c r="T6" s="5">
        <v>0.73</v>
      </c>
      <c r="U6" s="5">
        <v>0.46</v>
      </c>
      <c r="V6" s="5">
        <v>0</v>
      </c>
      <c r="W6" s="5">
        <v>3.2</v>
      </c>
      <c r="X6" s="5">
        <v>6</v>
      </c>
      <c r="Y6" s="5">
        <v>223</v>
      </c>
      <c r="Z6" s="5">
        <v>21</v>
      </c>
      <c r="AA6" s="5">
        <v>53</v>
      </c>
      <c r="AB6" s="5">
        <v>1.3</v>
      </c>
      <c r="AC6" s="5">
        <v>1.4</v>
      </c>
      <c r="AD6" s="5">
        <v>0</v>
      </c>
      <c r="AE6" s="5">
        <v>18</v>
      </c>
      <c r="AF6" s="5">
        <v>55</v>
      </c>
      <c r="AG6" s="5">
        <v>41.2</v>
      </c>
      <c r="AH6" s="4" t="s">
        <v>66</v>
      </c>
      <c r="AI6" s="4" t="s">
        <v>87</v>
      </c>
      <c r="AJ6" s="4" t="s">
        <v>87</v>
      </c>
    </row>
    <row r="7" spans="1:36" ht="27.75" customHeight="1" x14ac:dyDescent="0.2">
      <c r="A7" s="3">
        <v>28</v>
      </c>
      <c r="B7" s="4" t="s">
        <v>103</v>
      </c>
      <c r="C7" s="4" t="s">
        <v>60</v>
      </c>
      <c r="D7" s="4" t="s">
        <v>100</v>
      </c>
      <c r="E7" s="4" t="s">
        <v>76</v>
      </c>
      <c r="F7" s="4" t="s">
        <v>63</v>
      </c>
      <c r="G7" s="4" t="s">
        <v>64</v>
      </c>
      <c r="H7" s="3" t="b">
        <f>TRUE()</f>
        <v>1</v>
      </c>
      <c r="I7" s="3" t="b">
        <f>FALSE()</f>
        <v>0</v>
      </c>
      <c r="J7" s="3" t="b">
        <f>TRUE()</f>
        <v>1</v>
      </c>
      <c r="K7" s="4" t="s">
        <v>87</v>
      </c>
      <c r="L7" s="3">
        <v>100</v>
      </c>
      <c r="M7" s="5">
        <v>133.6</v>
      </c>
      <c r="N7" s="5">
        <v>4.68</v>
      </c>
      <c r="O7" s="5">
        <v>27</v>
      </c>
      <c r="P7" s="5">
        <v>0.97</v>
      </c>
      <c r="Q7" s="5">
        <v>25.92</v>
      </c>
      <c r="R7" s="5">
        <v>0.54</v>
      </c>
      <c r="S7" s="5">
        <v>0.06</v>
      </c>
      <c r="T7" s="5">
        <v>0.26</v>
      </c>
      <c r="U7" s="5">
        <v>0.17</v>
      </c>
      <c r="V7" s="5">
        <v>0</v>
      </c>
      <c r="W7" s="5">
        <v>1.1499999999999999</v>
      </c>
      <c r="X7" s="5">
        <v>6</v>
      </c>
      <c r="Y7" s="5">
        <v>80.3</v>
      </c>
      <c r="Z7" s="5">
        <v>7.6</v>
      </c>
      <c r="AA7" s="5">
        <v>19.100000000000001</v>
      </c>
      <c r="AB7" s="5">
        <v>0.47</v>
      </c>
      <c r="AC7" s="5">
        <v>0.5</v>
      </c>
      <c r="AD7" s="5">
        <v>0</v>
      </c>
      <c r="AE7" s="5">
        <v>4.9000000000000004</v>
      </c>
      <c r="AF7" s="5">
        <v>55</v>
      </c>
      <c r="AG7" s="5">
        <v>14.8</v>
      </c>
      <c r="AH7" s="4" t="s">
        <v>77</v>
      </c>
      <c r="AI7" s="4" t="s">
        <v>65</v>
      </c>
      <c r="AJ7" s="4" t="s">
        <v>87</v>
      </c>
    </row>
    <row r="8" spans="1:36" ht="27.75" customHeight="1" x14ac:dyDescent="0.2">
      <c r="A8" s="3">
        <v>40</v>
      </c>
      <c r="B8" s="4" t="s">
        <v>115</v>
      </c>
      <c r="C8" s="4" t="s">
        <v>60</v>
      </c>
      <c r="D8" s="4" t="s">
        <v>100</v>
      </c>
      <c r="E8" s="4" t="s">
        <v>76</v>
      </c>
      <c r="F8" s="4" t="s">
        <v>63</v>
      </c>
      <c r="G8" s="4" t="s">
        <v>64</v>
      </c>
      <c r="H8" s="3" t="b">
        <f>TRUE()</f>
        <v>1</v>
      </c>
      <c r="I8" s="3" t="b">
        <f>FALSE()</f>
        <v>0</v>
      </c>
      <c r="J8" s="3" t="b">
        <f>TRUE()</f>
        <v>1</v>
      </c>
      <c r="K8" s="4" t="s">
        <v>87</v>
      </c>
      <c r="L8" s="3">
        <v>100</v>
      </c>
      <c r="M8" s="5">
        <v>125.3</v>
      </c>
      <c r="N8" s="5">
        <v>5.04</v>
      </c>
      <c r="O8" s="5">
        <v>25.2</v>
      </c>
      <c r="P8" s="5">
        <v>1.08</v>
      </c>
      <c r="Q8" s="5">
        <v>23.83</v>
      </c>
      <c r="R8" s="5">
        <v>0.86</v>
      </c>
      <c r="S8" s="5">
        <v>0.1</v>
      </c>
      <c r="T8" s="5">
        <v>0.42</v>
      </c>
      <c r="U8" s="5">
        <v>0.27</v>
      </c>
      <c r="V8" s="5">
        <v>0</v>
      </c>
      <c r="W8" s="5">
        <v>2.88</v>
      </c>
      <c r="X8" s="5">
        <v>8</v>
      </c>
      <c r="Y8" s="5">
        <v>100.8</v>
      </c>
      <c r="Z8" s="5">
        <v>12.2</v>
      </c>
      <c r="AA8" s="5">
        <v>30.6</v>
      </c>
      <c r="AB8" s="5">
        <v>1.3</v>
      </c>
      <c r="AC8" s="5">
        <v>0.72</v>
      </c>
      <c r="AD8" s="5">
        <v>0</v>
      </c>
      <c r="AE8" s="5">
        <v>10.8</v>
      </c>
      <c r="AF8" s="5">
        <v>45</v>
      </c>
      <c r="AG8" s="5">
        <v>11.3</v>
      </c>
      <c r="AH8" s="4" t="s">
        <v>77</v>
      </c>
      <c r="AI8" s="4" t="s">
        <v>65</v>
      </c>
      <c r="AJ8" s="4" t="s">
        <v>87</v>
      </c>
    </row>
    <row r="9" spans="1:36" ht="27.75" customHeight="1" x14ac:dyDescent="0.2">
      <c r="A9" s="3">
        <v>49</v>
      </c>
      <c r="B9" s="4" t="s">
        <v>124</v>
      </c>
      <c r="C9" s="4" t="s">
        <v>60</v>
      </c>
      <c r="D9" s="4" t="s">
        <v>125</v>
      </c>
      <c r="E9" s="4" t="s">
        <v>62</v>
      </c>
      <c r="F9" s="4" t="s">
        <v>63</v>
      </c>
      <c r="G9" s="4" t="s">
        <v>64</v>
      </c>
      <c r="H9" s="3" t="b">
        <f>TRUE()</f>
        <v>1</v>
      </c>
      <c r="I9" s="3" t="b">
        <f>FALSE()</f>
        <v>0</v>
      </c>
      <c r="J9" s="3" t="b">
        <f>TRUE()</f>
        <v>1</v>
      </c>
      <c r="K9" s="4" t="s">
        <v>65</v>
      </c>
      <c r="L9" s="3">
        <v>100</v>
      </c>
      <c r="M9" s="5">
        <v>389</v>
      </c>
      <c r="N9" s="5">
        <v>16.899999999999999</v>
      </c>
      <c r="O9" s="5">
        <v>66.3</v>
      </c>
      <c r="P9" s="5">
        <v>0.9</v>
      </c>
      <c r="Q9" s="5">
        <v>64.34</v>
      </c>
      <c r="R9" s="5">
        <v>6.9</v>
      </c>
      <c r="S9" s="5">
        <v>0.83</v>
      </c>
      <c r="T9" s="5">
        <v>3.34</v>
      </c>
      <c r="U9" s="5">
        <v>2.12</v>
      </c>
      <c r="V9" s="5">
        <v>0.1</v>
      </c>
      <c r="W9" s="5">
        <v>10.6</v>
      </c>
      <c r="X9" s="5">
        <v>2</v>
      </c>
      <c r="Y9" s="5">
        <v>429</v>
      </c>
      <c r="Z9" s="5">
        <v>54</v>
      </c>
      <c r="AA9" s="5">
        <v>177</v>
      </c>
      <c r="AB9" s="5">
        <v>4.7</v>
      </c>
      <c r="AC9" s="5">
        <v>4</v>
      </c>
      <c r="AD9" s="5">
        <v>0</v>
      </c>
      <c r="AE9" s="5">
        <v>56</v>
      </c>
      <c r="AF9" s="5">
        <v>55</v>
      </c>
      <c r="AG9" s="5">
        <v>36.5</v>
      </c>
      <c r="AH9" s="4" t="s">
        <v>66</v>
      </c>
      <c r="AI9" s="4" t="s">
        <v>126</v>
      </c>
      <c r="AJ9" s="4" t="s">
        <v>65</v>
      </c>
    </row>
    <row r="10" spans="1:36" ht="27.75" customHeight="1" x14ac:dyDescent="0.2">
      <c r="A10" s="3">
        <v>52</v>
      </c>
      <c r="B10" s="4" t="s">
        <v>130</v>
      </c>
      <c r="C10" s="4" t="s">
        <v>60</v>
      </c>
      <c r="D10" s="4" t="s">
        <v>125</v>
      </c>
      <c r="E10" s="4" t="s">
        <v>76</v>
      </c>
      <c r="F10" s="4" t="s">
        <v>63</v>
      </c>
      <c r="G10" s="4" t="s">
        <v>64</v>
      </c>
      <c r="H10" s="3" t="b">
        <f>TRUE()</f>
        <v>1</v>
      </c>
      <c r="I10" s="3" t="b">
        <f>FALSE()</f>
        <v>0</v>
      </c>
      <c r="J10" s="3" t="b">
        <f>TRUE()</f>
        <v>1</v>
      </c>
      <c r="K10" s="4" t="s">
        <v>65</v>
      </c>
      <c r="L10" s="3">
        <v>100</v>
      </c>
      <c r="M10" s="5">
        <v>140</v>
      </c>
      <c r="N10" s="5">
        <v>6.08</v>
      </c>
      <c r="O10" s="5">
        <v>23.87</v>
      </c>
      <c r="P10" s="5">
        <v>0.32</v>
      </c>
      <c r="Q10" s="5">
        <v>23.17</v>
      </c>
      <c r="R10" s="5">
        <v>2.48</v>
      </c>
      <c r="S10" s="5">
        <v>0.3</v>
      </c>
      <c r="T10" s="5">
        <v>1.2</v>
      </c>
      <c r="U10" s="5">
        <v>0.76</v>
      </c>
      <c r="V10" s="5">
        <v>0.04</v>
      </c>
      <c r="W10" s="5">
        <v>3.82</v>
      </c>
      <c r="X10" s="5">
        <v>2</v>
      </c>
      <c r="Y10" s="5">
        <v>154.4</v>
      </c>
      <c r="Z10" s="5">
        <v>19.399999999999999</v>
      </c>
      <c r="AA10" s="5">
        <v>63.7</v>
      </c>
      <c r="AB10" s="5">
        <v>1.69</v>
      </c>
      <c r="AC10" s="5">
        <v>1.44</v>
      </c>
      <c r="AD10" s="5">
        <v>0</v>
      </c>
      <c r="AE10" s="5">
        <v>15.1</v>
      </c>
      <c r="AF10" s="5">
        <v>55</v>
      </c>
      <c r="AG10" s="5">
        <v>13.1</v>
      </c>
      <c r="AH10" s="4" t="s">
        <v>77</v>
      </c>
      <c r="AI10" s="4" t="s">
        <v>87</v>
      </c>
      <c r="AJ10" s="4" t="s">
        <v>65</v>
      </c>
    </row>
    <row r="11" spans="1:36" ht="27.75" customHeight="1" x14ac:dyDescent="0.2">
      <c r="A11" s="3">
        <v>61</v>
      </c>
      <c r="B11" s="4" t="s">
        <v>139</v>
      </c>
      <c r="C11" s="4" t="s">
        <v>140</v>
      </c>
      <c r="D11" s="4" t="s">
        <v>141</v>
      </c>
      <c r="E11" s="4" t="s">
        <v>62</v>
      </c>
      <c r="F11" s="4" t="s">
        <v>63</v>
      </c>
      <c r="G11" s="4" t="s">
        <v>64</v>
      </c>
      <c r="H11" s="3" t="b">
        <f>FALSE()</f>
        <v>0</v>
      </c>
      <c r="I11" s="3" t="b">
        <f>FALSE()</f>
        <v>0</v>
      </c>
      <c r="J11" s="3" t="b">
        <f>TRUE()</f>
        <v>1</v>
      </c>
      <c r="K11" s="4" t="s">
        <v>65</v>
      </c>
      <c r="L11" s="3">
        <v>100</v>
      </c>
      <c r="M11" s="5">
        <v>368</v>
      </c>
      <c r="N11" s="5">
        <v>14.1</v>
      </c>
      <c r="O11" s="5">
        <v>64.2</v>
      </c>
      <c r="P11" s="5">
        <v>0</v>
      </c>
      <c r="Q11" s="5">
        <v>63.5</v>
      </c>
      <c r="R11" s="5">
        <v>6.1</v>
      </c>
      <c r="S11" s="5">
        <v>0.73</v>
      </c>
      <c r="T11" s="5">
        <v>2.95</v>
      </c>
      <c r="U11" s="5">
        <v>1.88</v>
      </c>
      <c r="V11" s="5">
        <v>0.2</v>
      </c>
      <c r="W11" s="5">
        <v>7</v>
      </c>
      <c r="X11" s="5">
        <v>5</v>
      </c>
      <c r="Y11" s="5">
        <v>563</v>
      </c>
      <c r="Z11" s="5">
        <v>47</v>
      </c>
      <c r="AA11" s="5">
        <v>197</v>
      </c>
      <c r="AB11" s="5">
        <v>4.5999999999999996</v>
      </c>
      <c r="AC11" s="5">
        <v>3.1</v>
      </c>
      <c r="AD11" s="5">
        <v>0</v>
      </c>
      <c r="AE11" s="5">
        <v>184</v>
      </c>
      <c r="AF11" s="5">
        <v>53</v>
      </c>
      <c r="AG11" s="5">
        <v>34</v>
      </c>
      <c r="AH11" s="4" t="s">
        <v>66</v>
      </c>
      <c r="AI11" s="4" t="s">
        <v>87</v>
      </c>
      <c r="AJ11" s="4" t="s">
        <v>65</v>
      </c>
    </row>
    <row r="12" spans="1:36" ht="27.75" customHeight="1" x14ac:dyDescent="0.2">
      <c r="A12" s="3">
        <v>64</v>
      </c>
      <c r="B12" s="4" t="s">
        <v>144</v>
      </c>
      <c r="C12" s="4" t="s">
        <v>140</v>
      </c>
      <c r="D12" s="4" t="s">
        <v>141</v>
      </c>
      <c r="E12" s="4" t="s">
        <v>76</v>
      </c>
      <c r="F12" s="4" t="s">
        <v>63</v>
      </c>
      <c r="G12" s="4" t="s">
        <v>64</v>
      </c>
      <c r="H12" s="3" t="b">
        <f>FALSE()</f>
        <v>0</v>
      </c>
      <c r="I12" s="3" t="b">
        <f>FALSE()</f>
        <v>0</v>
      </c>
      <c r="J12" s="3" t="b">
        <f>TRUE()</f>
        <v>1</v>
      </c>
      <c r="K12" s="4" t="s">
        <v>65</v>
      </c>
      <c r="L12" s="3">
        <v>100</v>
      </c>
      <c r="M12" s="5">
        <v>125.1</v>
      </c>
      <c r="N12" s="5">
        <v>5.08</v>
      </c>
      <c r="O12" s="5">
        <v>23.11</v>
      </c>
      <c r="P12" s="5">
        <v>0</v>
      </c>
      <c r="Q12" s="5">
        <v>22.86</v>
      </c>
      <c r="R12" s="5">
        <v>2.0699999999999998</v>
      </c>
      <c r="S12" s="5">
        <v>0.25</v>
      </c>
      <c r="T12" s="5">
        <v>1</v>
      </c>
      <c r="U12" s="5">
        <v>0.64</v>
      </c>
      <c r="V12" s="5">
        <v>7.0000000000000007E-2</v>
      </c>
      <c r="W12" s="5">
        <v>2.52</v>
      </c>
      <c r="X12" s="5">
        <v>5</v>
      </c>
      <c r="Y12" s="5">
        <v>202.7</v>
      </c>
      <c r="Z12" s="5">
        <v>16.899999999999999</v>
      </c>
      <c r="AA12" s="5">
        <v>70.900000000000006</v>
      </c>
      <c r="AB12" s="5">
        <v>1.66</v>
      </c>
      <c r="AC12" s="5">
        <v>1.1200000000000001</v>
      </c>
      <c r="AD12" s="5">
        <v>0</v>
      </c>
      <c r="AE12" s="5">
        <v>49.7</v>
      </c>
      <c r="AF12" s="5">
        <v>53</v>
      </c>
      <c r="AG12" s="5">
        <v>12.2</v>
      </c>
      <c r="AH12" s="4" t="s">
        <v>77</v>
      </c>
      <c r="AI12" s="4" t="s">
        <v>65</v>
      </c>
      <c r="AJ12" s="4" t="s">
        <v>65</v>
      </c>
    </row>
    <row r="13" spans="1:36" ht="27.75" customHeight="1" x14ac:dyDescent="0.2">
      <c r="A13" s="3">
        <v>70</v>
      </c>
      <c r="B13" s="4" t="s">
        <v>151</v>
      </c>
      <c r="C13" s="4" t="s">
        <v>60</v>
      </c>
      <c r="D13" s="4" t="s">
        <v>152</v>
      </c>
      <c r="E13" s="4" t="s">
        <v>62</v>
      </c>
      <c r="F13" s="4" t="s">
        <v>63</v>
      </c>
      <c r="G13" s="4" t="s">
        <v>64</v>
      </c>
      <c r="H13" s="3" t="b">
        <f>TRUE()</f>
        <v>1</v>
      </c>
      <c r="I13" s="3" t="b">
        <f>FALSE()</f>
        <v>0</v>
      </c>
      <c r="J13" s="3" t="b">
        <f>TRUE()</f>
        <v>1</v>
      </c>
      <c r="K13" s="4" t="s">
        <v>87</v>
      </c>
      <c r="L13" s="3">
        <v>100</v>
      </c>
      <c r="M13" s="5">
        <v>376</v>
      </c>
      <c r="N13" s="5">
        <v>12.8</v>
      </c>
      <c r="O13" s="5">
        <v>77.400000000000006</v>
      </c>
      <c r="P13" s="5">
        <v>0</v>
      </c>
      <c r="Q13" s="5">
        <v>76.900000000000006</v>
      </c>
      <c r="R13" s="5">
        <v>0.6</v>
      </c>
      <c r="S13" s="5">
        <v>7.0000000000000007E-2</v>
      </c>
      <c r="T13" s="5">
        <v>0.28999999999999998</v>
      </c>
      <c r="U13" s="5">
        <v>0.19</v>
      </c>
      <c r="V13" s="5">
        <v>0</v>
      </c>
      <c r="W13" s="5">
        <v>5</v>
      </c>
      <c r="X13" s="5">
        <v>10</v>
      </c>
      <c r="Y13" s="5">
        <v>166</v>
      </c>
      <c r="Z13" s="5">
        <v>24</v>
      </c>
      <c r="AA13" s="5">
        <v>44</v>
      </c>
      <c r="AB13" s="5">
        <v>1.1000000000000001</v>
      </c>
      <c r="AC13" s="5">
        <v>0.8</v>
      </c>
      <c r="AD13" s="5">
        <v>0</v>
      </c>
      <c r="AE13" s="5">
        <v>20</v>
      </c>
      <c r="AF13" s="5">
        <v>65</v>
      </c>
      <c r="AG13" s="5">
        <v>50.3</v>
      </c>
      <c r="AH13" s="4" t="s">
        <v>66</v>
      </c>
      <c r="AI13" s="4" t="s">
        <v>87</v>
      </c>
      <c r="AJ13" s="4" t="s">
        <v>87</v>
      </c>
    </row>
    <row r="14" spans="1:36" ht="27.75" customHeight="1" x14ac:dyDescent="0.2">
      <c r="A14" s="3">
        <v>73</v>
      </c>
      <c r="B14" s="4" t="s">
        <v>155</v>
      </c>
      <c r="C14" s="4" t="s">
        <v>60</v>
      </c>
      <c r="D14" s="4" t="s">
        <v>152</v>
      </c>
      <c r="E14" s="4" t="s">
        <v>76</v>
      </c>
      <c r="F14" s="4" t="s">
        <v>63</v>
      </c>
      <c r="G14" s="4" t="s">
        <v>64</v>
      </c>
      <c r="H14" s="3" t="b">
        <f>TRUE()</f>
        <v>1</v>
      </c>
      <c r="I14" s="3" t="b">
        <f>FALSE()</f>
        <v>0</v>
      </c>
      <c r="J14" s="3" t="b">
        <f>TRUE()</f>
        <v>1</v>
      </c>
      <c r="K14" s="4" t="s">
        <v>87</v>
      </c>
      <c r="L14" s="3">
        <v>100</v>
      </c>
      <c r="M14" s="5">
        <v>135.4</v>
      </c>
      <c r="N14" s="5">
        <v>4.6100000000000003</v>
      </c>
      <c r="O14" s="5">
        <v>27.86</v>
      </c>
      <c r="P14" s="5">
        <v>0</v>
      </c>
      <c r="Q14" s="5">
        <v>27.68</v>
      </c>
      <c r="R14" s="5">
        <v>0.22</v>
      </c>
      <c r="S14" s="5">
        <v>0.03</v>
      </c>
      <c r="T14" s="5">
        <v>0.1</v>
      </c>
      <c r="U14" s="5">
        <v>7.0000000000000007E-2</v>
      </c>
      <c r="V14" s="5">
        <v>0</v>
      </c>
      <c r="W14" s="5">
        <v>1.8</v>
      </c>
      <c r="X14" s="5">
        <v>10</v>
      </c>
      <c r="Y14" s="5">
        <v>59.8</v>
      </c>
      <c r="Z14" s="5">
        <v>8.6</v>
      </c>
      <c r="AA14" s="5">
        <v>15.8</v>
      </c>
      <c r="AB14" s="5">
        <v>0.4</v>
      </c>
      <c r="AC14" s="5">
        <v>0.28999999999999998</v>
      </c>
      <c r="AD14" s="5">
        <v>0</v>
      </c>
      <c r="AE14" s="5">
        <v>5.4</v>
      </c>
      <c r="AF14" s="5">
        <v>65</v>
      </c>
      <c r="AG14" s="5">
        <v>18.100000000000001</v>
      </c>
      <c r="AH14" s="4" t="s">
        <v>77</v>
      </c>
      <c r="AI14" s="4" t="s">
        <v>65</v>
      </c>
      <c r="AJ14" s="4" t="s">
        <v>87</v>
      </c>
    </row>
    <row r="15" spans="1:36" ht="27.75" customHeight="1" x14ac:dyDescent="0.2">
      <c r="A15" s="3">
        <v>82</v>
      </c>
      <c r="B15" s="4" t="s">
        <v>164</v>
      </c>
      <c r="C15" s="4" t="s">
        <v>60</v>
      </c>
      <c r="D15" s="4" t="s">
        <v>152</v>
      </c>
      <c r="E15" s="4" t="s">
        <v>62</v>
      </c>
      <c r="F15" s="4" t="s">
        <v>63</v>
      </c>
      <c r="G15" s="4" t="s">
        <v>64</v>
      </c>
      <c r="H15" s="3" t="b">
        <f>TRUE()</f>
        <v>1</v>
      </c>
      <c r="I15" s="3" t="b">
        <f>FALSE()</f>
        <v>0</v>
      </c>
      <c r="J15" s="3" t="b">
        <f>TRUE()</f>
        <v>1</v>
      </c>
      <c r="K15" s="4" t="s">
        <v>87</v>
      </c>
      <c r="L15" s="3">
        <v>100</v>
      </c>
      <c r="M15" s="5">
        <v>342</v>
      </c>
      <c r="N15" s="5">
        <v>12.3</v>
      </c>
      <c r="O15" s="5">
        <v>75.900000000000006</v>
      </c>
      <c r="P15" s="5">
        <v>0.4</v>
      </c>
      <c r="Q15" s="5">
        <v>74.25</v>
      </c>
      <c r="R15" s="5">
        <v>1.3</v>
      </c>
      <c r="S15" s="5">
        <v>0.16</v>
      </c>
      <c r="T15" s="5">
        <v>0.63</v>
      </c>
      <c r="U15" s="5">
        <v>0.4</v>
      </c>
      <c r="V15" s="5">
        <v>0.1</v>
      </c>
      <c r="W15" s="5">
        <v>12.5</v>
      </c>
      <c r="X15" s="5">
        <v>17</v>
      </c>
      <c r="Y15" s="5">
        <v>410</v>
      </c>
      <c r="Z15" s="5">
        <v>35</v>
      </c>
      <c r="AA15" s="5">
        <v>164</v>
      </c>
      <c r="AB15" s="5">
        <v>2.5</v>
      </c>
      <c r="AC15" s="5">
        <v>1.9</v>
      </c>
      <c r="AD15" s="5">
        <v>0</v>
      </c>
      <c r="AE15" s="5">
        <v>27</v>
      </c>
      <c r="AF15" s="5">
        <v>48</v>
      </c>
      <c r="AG15" s="5">
        <v>36.4</v>
      </c>
      <c r="AH15" s="4" t="s">
        <v>66</v>
      </c>
      <c r="AI15" s="4" t="s">
        <v>126</v>
      </c>
      <c r="AJ15" s="4" t="s">
        <v>87</v>
      </c>
    </row>
    <row r="16" spans="1:36" ht="27.75" customHeight="1" x14ac:dyDescent="0.2">
      <c r="A16" s="3">
        <v>85</v>
      </c>
      <c r="B16" s="4" t="s">
        <v>167</v>
      </c>
      <c r="C16" s="4" t="s">
        <v>60</v>
      </c>
      <c r="D16" s="4" t="s">
        <v>152</v>
      </c>
      <c r="E16" s="4" t="s">
        <v>76</v>
      </c>
      <c r="F16" s="4" t="s">
        <v>63</v>
      </c>
      <c r="G16" s="4" t="s">
        <v>64</v>
      </c>
      <c r="H16" s="3" t="b">
        <f>TRUE()</f>
        <v>1</v>
      </c>
      <c r="I16" s="3" t="b">
        <f>FALSE()</f>
        <v>0</v>
      </c>
      <c r="J16" s="3" t="b">
        <f>TRUE()</f>
        <v>1</v>
      </c>
      <c r="K16" s="4" t="s">
        <v>87</v>
      </c>
      <c r="L16" s="3">
        <v>100</v>
      </c>
      <c r="M16" s="5">
        <v>123.1</v>
      </c>
      <c r="N16" s="5">
        <v>4.43</v>
      </c>
      <c r="O16" s="5">
        <v>27.32</v>
      </c>
      <c r="P16" s="5">
        <v>0.14000000000000001</v>
      </c>
      <c r="Q16" s="5">
        <v>26.73</v>
      </c>
      <c r="R16" s="5">
        <v>0.47</v>
      </c>
      <c r="S16" s="5">
        <v>0.06</v>
      </c>
      <c r="T16" s="5">
        <v>0.23</v>
      </c>
      <c r="U16" s="5">
        <v>0.14000000000000001</v>
      </c>
      <c r="V16" s="5">
        <v>0.04</v>
      </c>
      <c r="W16" s="5">
        <v>4.5</v>
      </c>
      <c r="X16" s="5">
        <v>17</v>
      </c>
      <c r="Y16" s="5">
        <v>147.6</v>
      </c>
      <c r="Z16" s="5">
        <v>12.6</v>
      </c>
      <c r="AA16" s="5">
        <v>59</v>
      </c>
      <c r="AB16" s="5">
        <v>0.9</v>
      </c>
      <c r="AC16" s="5">
        <v>0.68</v>
      </c>
      <c r="AD16" s="5">
        <v>0</v>
      </c>
      <c r="AE16" s="5">
        <v>7.3</v>
      </c>
      <c r="AF16" s="5">
        <v>48</v>
      </c>
      <c r="AG16" s="5">
        <v>13.1</v>
      </c>
      <c r="AH16" s="4" t="s">
        <v>77</v>
      </c>
      <c r="AI16" s="4" t="s">
        <v>87</v>
      </c>
      <c r="AJ16" s="4" t="s">
        <v>87</v>
      </c>
    </row>
    <row r="17" spans="1:36" ht="27.75" customHeight="1" x14ac:dyDescent="0.2">
      <c r="A17" s="3">
        <v>94</v>
      </c>
      <c r="B17" s="4" t="s">
        <v>176</v>
      </c>
      <c r="C17" s="4" t="s">
        <v>140</v>
      </c>
      <c r="D17" s="4" t="s">
        <v>177</v>
      </c>
      <c r="E17" s="4" t="s">
        <v>62</v>
      </c>
      <c r="F17" s="4" t="s">
        <v>63</v>
      </c>
      <c r="G17" s="4" t="s">
        <v>64</v>
      </c>
      <c r="H17" s="3" t="b">
        <f>FALSE()</f>
        <v>0</v>
      </c>
      <c r="I17" s="3" t="b">
        <f>FALSE()</f>
        <v>0</v>
      </c>
      <c r="J17" s="3" t="b">
        <f>TRUE()</f>
        <v>1</v>
      </c>
      <c r="K17" s="4" t="s">
        <v>65</v>
      </c>
      <c r="L17" s="3">
        <v>100</v>
      </c>
      <c r="M17" s="5">
        <v>343</v>
      </c>
      <c r="N17" s="5">
        <v>13.3</v>
      </c>
      <c r="O17" s="5">
        <v>71.5</v>
      </c>
      <c r="P17" s="5">
        <v>0</v>
      </c>
      <c r="Q17" s="5">
        <v>70.5</v>
      </c>
      <c r="R17" s="5">
        <v>3.4</v>
      </c>
      <c r="S17" s="5">
        <v>0.41</v>
      </c>
      <c r="T17" s="5">
        <v>1.64</v>
      </c>
      <c r="U17" s="5">
        <v>1.05</v>
      </c>
      <c r="V17" s="5">
        <v>0</v>
      </c>
      <c r="W17" s="5">
        <v>10</v>
      </c>
      <c r="X17" s="5">
        <v>1</v>
      </c>
      <c r="Y17" s="5">
        <v>460</v>
      </c>
      <c r="Z17" s="5">
        <v>18</v>
      </c>
      <c r="AA17" s="5">
        <v>231</v>
      </c>
      <c r="AB17" s="5">
        <v>2.2000000000000002</v>
      </c>
      <c r="AC17" s="5">
        <v>2.4</v>
      </c>
      <c r="AD17" s="5">
        <v>0</v>
      </c>
      <c r="AE17" s="5">
        <v>30</v>
      </c>
      <c r="AF17" s="5">
        <v>49</v>
      </c>
      <c r="AG17" s="5">
        <v>35</v>
      </c>
      <c r="AH17" s="4" t="s">
        <v>66</v>
      </c>
      <c r="AI17" s="4" t="s">
        <v>126</v>
      </c>
      <c r="AJ17" s="4" t="s">
        <v>65</v>
      </c>
    </row>
    <row r="18" spans="1:36" ht="27.75" customHeight="1" x14ac:dyDescent="0.2">
      <c r="A18" s="3">
        <v>97</v>
      </c>
      <c r="B18" s="4" t="s">
        <v>180</v>
      </c>
      <c r="C18" s="4" t="s">
        <v>140</v>
      </c>
      <c r="D18" s="4" t="s">
        <v>177</v>
      </c>
      <c r="E18" s="4" t="s">
        <v>76</v>
      </c>
      <c r="F18" s="4" t="s">
        <v>63</v>
      </c>
      <c r="G18" s="4" t="s">
        <v>64</v>
      </c>
      <c r="H18" s="3" t="b">
        <f>FALSE()</f>
        <v>0</v>
      </c>
      <c r="I18" s="3" t="b">
        <f>FALSE()</f>
        <v>0</v>
      </c>
      <c r="J18" s="3" t="b">
        <f>TRUE()</f>
        <v>1</v>
      </c>
      <c r="K18" s="4" t="s">
        <v>65</v>
      </c>
      <c r="L18" s="3">
        <v>100</v>
      </c>
      <c r="M18" s="5">
        <v>116.6</v>
      </c>
      <c r="N18" s="5">
        <v>4.79</v>
      </c>
      <c r="O18" s="5">
        <v>25.74</v>
      </c>
      <c r="P18" s="5">
        <v>0</v>
      </c>
      <c r="Q18" s="5">
        <v>25.38</v>
      </c>
      <c r="R18" s="5">
        <v>1.1599999999999999</v>
      </c>
      <c r="S18" s="5">
        <v>0.14000000000000001</v>
      </c>
      <c r="T18" s="5">
        <v>0.56000000000000005</v>
      </c>
      <c r="U18" s="5">
        <v>0.36</v>
      </c>
      <c r="V18" s="5">
        <v>0</v>
      </c>
      <c r="W18" s="5">
        <v>3.6</v>
      </c>
      <c r="X18" s="5">
        <v>1</v>
      </c>
      <c r="Y18" s="5">
        <v>165.6</v>
      </c>
      <c r="Z18" s="5">
        <v>6.5</v>
      </c>
      <c r="AA18" s="5">
        <v>83.2</v>
      </c>
      <c r="AB18" s="5">
        <v>0.79</v>
      </c>
      <c r="AC18" s="5">
        <v>0.86</v>
      </c>
      <c r="AD18" s="5">
        <v>0</v>
      </c>
      <c r="AE18" s="5">
        <v>8.1</v>
      </c>
      <c r="AF18" s="5">
        <v>49</v>
      </c>
      <c r="AG18" s="5">
        <v>12.6</v>
      </c>
      <c r="AH18" s="4" t="s">
        <v>77</v>
      </c>
      <c r="AI18" s="4" t="s">
        <v>87</v>
      </c>
      <c r="AJ18" s="4" t="s">
        <v>65</v>
      </c>
    </row>
    <row r="19" spans="1:36" ht="27.75" customHeight="1" x14ac:dyDescent="0.2">
      <c r="A19" s="3">
        <v>100</v>
      </c>
      <c r="B19" s="4" t="s">
        <v>183</v>
      </c>
      <c r="C19" s="4" t="s">
        <v>140</v>
      </c>
      <c r="D19" s="4" t="s">
        <v>177</v>
      </c>
      <c r="E19" s="4" t="s">
        <v>148</v>
      </c>
      <c r="F19" s="4" t="s">
        <v>63</v>
      </c>
      <c r="G19" s="4" t="s">
        <v>64</v>
      </c>
      <c r="H19" s="3" t="b">
        <f>FALSE()</f>
        <v>0</v>
      </c>
      <c r="I19" s="3" t="b">
        <f>FALSE()</f>
        <v>0</v>
      </c>
      <c r="J19" s="3" t="b">
        <f>TRUE()</f>
        <v>1</v>
      </c>
      <c r="K19" s="4" t="s">
        <v>65</v>
      </c>
      <c r="L19" s="3">
        <v>100</v>
      </c>
      <c r="M19" s="5">
        <v>360.2</v>
      </c>
      <c r="N19" s="5">
        <v>12.63</v>
      </c>
      <c r="O19" s="5">
        <v>67.92</v>
      </c>
      <c r="P19" s="5">
        <v>0</v>
      </c>
      <c r="Q19" s="5">
        <v>66.97</v>
      </c>
      <c r="R19" s="5">
        <v>3.57</v>
      </c>
      <c r="S19" s="5">
        <v>0.43</v>
      </c>
      <c r="T19" s="5">
        <v>1.73</v>
      </c>
      <c r="U19" s="5">
        <v>1.1000000000000001</v>
      </c>
      <c r="V19" s="5">
        <v>0</v>
      </c>
      <c r="W19" s="5">
        <v>9.5</v>
      </c>
      <c r="X19" s="5">
        <v>1</v>
      </c>
      <c r="Y19" s="5">
        <v>437</v>
      </c>
      <c r="Z19" s="5">
        <v>17.100000000000001</v>
      </c>
      <c r="AA19" s="5">
        <v>219.4</v>
      </c>
      <c r="AB19" s="5">
        <v>2.09</v>
      </c>
      <c r="AC19" s="5">
        <v>2.2799999999999998</v>
      </c>
      <c r="AD19" s="5">
        <v>0</v>
      </c>
      <c r="AE19" s="5">
        <v>28.5</v>
      </c>
      <c r="AF19" s="5">
        <v>49</v>
      </c>
      <c r="AG19" s="5">
        <v>33.299999999999997</v>
      </c>
      <c r="AH19" s="4" t="s">
        <v>77</v>
      </c>
      <c r="AI19" s="4" t="s">
        <v>126</v>
      </c>
      <c r="AJ19" s="4" t="s">
        <v>65</v>
      </c>
    </row>
    <row r="20" spans="1:36" ht="27.75" customHeight="1" x14ac:dyDescent="0.2">
      <c r="A20" s="3">
        <v>103</v>
      </c>
      <c r="B20" s="4" t="s">
        <v>186</v>
      </c>
      <c r="C20" s="4" t="s">
        <v>60</v>
      </c>
      <c r="D20" s="4" t="s">
        <v>187</v>
      </c>
      <c r="E20" s="4" t="s">
        <v>62</v>
      </c>
      <c r="F20" s="4" t="s">
        <v>63</v>
      </c>
      <c r="G20" s="4" t="s">
        <v>64</v>
      </c>
      <c r="H20" s="3" t="b">
        <f>FALSE()</f>
        <v>0</v>
      </c>
      <c r="I20" s="3" t="b">
        <f>FALSE()</f>
        <v>0</v>
      </c>
      <c r="J20" s="3" t="b">
        <f>TRUE()</f>
        <v>1</v>
      </c>
      <c r="K20" s="4" t="s">
        <v>87</v>
      </c>
      <c r="L20" s="3">
        <v>100</v>
      </c>
      <c r="M20" s="5">
        <v>86</v>
      </c>
      <c r="N20" s="5">
        <v>3.2</v>
      </c>
      <c r="O20" s="5">
        <v>19</v>
      </c>
      <c r="P20" s="5">
        <v>3.2</v>
      </c>
      <c r="Q20" s="5">
        <v>15.53</v>
      </c>
      <c r="R20" s="5">
        <v>1.2</v>
      </c>
      <c r="S20" s="5">
        <v>0.14000000000000001</v>
      </c>
      <c r="T20" s="5">
        <v>0.57999999999999996</v>
      </c>
      <c r="U20" s="5">
        <v>0.37</v>
      </c>
      <c r="V20" s="5">
        <v>0</v>
      </c>
      <c r="W20" s="5">
        <v>2.7</v>
      </c>
      <c r="X20" s="5">
        <v>15</v>
      </c>
      <c r="Y20" s="5">
        <v>270</v>
      </c>
      <c r="Z20" s="5">
        <v>2</v>
      </c>
      <c r="AA20" s="5">
        <v>37</v>
      </c>
      <c r="AB20" s="5">
        <v>0.5</v>
      </c>
      <c r="AC20" s="5">
        <v>0.5</v>
      </c>
      <c r="AD20" s="5">
        <v>6.8</v>
      </c>
      <c r="AE20" s="5">
        <v>42</v>
      </c>
      <c r="AF20" s="5">
        <v>52</v>
      </c>
      <c r="AG20" s="5">
        <v>9.9</v>
      </c>
      <c r="AH20" s="4" t="s">
        <v>66</v>
      </c>
      <c r="AI20" s="4" t="s">
        <v>65</v>
      </c>
      <c r="AJ20" s="4" t="s">
        <v>87</v>
      </c>
    </row>
    <row r="21" spans="1:36" ht="27.75" customHeight="1" x14ac:dyDescent="0.2">
      <c r="A21" s="3">
        <v>106</v>
      </c>
      <c r="B21" s="4" t="s">
        <v>190</v>
      </c>
      <c r="C21" s="4" t="s">
        <v>60</v>
      </c>
      <c r="D21" s="4" t="s">
        <v>187</v>
      </c>
      <c r="E21" s="4" t="s">
        <v>76</v>
      </c>
      <c r="F21" s="4" t="s">
        <v>63</v>
      </c>
      <c r="G21" s="4" t="s">
        <v>64</v>
      </c>
      <c r="H21" s="3" t="b">
        <f>FALSE()</f>
        <v>0</v>
      </c>
      <c r="I21" s="3" t="b">
        <f>FALSE()</f>
        <v>0</v>
      </c>
      <c r="J21" s="3" t="b">
        <f>TRUE()</f>
        <v>1</v>
      </c>
      <c r="K21" s="4" t="s">
        <v>87</v>
      </c>
      <c r="L21" s="3">
        <v>100</v>
      </c>
      <c r="M21" s="5">
        <v>31</v>
      </c>
      <c r="N21" s="5">
        <v>1.1499999999999999</v>
      </c>
      <c r="O21" s="5">
        <v>6.84</v>
      </c>
      <c r="P21" s="5">
        <v>1.1499999999999999</v>
      </c>
      <c r="Q21" s="5">
        <v>5.59</v>
      </c>
      <c r="R21" s="5">
        <v>0.43</v>
      </c>
      <c r="S21" s="5">
        <v>0.05</v>
      </c>
      <c r="T21" s="5">
        <v>0.21</v>
      </c>
      <c r="U21" s="5">
        <v>0.13</v>
      </c>
      <c r="V21" s="5">
        <v>0</v>
      </c>
      <c r="W21" s="5">
        <v>0.97</v>
      </c>
      <c r="X21" s="5">
        <v>15</v>
      </c>
      <c r="Y21" s="5">
        <v>97.2</v>
      </c>
      <c r="Z21" s="5">
        <v>0.7</v>
      </c>
      <c r="AA21" s="5">
        <v>13.3</v>
      </c>
      <c r="AB21" s="5">
        <v>0.18</v>
      </c>
      <c r="AC21" s="5">
        <v>0.18</v>
      </c>
      <c r="AD21" s="5">
        <v>1.6</v>
      </c>
      <c r="AE21" s="5">
        <v>11.3</v>
      </c>
      <c r="AF21" s="5">
        <v>52</v>
      </c>
      <c r="AG21" s="5">
        <v>3.6</v>
      </c>
      <c r="AH21" s="4" t="s">
        <v>77</v>
      </c>
      <c r="AI21" s="4" t="s">
        <v>65</v>
      </c>
      <c r="AJ21" s="4" t="s">
        <v>87</v>
      </c>
    </row>
    <row r="22" spans="1:36" ht="27.75" customHeight="1" x14ac:dyDescent="0.2">
      <c r="A22" s="3">
        <v>115</v>
      </c>
      <c r="B22" s="4" t="s">
        <v>199</v>
      </c>
      <c r="C22" s="4" t="s">
        <v>200</v>
      </c>
      <c r="D22" s="4" t="s">
        <v>201</v>
      </c>
      <c r="E22" s="4" t="s">
        <v>62</v>
      </c>
      <c r="F22" s="4" t="s">
        <v>63</v>
      </c>
      <c r="G22" s="4" t="s">
        <v>64</v>
      </c>
      <c r="H22" s="3" t="b">
        <f>FALSE()</f>
        <v>0</v>
      </c>
      <c r="I22" s="3" t="b">
        <f>FALSE()</f>
        <v>0</v>
      </c>
      <c r="J22" s="3" t="b">
        <f>TRUE()</f>
        <v>1</v>
      </c>
      <c r="K22" s="4" t="s">
        <v>65</v>
      </c>
      <c r="L22" s="3">
        <v>100</v>
      </c>
      <c r="M22" s="5">
        <v>77</v>
      </c>
      <c r="N22" s="5">
        <v>2</v>
      </c>
      <c r="O22" s="5">
        <v>17.5</v>
      </c>
      <c r="P22" s="5">
        <v>0.8</v>
      </c>
      <c r="Q22" s="5">
        <v>16.48</v>
      </c>
      <c r="R22" s="5">
        <v>0.1</v>
      </c>
      <c r="S22" s="5">
        <v>0.01</v>
      </c>
      <c r="T22" s="5">
        <v>0.05</v>
      </c>
      <c r="U22" s="5">
        <v>0.03</v>
      </c>
      <c r="V22" s="5">
        <v>0</v>
      </c>
      <c r="W22" s="5">
        <v>2.2000000000000002</v>
      </c>
      <c r="X22" s="5">
        <v>6</v>
      </c>
      <c r="Y22" s="5">
        <v>425</v>
      </c>
      <c r="Z22" s="5">
        <v>12</v>
      </c>
      <c r="AA22" s="5">
        <v>23</v>
      </c>
      <c r="AB22" s="5">
        <v>0.8</v>
      </c>
      <c r="AC22" s="5">
        <v>0.3</v>
      </c>
      <c r="AD22" s="5">
        <v>19.7</v>
      </c>
      <c r="AE22" s="5">
        <v>15</v>
      </c>
      <c r="AF22" s="5">
        <v>78</v>
      </c>
      <c r="AG22" s="5">
        <v>13.7</v>
      </c>
      <c r="AH22" s="4" t="s">
        <v>66</v>
      </c>
      <c r="AI22" s="4" t="s">
        <v>65</v>
      </c>
      <c r="AJ22" s="4" t="s">
        <v>65</v>
      </c>
    </row>
    <row r="23" spans="1:36" ht="27.75" customHeight="1" x14ac:dyDescent="0.2">
      <c r="A23" s="3">
        <v>118</v>
      </c>
      <c r="B23" s="4" t="s">
        <v>204</v>
      </c>
      <c r="C23" s="4" t="s">
        <v>200</v>
      </c>
      <c r="D23" s="4" t="s">
        <v>201</v>
      </c>
      <c r="E23" s="4" t="s">
        <v>76</v>
      </c>
      <c r="F23" s="4" t="s">
        <v>63</v>
      </c>
      <c r="G23" s="4" t="s">
        <v>64</v>
      </c>
      <c r="H23" s="3" t="b">
        <f>FALSE()</f>
        <v>0</v>
      </c>
      <c r="I23" s="3" t="b">
        <f>FALSE()</f>
        <v>0</v>
      </c>
      <c r="J23" s="3" t="b">
        <f>TRUE()</f>
        <v>1</v>
      </c>
      <c r="K23" s="4" t="s">
        <v>65</v>
      </c>
      <c r="L23" s="3">
        <v>100</v>
      </c>
      <c r="M23" s="5">
        <v>80.900000000000006</v>
      </c>
      <c r="N23" s="5">
        <v>2</v>
      </c>
      <c r="O23" s="5">
        <v>17.5</v>
      </c>
      <c r="P23" s="5">
        <v>0.8</v>
      </c>
      <c r="Q23" s="5">
        <v>16.48</v>
      </c>
      <c r="R23" s="5">
        <v>0.1</v>
      </c>
      <c r="S23" s="5">
        <v>0.01</v>
      </c>
      <c r="T23" s="5">
        <v>0.05</v>
      </c>
      <c r="U23" s="5">
        <v>0.03</v>
      </c>
      <c r="V23" s="5">
        <v>0</v>
      </c>
      <c r="W23" s="5">
        <v>2.2000000000000002</v>
      </c>
      <c r="X23" s="5">
        <v>6</v>
      </c>
      <c r="Y23" s="5">
        <v>425</v>
      </c>
      <c r="Z23" s="5">
        <v>12</v>
      </c>
      <c r="AA23" s="5">
        <v>23</v>
      </c>
      <c r="AB23" s="5">
        <v>0.8</v>
      </c>
      <c r="AC23" s="5">
        <v>0.3</v>
      </c>
      <c r="AD23" s="5">
        <v>12.8</v>
      </c>
      <c r="AE23" s="5">
        <v>11.2</v>
      </c>
      <c r="AF23" s="5">
        <v>78</v>
      </c>
      <c r="AG23" s="5">
        <v>13.7</v>
      </c>
      <c r="AH23" s="4" t="s">
        <v>77</v>
      </c>
      <c r="AI23" s="4" t="s">
        <v>65</v>
      </c>
      <c r="AJ23" s="4" t="s">
        <v>65</v>
      </c>
    </row>
    <row r="24" spans="1:36" ht="27.75" customHeight="1" x14ac:dyDescent="0.2">
      <c r="A24" s="3">
        <v>121</v>
      </c>
      <c r="B24" s="4" t="s">
        <v>207</v>
      </c>
      <c r="C24" s="4" t="s">
        <v>200</v>
      </c>
      <c r="D24" s="4" t="s">
        <v>201</v>
      </c>
      <c r="E24" s="4" t="s">
        <v>208</v>
      </c>
      <c r="F24" s="4" t="s">
        <v>63</v>
      </c>
      <c r="G24" s="4" t="s">
        <v>64</v>
      </c>
      <c r="H24" s="3" t="b">
        <f>FALSE()</f>
        <v>0</v>
      </c>
      <c r="I24" s="3" t="b">
        <f>FALSE()</f>
        <v>0</v>
      </c>
      <c r="J24" s="3" t="b">
        <f>TRUE()</f>
        <v>1</v>
      </c>
      <c r="K24" s="4" t="s">
        <v>65</v>
      </c>
      <c r="L24" s="3">
        <v>100</v>
      </c>
      <c r="M24" s="5">
        <v>90.9</v>
      </c>
      <c r="N24" s="5">
        <v>2.1</v>
      </c>
      <c r="O24" s="5">
        <v>18.38</v>
      </c>
      <c r="P24" s="5">
        <v>0.84</v>
      </c>
      <c r="Q24" s="5">
        <v>17.309999999999999</v>
      </c>
      <c r="R24" s="5">
        <v>0.11</v>
      </c>
      <c r="S24" s="5">
        <v>0.01</v>
      </c>
      <c r="T24" s="5">
        <v>0.06</v>
      </c>
      <c r="U24" s="5">
        <v>0.03</v>
      </c>
      <c r="V24" s="5">
        <v>0</v>
      </c>
      <c r="W24" s="5">
        <v>2.31</v>
      </c>
      <c r="X24" s="5">
        <v>6</v>
      </c>
      <c r="Y24" s="5">
        <v>446.2</v>
      </c>
      <c r="Z24" s="5">
        <v>12.6</v>
      </c>
      <c r="AA24" s="5">
        <v>24.2</v>
      </c>
      <c r="AB24" s="5">
        <v>0.84</v>
      </c>
      <c r="AC24" s="5">
        <v>0.32</v>
      </c>
      <c r="AD24" s="5">
        <v>13.4</v>
      </c>
      <c r="AE24" s="5">
        <v>11.8</v>
      </c>
      <c r="AF24" s="5">
        <v>78</v>
      </c>
      <c r="AG24" s="5">
        <v>14.3</v>
      </c>
      <c r="AH24" s="4" t="s">
        <v>77</v>
      </c>
      <c r="AI24" s="4" t="s">
        <v>65</v>
      </c>
      <c r="AJ24" s="4" t="s">
        <v>65</v>
      </c>
    </row>
    <row r="25" spans="1:36" ht="27.75" customHeight="1" x14ac:dyDescent="0.2">
      <c r="A25" s="3">
        <v>124</v>
      </c>
      <c r="B25" s="4" t="s">
        <v>211</v>
      </c>
      <c r="C25" s="4" t="s">
        <v>200</v>
      </c>
      <c r="D25" s="4" t="s">
        <v>201</v>
      </c>
      <c r="E25" s="4" t="s">
        <v>212</v>
      </c>
      <c r="F25" s="4" t="s">
        <v>63</v>
      </c>
      <c r="G25" s="4" t="s">
        <v>64</v>
      </c>
      <c r="H25" s="3" t="b">
        <f>FALSE()</f>
        <v>0</v>
      </c>
      <c r="I25" s="3" t="b">
        <f>FALSE()</f>
        <v>0</v>
      </c>
      <c r="J25" s="3" t="b">
        <f>TRUE()</f>
        <v>1</v>
      </c>
      <c r="K25" s="4" t="s">
        <v>65</v>
      </c>
      <c r="L25" s="3">
        <v>100</v>
      </c>
      <c r="M25" s="5">
        <v>84.7</v>
      </c>
      <c r="N25" s="5">
        <v>2.04</v>
      </c>
      <c r="O25" s="5">
        <v>17.850000000000001</v>
      </c>
      <c r="P25" s="5">
        <v>0.82</v>
      </c>
      <c r="Q25" s="5">
        <v>16.809999999999999</v>
      </c>
      <c r="R25" s="5">
        <v>0.1</v>
      </c>
      <c r="S25" s="5">
        <v>0.01</v>
      </c>
      <c r="T25" s="5">
        <v>0.05</v>
      </c>
      <c r="U25" s="5">
        <v>0.03</v>
      </c>
      <c r="V25" s="5">
        <v>0</v>
      </c>
      <c r="W25" s="5">
        <v>2.2400000000000002</v>
      </c>
      <c r="X25" s="5">
        <v>6</v>
      </c>
      <c r="Y25" s="5">
        <v>433.5</v>
      </c>
      <c r="Z25" s="5">
        <v>12.2</v>
      </c>
      <c r="AA25" s="5">
        <v>23.5</v>
      </c>
      <c r="AB25" s="5">
        <v>0.82</v>
      </c>
      <c r="AC25" s="5">
        <v>0.31</v>
      </c>
      <c r="AD25" s="5">
        <v>20.100000000000001</v>
      </c>
      <c r="AE25" s="5">
        <v>15.3</v>
      </c>
      <c r="AF25" s="5">
        <v>86</v>
      </c>
      <c r="AG25" s="5">
        <v>15.4</v>
      </c>
      <c r="AH25" s="4" t="s">
        <v>77</v>
      </c>
      <c r="AI25" s="4" t="s">
        <v>65</v>
      </c>
      <c r="AJ25" s="4" t="s">
        <v>65</v>
      </c>
    </row>
    <row r="26" spans="1:36" ht="27.75" customHeight="1" x14ac:dyDescent="0.2">
      <c r="A26" s="3">
        <v>127</v>
      </c>
      <c r="B26" s="4" t="s">
        <v>215</v>
      </c>
      <c r="C26" s="4" t="s">
        <v>200</v>
      </c>
      <c r="D26" s="4" t="s">
        <v>201</v>
      </c>
      <c r="E26" s="4" t="s">
        <v>216</v>
      </c>
      <c r="F26" s="4" t="s">
        <v>63</v>
      </c>
      <c r="G26" s="4" t="s">
        <v>64</v>
      </c>
      <c r="H26" s="3" t="b">
        <f>FALSE()</f>
        <v>0</v>
      </c>
      <c r="I26" s="3" t="b">
        <f>FALSE()</f>
        <v>0</v>
      </c>
      <c r="J26" s="3" t="b">
        <f>TRUE()</f>
        <v>1</v>
      </c>
      <c r="K26" s="4" t="s">
        <v>65</v>
      </c>
      <c r="L26" s="3">
        <v>100</v>
      </c>
      <c r="M26" s="5">
        <v>223.3</v>
      </c>
      <c r="N26" s="5">
        <v>2.2000000000000002</v>
      </c>
      <c r="O26" s="5">
        <v>19.25</v>
      </c>
      <c r="P26" s="5">
        <v>0.88</v>
      </c>
      <c r="Q26" s="5">
        <v>18.13</v>
      </c>
      <c r="R26" s="5">
        <v>0.11</v>
      </c>
      <c r="S26" s="5">
        <v>0.01</v>
      </c>
      <c r="T26" s="5">
        <v>0.06</v>
      </c>
      <c r="U26" s="5">
        <v>0.03</v>
      </c>
      <c r="V26" s="5">
        <v>0</v>
      </c>
      <c r="W26" s="5">
        <v>2.42</v>
      </c>
      <c r="X26" s="5">
        <v>9.6</v>
      </c>
      <c r="Y26" s="5">
        <v>467.5</v>
      </c>
      <c r="Z26" s="5">
        <v>13.2</v>
      </c>
      <c r="AA26" s="5">
        <v>25.3</v>
      </c>
      <c r="AB26" s="5">
        <v>0.88</v>
      </c>
      <c r="AC26" s="5">
        <v>0.33</v>
      </c>
      <c r="AD26" s="5">
        <v>21.7</v>
      </c>
      <c r="AE26" s="5">
        <v>16.5</v>
      </c>
      <c r="AF26" s="5">
        <v>86</v>
      </c>
      <c r="AG26" s="5">
        <v>16.600000000000001</v>
      </c>
      <c r="AH26" s="4" t="s">
        <v>66</v>
      </c>
      <c r="AI26" s="4" t="s">
        <v>65</v>
      </c>
      <c r="AJ26" s="4" t="s">
        <v>65</v>
      </c>
    </row>
    <row r="27" spans="1:36" ht="27.75" customHeight="1" x14ac:dyDescent="0.2">
      <c r="A27" s="3">
        <v>130</v>
      </c>
      <c r="B27" s="4" t="s">
        <v>1292</v>
      </c>
      <c r="C27" s="4" t="s">
        <v>200</v>
      </c>
      <c r="D27" s="4" t="s">
        <v>220</v>
      </c>
      <c r="E27" s="4" t="s">
        <v>62</v>
      </c>
      <c r="F27" s="4" t="s">
        <v>63</v>
      </c>
      <c r="G27" s="4" t="s">
        <v>64</v>
      </c>
      <c r="H27" s="3" t="b">
        <f>FALSE()</f>
        <v>0</v>
      </c>
      <c r="I27" s="3" t="b">
        <f>FALSE()</f>
        <v>0</v>
      </c>
      <c r="J27" s="3" t="b">
        <f>TRUE()</f>
        <v>1</v>
      </c>
      <c r="K27" s="4" t="s">
        <v>65</v>
      </c>
      <c r="L27" s="3">
        <v>100</v>
      </c>
      <c r="M27" s="5">
        <v>86</v>
      </c>
      <c r="N27" s="5">
        <v>1.6</v>
      </c>
      <c r="O27" s="5">
        <v>20.100000000000001</v>
      </c>
      <c r="P27" s="5">
        <v>4.2</v>
      </c>
      <c r="Q27" s="5">
        <v>15.6</v>
      </c>
      <c r="R27" s="5">
        <v>0.1</v>
      </c>
      <c r="S27" s="5">
        <v>0.01</v>
      </c>
      <c r="T27" s="5">
        <v>0.05</v>
      </c>
      <c r="U27" s="5">
        <v>0.03</v>
      </c>
      <c r="V27" s="5">
        <v>0</v>
      </c>
      <c r="W27" s="5">
        <v>3</v>
      </c>
      <c r="X27" s="5">
        <v>55</v>
      </c>
      <c r="Y27" s="5">
        <v>337</v>
      </c>
      <c r="Z27" s="5">
        <v>30</v>
      </c>
      <c r="AA27" s="5">
        <v>25</v>
      </c>
      <c r="AB27" s="5">
        <v>0.6</v>
      </c>
      <c r="AC27" s="5">
        <v>0.3</v>
      </c>
      <c r="AD27" s="5">
        <v>2.4</v>
      </c>
      <c r="AE27" s="5">
        <v>11</v>
      </c>
      <c r="AF27" s="5">
        <v>63</v>
      </c>
      <c r="AG27" s="5">
        <v>12.7</v>
      </c>
      <c r="AH27" s="4" t="s">
        <v>66</v>
      </c>
      <c r="AI27" s="4" t="s">
        <v>65</v>
      </c>
      <c r="AJ27" s="4" t="s">
        <v>65</v>
      </c>
    </row>
    <row r="28" spans="1:36" ht="27.75" customHeight="1" x14ac:dyDescent="0.2">
      <c r="A28" s="3">
        <v>133</v>
      </c>
      <c r="B28" s="4" t="s">
        <v>1293</v>
      </c>
      <c r="C28" s="4" t="s">
        <v>200</v>
      </c>
      <c r="D28" s="4" t="s">
        <v>220</v>
      </c>
      <c r="E28" s="4" t="s">
        <v>76</v>
      </c>
      <c r="F28" s="4" t="s">
        <v>63</v>
      </c>
      <c r="G28" s="4" t="s">
        <v>64</v>
      </c>
      <c r="H28" s="3" t="b">
        <f>FALSE()</f>
        <v>0</v>
      </c>
      <c r="I28" s="3" t="b">
        <f>FALSE()</f>
        <v>0</v>
      </c>
      <c r="J28" s="3" t="b">
        <f>TRUE()</f>
        <v>1</v>
      </c>
      <c r="K28" s="4" t="s">
        <v>65</v>
      </c>
      <c r="L28" s="3">
        <v>100</v>
      </c>
      <c r="M28" s="5">
        <v>90.3</v>
      </c>
      <c r="N28" s="5">
        <v>1.6</v>
      </c>
      <c r="O28" s="5">
        <v>20.100000000000001</v>
      </c>
      <c r="P28" s="5">
        <v>4.2</v>
      </c>
      <c r="Q28" s="5">
        <v>15.6</v>
      </c>
      <c r="R28" s="5">
        <v>0.1</v>
      </c>
      <c r="S28" s="5">
        <v>0.01</v>
      </c>
      <c r="T28" s="5">
        <v>0.05</v>
      </c>
      <c r="U28" s="5">
        <v>0.03</v>
      </c>
      <c r="V28" s="5">
        <v>0</v>
      </c>
      <c r="W28" s="5">
        <v>3</v>
      </c>
      <c r="X28" s="5">
        <v>55</v>
      </c>
      <c r="Y28" s="5">
        <v>337</v>
      </c>
      <c r="Z28" s="5">
        <v>30</v>
      </c>
      <c r="AA28" s="5">
        <v>25</v>
      </c>
      <c r="AB28" s="5">
        <v>0.6</v>
      </c>
      <c r="AC28" s="5">
        <v>0.3</v>
      </c>
      <c r="AD28" s="5">
        <v>1.6</v>
      </c>
      <c r="AE28" s="5">
        <v>8.1999999999999993</v>
      </c>
      <c r="AF28" s="5">
        <v>63</v>
      </c>
      <c r="AG28" s="5">
        <v>12.7</v>
      </c>
      <c r="AH28" s="4" t="s">
        <v>77</v>
      </c>
      <c r="AI28" s="4" t="s">
        <v>65</v>
      </c>
      <c r="AJ28" s="4" t="s">
        <v>65</v>
      </c>
    </row>
    <row r="29" spans="1:36" ht="27.75" customHeight="1" x14ac:dyDescent="0.2">
      <c r="A29" s="3">
        <v>136</v>
      </c>
      <c r="B29" s="4" t="s">
        <v>226</v>
      </c>
      <c r="C29" s="4" t="s">
        <v>200</v>
      </c>
      <c r="D29" s="4" t="s">
        <v>220</v>
      </c>
      <c r="E29" s="4" t="s">
        <v>208</v>
      </c>
      <c r="F29" s="4" t="s">
        <v>63</v>
      </c>
      <c r="G29" s="4" t="s">
        <v>64</v>
      </c>
      <c r="H29" s="3" t="b">
        <f>FALSE()</f>
        <v>0</v>
      </c>
      <c r="I29" s="3" t="b">
        <f>FALSE()</f>
        <v>0</v>
      </c>
      <c r="J29" s="3" t="b">
        <f>TRUE()</f>
        <v>1</v>
      </c>
      <c r="K29" s="4" t="s">
        <v>65</v>
      </c>
      <c r="L29" s="3">
        <v>100</v>
      </c>
      <c r="M29" s="5">
        <v>101.5</v>
      </c>
      <c r="N29" s="5">
        <v>1.68</v>
      </c>
      <c r="O29" s="5">
        <v>21.11</v>
      </c>
      <c r="P29" s="5">
        <v>4.41</v>
      </c>
      <c r="Q29" s="5">
        <v>16.38</v>
      </c>
      <c r="R29" s="5">
        <v>0.11</v>
      </c>
      <c r="S29" s="5">
        <v>0.01</v>
      </c>
      <c r="T29" s="5">
        <v>0.06</v>
      </c>
      <c r="U29" s="5">
        <v>0.03</v>
      </c>
      <c r="V29" s="5">
        <v>0</v>
      </c>
      <c r="W29" s="5">
        <v>3.15</v>
      </c>
      <c r="X29" s="5">
        <v>55</v>
      </c>
      <c r="Y29" s="5">
        <v>353.9</v>
      </c>
      <c r="Z29" s="5">
        <v>31.5</v>
      </c>
      <c r="AA29" s="5">
        <v>26.2</v>
      </c>
      <c r="AB29" s="5">
        <v>0.63</v>
      </c>
      <c r="AC29" s="5">
        <v>0.32</v>
      </c>
      <c r="AD29" s="5">
        <v>1.6</v>
      </c>
      <c r="AE29" s="5">
        <v>8.6999999999999993</v>
      </c>
      <c r="AF29" s="5">
        <v>63</v>
      </c>
      <c r="AG29" s="5">
        <v>13.3</v>
      </c>
      <c r="AH29" s="4" t="s">
        <v>77</v>
      </c>
      <c r="AI29" s="4" t="s">
        <v>87</v>
      </c>
      <c r="AJ29" s="4" t="s">
        <v>65</v>
      </c>
    </row>
    <row r="30" spans="1:36" ht="27.75" customHeight="1" x14ac:dyDescent="0.2">
      <c r="A30" s="3">
        <v>139</v>
      </c>
      <c r="B30" s="4" t="s">
        <v>229</v>
      </c>
      <c r="C30" s="4" t="s">
        <v>200</v>
      </c>
      <c r="D30" s="4" t="s">
        <v>220</v>
      </c>
      <c r="E30" s="4" t="s">
        <v>212</v>
      </c>
      <c r="F30" s="4" t="s">
        <v>63</v>
      </c>
      <c r="G30" s="4" t="s">
        <v>64</v>
      </c>
      <c r="H30" s="3" t="b">
        <f>FALSE()</f>
        <v>0</v>
      </c>
      <c r="I30" s="3" t="b">
        <f>FALSE()</f>
        <v>0</v>
      </c>
      <c r="J30" s="3" t="b">
        <f>TRUE()</f>
        <v>1</v>
      </c>
      <c r="K30" s="4" t="s">
        <v>65</v>
      </c>
      <c r="L30" s="3">
        <v>100</v>
      </c>
      <c r="M30" s="5">
        <v>94.6</v>
      </c>
      <c r="N30" s="5">
        <v>1.63</v>
      </c>
      <c r="O30" s="5">
        <v>20.5</v>
      </c>
      <c r="P30" s="5">
        <v>4.28</v>
      </c>
      <c r="Q30" s="5">
        <v>15.91</v>
      </c>
      <c r="R30" s="5">
        <v>0.1</v>
      </c>
      <c r="S30" s="5">
        <v>0.01</v>
      </c>
      <c r="T30" s="5">
        <v>0.05</v>
      </c>
      <c r="U30" s="5">
        <v>0.03</v>
      </c>
      <c r="V30" s="5">
        <v>0</v>
      </c>
      <c r="W30" s="5">
        <v>3.06</v>
      </c>
      <c r="X30" s="5">
        <v>55</v>
      </c>
      <c r="Y30" s="5">
        <v>343.7</v>
      </c>
      <c r="Z30" s="5">
        <v>30.6</v>
      </c>
      <c r="AA30" s="5">
        <v>25.5</v>
      </c>
      <c r="AB30" s="5">
        <v>0.61</v>
      </c>
      <c r="AC30" s="5">
        <v>0.31</v>
      </c>
      <c r="AD30" s="5">
        <v>2.4</v>
      </c>
      <c r="AE30" s="5">
        <v>11.2</v>
      </c>
      <c r="AF30" s="5">
        <v>71</v>
      </c>
      <c r="AG30" s="5">
        <v>14.6</v>
      </c>
      <c r="AH30" s="4" t="s">
        <v>77</v>
      </c>
      <c r="AI30" s="4" t="s">
        <v>87</v>
      </c>
      <c r="AJ30" s="4" t="s">
        <v>65</v>
      </c>
    </row>
    <row r="31" spans="1:36" ht="27.75" customHeight="1" x14ac:dyDescent="0.2">
      <c r="A31" s="3">
        <v>142</v>
      </c>
      <c r="B31" s="4" t="s">
        <v>232</v>
      </c>
      <c r="C31" s="4" t="s">
        <v>200</v>
      </c>
      <c r="D31" s="4" t="s">
        <v>220</v>
      </c>
      <c r="E31" s="4" t="s">
        <v>216</v>
      </c>
      <c r="F31" s="4" t="s">
        <v>63</v>
      </c>
      <c r="G31" s="4" t="s">
        <v>64</v>
      </c>
      <c r="H31" s="3" t="b">
        <f>FALSE()</f>
        <v>0</v>
      </c>
      <c r="I31" s="3" t="b">
        <f>FALSE()</f>
        <v>0</v>
      </c>
      <c r="J31" s="3" t="b">
        <f>TRUE()</f>
        <v>1</v>
      </c>
      <c r="K31" s="4" t="s">
        <v>65</v>
      </c>
      <c r="L31" s="3">
        <v>100</v>
      </c>
      <c r="M31" s="5">
        <v>249.4</v>
      </c>
      <c r="N31" s="5">
        <v>1.76</v>
      </c>
      <c r="O31" s="5">
        <v>22.11</v>
      </c>
      <c r="P31" s="5">
        <v>4.62</v>
      </c>
      <c r="Q31" s="5">
        <v>17.16</v>
      </c>
      <c r="R31" s="5">
        <v>0.11</v>
      </c>
      <c r="S31" s="5">
        <v>0.01</v>
      </c>
      <c r="T31" s="5">
        <v>0.06</v>
      </c>
      <c r="U31" s="5">
        <v>0.03</v>
      </c>
      <c r="V31" s="5">
        <v>0</v>
      </c>
      <c r="W31" s="5">
        <v>3.3</v>
      </c>
      <c r="X31" s="5">
        <v>88</v>
      </c>
      <c r="Y31" s="5">
        <v>370.7</v>
      </c>
      <c r="Z31" s="5">
        <v>33</v>
      </c>
      <c r="AA31" s="5">
        <v>27.5</v>
      </c>
      <c r="AB31" s="5">
        <v>0.66</v>
      </c>
      <c r="AC31" s="5">
        <v>0.33</v>
      </c>
      <c r="AD31" s="5">
        <v>2.6</v>
      </c>
      <c r="AE31" s="5">
        <v>12.1</v>
      </c>
      <c r="AF31" s="5">
        <v>71</v>
      </c>
      <c r="AG31" s="5">
        <v>15.7</v>
      </c>
      <c r="AH31" s="4" t="s">
        <v>66</v>
      </c>
      <c r="AI31" s="4" t="s">
        <v>87</v>
      </c>
      <c r="AJ31" s="4" t="s">
        <v>65</v>
      </c>
    </row>
    <row r="32" spans="1:36" ht="27.75" customHeight="1" x14ac:dyDescent="0.2">
      <c r="A32" s="3">
        <v>145</v>
      </c>
      <c r="B32" s="4" t="s">
        <v>235</v>
      </c>
      <c r="C32" s="4" t="s">
        <v>200</v>
      </c>
      <c r="D32" s="4" t="s">
        <v>236</v>
      </c>
      <c r="E32" s="4" t="s">
        <v>62</v>
      </c>
      <c r="F32" s="4" t="s">
        <v>63</v>
      </c>
      <c r="G32" s="4" t="s">
        <v>64</v>
      </c>
      <c r="H32" s="3" t="b">
        <f>FALSE()</f>
        <v>0</v>
      </c>
      <c r="I32" s="3" t="b">
        <f>FALSE()</f>
        <v>0</v>
      </c>
      <c r="J32" s="3" t="b">
        <f>TRUE()</f>
        <v>1</v>
      </c>
      <c r="K32" s="4" t="s">
        <v>65</v>
      </c>
      <c r="L32" s="3">
        <v>100</v>
      </c>
      <c r="M32" s="5">
        <v>160</v>
      </c>
      <c r="N32" s="5">
        <v>1.4</v>
      </c>
      <c r="O32" s="5">
        <v>38</v>
      </c>
      <c r="P32" s="5">
        <v>1.7</v>
      </c>
      <c r="Q32" s="5">
        <v>36.119999999999997</v>
      </c>
      <c r="R32" s="5">
        <v>0.3</v>
      </c>
      <c r="S32" s="5">
        <v>0.04</v>
      </c>
      <c r="T32" s="5">
        <v>0.14000000000000001</v>
      </c>
      <c r="U32" s="5">
        <v>0.09</v>
      </c>
      <c r="V32" s="5">
        <v>0</v>
      </c>
      <c r="W32" s="5">
        <v>1.8</v>
      </c>
      <c r="X32" s="5">
        <v>14</v>
      </c>
      <c r="Y32" s="5">
        <v>271</v>
      </c>
      <c r="Z32" s="5">
        <v>16</v>
      </c>
      <c r="AA32" s="5">
        <v>21</v>
      </c>
      <c r="AB32" s="5">
        <v>0.3</v>
      </c>
      <c r="AC32" s="5">
        <v>0.3</v>
      </c>
      <c r="AD32" s="5">
        <v>20.6</v>
      </c>
      <c r="AE32" s="5">
        <v>27</v>
      </c>
      <c r="AF32" s="5">
        <v>70</v>
      </c>
      <c r="AG32" s="5">
        <v>26.6</v>
      </c>
      <c r="AH32" s="4" t="s">
        <v>66</v>
      </c>
      <c r="AI32" s="4" t="s">
        <v>65</v>
      </c>
      <c r="AJ32" s="4" t="s">
        <v>65</v>
      </c>
    </row>
    <row r="33" spans="1:36" ht="27.75" customHeight="1" x14ac:dyDescent="0.2">
      <c r="A33" s="3">
        <v>148</v>
      </c>
      <c r="B33" s="4" t="s">
        <v>239</v>
      </c>
      <c r="C33" s="4" t="s">
        <v>200</v>
      </c>
      <c r="D33" s="4" t="s">
        <v>236</v>
      </c>
      <c r="E33" s="4" t="s">
        <v>76</v>
      </c>
      <c r="F33" s="4" t="s">
        <v>63</v>
      </c>
      <c r="G33" s="4" t="s">
        <v>64</v>
      </c>
      <c r="H33" s="3" t="b">
        <f>FALSE()</f>
        <v>0</v>
      </c>
      <c r="I33" s="3" t="b">
        <f>FALSE()</f>
        <v>0</v>
      </c>
      <c r="J33" s="3" t="b">
        <f>TRUE()</f>
        <v>1</v>
      </c>
      <c r="K33" s="4" t="s">
        <v>65</v>
      </c>
      <c r="L33" s="3">
        <v>100</v>
      </c>
      <c r="M33" s="5">
        <v>168</v>
      </c>
      <c r="N33" s="5">
        <v>1.4</v>
      </c>
      <c r="O33" s="5">
        <v>38</v>
      </c>
      <c r="P33" s="5">
        <v>1.7</v>
      </c>
      <c r="Q33" s="5">
        <v>36.119999999999997</v>
      </c>
      <c r="R33" s="5">
        <v>0.3</v>
      </c>
      <c r="S33" s="5">
        <v>0.04</v>
      </c>
      <c r="T33" s="5">
        <v>0.14000000000000001</v>
      </c>
      <c r="U33" s="5">
        <v>0.09</v>
      </c>
      <c r="V33" s="5">
        <v>0</v>
      </c>
      <c r="W33" s="5">
        <v>1.8</v>
      </c>
      <c r="X33" s="5">
        <v>14</v>
      </c>
      <c r="Y33" s="5">
        <v>271</v>
      </c>
      <c r="Z33" s="5">
        <v>16</v>
      </c>
      <c r="AA33" s="5">
        <v>21</v>
      </c>
      <c r="AB33" s="5">
        <v>0.3</v>
      </c>
      <c r="AC33" s="5">
        <v>0.3</v>
      </c>
      <c r="AD33" s="5">
        <v>13.4</v>
      </c>
      <c r="AE33" s="5">
        <v>20.2</v>
      </c>
      <c r="AF33" s="5">
        <v>70</v>
      </c>
      <c r="AG33" s="5">
        <v>26.6</v>
      </c>
      <c r="AH33" s="4" t="s">
        <v>77</v>
      </c>
      <c r="AI33" s="4" t="s">
        <v>65</v>
      </c>
      <c r="AJ33" s="4" t="s">
        <v>65</v>
      </c>
    </row>
    <row r="34" spans="1:36" ht="27.75" customHeight="1" x14ac:dyDescent="0.2">
      <c r="A34" s="3">
        <v>151</v>
      </c>
      <c r="B34" s="4" t="s">
        <v>242</v>
      </c>
      <c r="C34" s="4" t="s">
        <v>200</v>
      </c>
      <c r="D34" s="4" t="s">
        <v>236</v>
      </c>
      <c r="E34" s="4" t="s">
        <v>208</v>
      </c>
      <c r="F34" s="4" t="s">
        <v>63</v>
      </c>
      <c r="G34" s="4" t="s">
        <v>64</v>
      </c>
      <c r="H34" s="3" t="b">
        <f>FALSE()</f>
        <v>0</v>
      </c>
      <c r="I34" s="3" t="b">
        <f>FALSE()</f>
        <v>0</v>
      </c>
      <c r="J34" s="3" t="b">
        <f>TRUE()</f>
        <v>1</v>
      </c>
      <c r="K34" s="4" t="s">
        <v>65</v>
      </c>
      <c r="L34" s="3">
        <v>100</v>
      </c>
      <c r="M34" s="5">
        <v>188.8</v>
      </c>
      <c r="N34" s="5">
        <v>1.47</v>
      </c>
      <c r="O34" s="5">
        <v>39.9</v>
      </c>
      <c r="P34" s="5">
        <v>1.78</v>
      </c>
      <c r="Q34" s="5">
        <v>37.93</v>
      </c>
      <c r="R34" s="5">
        <v>0.32</v>
      </c>
      <c r="S34" s="5">
        <v>0.04</v>
      </c>
      <c r="T34" s="5">
        <v>0.15</v>
      </c>
      <c r="U34" s="5">
        <v>0.1</v>
      </c>
      <c r="V34" s="5">
        <v>0</v>
      </c>
      <c r="W34" s="5">
        <v>1.89</v>
      </c>
      <c r="X34" s="5">
        <v>14</v>
      </c>
      <c r="Y34" s="5">
        <v>284.60000000000002</v>
      </c>
      <c r="Z34" s="5">
        <v>16.8</v>
      </c>
      <c r="AA34" s="5">
        <v>22.1</v>
      </c>
      <c r="AB34" s="5">
        <v>0.32</v>
      </c>
      <c r="AC34" s="5">
        <v>0.32</v>
      </c>
      <c r="AD34" s="5">
        <v>14.1</v>
      </c>
      <c r="AE34" s="5">
        <v>21.3</v>
      </c>
      <c r="AF34" s="5">
        <v>70</v>
      </c>
      <c r="AG34" s="5">
        <v>27.9</v>
      </c>
      <c r="AH34" s="4" t="s">
        <v>77</v>
      </c>
      <c r="AI34" s="4" t="s">
        <v>65</v>
      </c>
      <c r="AJ34" s="4" t="s">
        <v>65</v>
      </c>
    </row>
    <row r="35" spans="1:36" ht="27.75" customHeight="1" x14ac:dyDescent="0.2">
      <c r="A35" s="3">
        <v>154</v>
      </c>
      <c r="B35" s="4" t="s">
        <v>245</v>
      </c>
      <c r="C35" s="4" t="s">
        <v>200</v>
      </c>
      <c r="D35" s="4" t="s">
        <v>236</v>
      </c>
      <c r="E35" s="4" t="s">
        <v>212</v>
      </c>
      <c r="F35" s="4" t="s">
        <v>63</v>
      </c>
      <c r="G35" s="4" t="s">
        <v>64</v>
      </c>
      <c r="H35" s="3" t="b">
        <f>FALSE()</f>
        <v>0</v>
      </c>
      <c r="I35" s="3" t="b">
        <f>FALSE()</f>
        <v>0</v>
      </c>
      <c r="J35" s="3" t="b">
        <f>TRUE()</f>
        <v>1</v>
      </c>
      <c r="K35" s="4" t="s">
        <v>65</v>
      </c>
      <c r="L35" s="3">
        <v>100</v>
      </c>
      <c r="M35" s="5">
        <v>176</v>
      </c>
      <c r="N35" s="5">
        <v>1.43</v>
      </c>
      <c r="O35" s="5">
        <v>38.76</v>
      </c>
      <c r="P35" s="5">
        <v>1.73</v>
      </c>
      <c r="Q35" s="5">
        <v>36.85</v>
      </c>
      <c r="R35" s="5">
        <v>0.31</v>
      </c>
      <c r="S35" s="5">
        <v>0.04</v>
      </c>
      <c r="T35" s="5">
        <v>0.15</v>
      </c>
      <c r="U35" s="5">
        <v>0.09</v>
      </c>
      <c r="V35" s="5">
        <v>0</v>
      </c>
      <c r="W35" s="5">
        <v>1.84</v>
      </c>
      <c r="X35" s="5">
        <v>14</v>
      </c>
      <c r="Y35" s="5">
        <v>276.39999999999998</v>
      </c>
      <c r="Z35" s="5">
        <v>16.3</v>
      </c>
      <c r="AA35" s="5">
        <v>21.4</v>
      </c>
      <c r="AB35" s="5">
        <v>0.31</v>
      </c>
      <c r="AC35" s="5">
        <v>0.31</v>
      </c>
      <c r="AD35" s="5">
        <v>21</v>
      </c>
      <c r="AE35" s="5">
        <v>27.5</v>
      </c>
      <c r="AF35" s="5">
        <v>78</v>
      </c>
      <c r="AG35" s="5">
        <v>30.2</v>
      </c>
      <c r="AH35" s="4" t="s">
        <v>77</v>
      </c>
      <c r="AI35" s="4" t="s">
        <v>65</v>
      </c>
      <c r="AJ35" s="4" t="s">
        <v>65</v>
      </c>
    </row>
    <row r="36" spans="1:36" ht="27.75" customHeight="1" x14ac:dyDescent="0.2">
      <c r="A36" s="3">
        <v>155</v>
      </c>
      <c r="B36" s="4" t="s">
        <v>246</v>
      </c>
      <c r="C36" s="4" t="s">
        <v>200</v>
      </c>
      <c r="D36" s="4" t="s">
        <v>236</v>
      </c>
      <c r="E36" s="4" t="s">
        <v>212</v>
      </c>
      <c r="F36" s="4" t="s">
        <v>63</v>
      </c>
      <c r="G36" s="4" t="s">
        <v>64</v>
      </c>
      <c r="H36" s="3" t="b">
        <f>FALSE()</f>
        <v>0</v>
      </c>
      <c r="I36" s="3" t="b">
        <f>FALSE()</f>
        <v>0</v>
      </c>
      <c r="J36" s="3" t="b">
        <f>TRUE()</f>
        <v>1</v>
      </c>
      <c r="K36" s="4" t="s">
        <v>65</v>
      </c>
      <c r="L36" s="3">
        <v>100</v>
      </c>
      <c r="M36" s="5">
        <v>176</v>
      </c>
      <c r="N36" s="5">
        <v>1.43</v>
      </c>
      <c r="O36" s="5">
        <v>38.76</v>
      </c>
      <c r="P36" s="5">
        <v>1.73</v>
      </c>
      <c r="Q36" s="5">
        <v>36.85</v>
      </c>
      <c r="R36" s="5">
        <v>0.31</v>
      </c>
      <c r="S36" s="5">
        <v>0.04</v>
      </c>
      <c r="T36" s="5">
        <v>0.15</v>
      </c>
      <c r="U36" s="5">
        <v>0.09</v>
      </c>
      <c r="V36" s="5">
        <v>0</v>
      </c>
      <c r="W36" s="5">
        <v>1.84</v>
      </c>
      <c r="X36" s="5">
        <v>14</v>
      </c>
      <c r="Y36" s="5">
        <v>276.39999999999998</v>
      </c>
      <c r="Z36" s="5">
        <v>16.3</v>
      </c>
      <c r="AA36" s="5">
        <v>21.4</v>
      </c>
      <c r="AB36" s="5">
        <v>0.31</v>
      </c>
      <c r="AC36" s="5">
        <v>0.31</v>
      </c>
      <c r="AD36" s="5">
        <v>21</v>
      </c>
      <c r="AE36" s="5">
        <v>27.5</v>
      </c>
      <c r="AF36" s="5">
        <v>78</v>
      </c>
      <c r="AG36" s="5">
        <v>30.2</v>
      </c>
      <c r="AH36" s="4" t="s">
        <v>77</v>
      </c>
      <c r="AI36" s="4" t="s">
        <v>65</v>
      </c>
      <c r="AJ36" s="4" t="s">
        <v>65</v>
      </c>
    </row>
    <row r="37" spans="1:36" ht="27.75" customHeight="1" x14ac:dyDescent="0.2">
      <c r="A37" s="3">
        <v>157</v>
      </c>
      <c r="B37" s="4" t="s">
        <v>248</v>
      </c>
      <c r="C37" s="4" t="s">
        <v>200</v>
      </c>
      <c r="D37" s="4" t="s">
        <v>236</v>
      </c>
      <c r="E37" s="4" t="s">
        <v>216</v>
      </c>
      <c r="F37" s="4" t="s">
        <v>63</v>
      </c>
      <c r="G37" s="4" t="s">
        <v>64</v>
      </c>
      <c r="H37" s="3" t="b">
        <f>FALSE()</f>
        <v>0</v>
      </c>
      <c r="I37" s="3" t="b">
        <f>FALSE()</f>
        <v>0</v>
      </c>
      <c r="J37" s="3" t="b">
        <f>TRUE()</f>
        <v>1</v>
      </c>
      <c r="K37" s="4" t="s">
        <v>65</v>
      </c>
      <c r="L37" s="3">
        <v>100</v>
      </c>
      <c r="M37" s="5">
        <v>464</v>
      </c>
      <c r="N37" s="5">
        <v>1.54</v>
      </c>
      <c r="O37" s="5">
        <v>41.8</v>
      </c>
      <c r="P37" s="5">
        <v>1.87</v>
      </c>
      <c r="Q37" s="5">
        <v>39.729999999999997</v>
      </c>
      <c r="R37" s="5">
        <v>0.33</v>
      </c>
      <c r="S37" s="5">
        <v>0.04</v>
      </c>
      <c r="T37" s="5">
        <v>0.16</v>
      </c>
      <c r="U37" s="5">
        <v>0.1</v>
      </c>
      <c r="V37" s="5">
        <v>0</v>
      </c>
      <c r="W37" s="5">
        <v>1.98</v>
      </c>
      <c r="X37" s="5">
        <v>22.4</v>
      </c>
      <c r="Y37" s="5">
        <v>298.10000000000002</v>
      </c>
      <c r="Z37" s="5">
        <v>17.600000000000001</v>
      </c>
      <c r="AA37" s="5">
        <v>23.1</v>
      </c>
      <c r="AB37" s="5">
        <v>0.33</v>
      </c>
      <c r="AC37" s="5">
        <v>0.33</v>
      </c>
      <c r="AD37" s="5">
        <v>22.7</v>
      </c>
      <c r="AE37" s="5">
        <v>29.7</v>
      </c>
      <c r="AF37" s="5">
        <v>78</v>
      </c>
      <c r="AG37" s="5">
        <v>32.6</v>
      </c>
      <c r="AH37" s="4" t="s">
        <v>66</v>
      </c>
      <c r="AI37" s="4" t="s">
        <v>65</v>
      </c>
      <c r="AJ37" s="4" t="s">
        <v>65</v>
      </c>
    </row>
    <row r="38" spans="1:36" ht="27.75" customHeight="1" x14ac:dyDescent="0.2">
      <c r="A38" s="3">
        <v>160</v>
      </c>
      <c r="B38" s="4" t="s">
        <v>251</v>
      </c>
      <c r="C38" s="4" t="s">
        <v>252</v>
      </c>
      <c r="D38" s="4" t="s">
        <v>253</v>
      </c>
      <c r="E38" s="4" t="s">
        <v>254</v>
      </c>
      <c r="F38" s="4" t="s">
        <v>63</v>
      </c>
      <c r="G38" s="4" t="s">
        <v>64</v>
      </c>
      <c r="H38" s="3" t="b">
        <f>FALSE()</f>
        <v>0</v>
      </c>
      <c r="I38" s="3" t="b">
        <f>FALSE()</f>
        <v>0</v>
      </c>
      <c r="J38" s="3" t="b">
        <f>TRUE()</f>
        <v>1</v>
      </c>
      <c r="K38" s="4" t="s">
        <v>87</v>
      </c>
      <c r="L38" s="3">
        <v>100</v>
      </c>
      <c r="M38" s="5">
        <v>353</v>
      </c>
      <c r="N38" s="5">
        <v>25</v>
      </c>
      <c r="O38" s="5">
        <v>60</v>
      </c>
      <c r="P38" s="5">
        <v>2</v>
      </c>
      <c r="Q38" s="5">
        <v>55</v>
      </c>
      <c r="R38" s="5">
        <v>1.1000000000000001</v>
      </c>
      <c r="S38" s="5">
        <v>0.13</v>
      </c>
      <c r="T38" s="5">
        <v>0.53</v>
      </c>
      <c r="U38" s="5">
        <v>0.34</v>
      </c>
      <c r="V38" s="5">
        <v>0.1</v>
      </c>
      <c r="W38" s="5">
        <v>30</v>
      </c>
      <c r="X38" s="5">
        <v>6</v>
      </c>
      <c r="Y38" s="5">
        <v>677</v>
      </c>
      <c r="Z38" s="5">
        <v>56</v>
      </c>
      <c r="AA38" s="5">
        <v>122</v>
      </c>
      <c r="AB38" s="5">
        <v>7.5</v>
      </c>
      <c r="AC38" s="5">
        <v>4.8</v>
      </c>
      <c r="AD38" s="5">
        <v>4</v>
      </c>
      <c r="AE38" s="5">
        <v>479</v>
      </c>
      <c r="AF38" s="5">
        <v>32</v>
      </c>
      <c r="AG38" s="5">
        <v>19.2</v>
      </c>
      <c r="AH38" s="4" t="s">
        <v>66</v>
      </c>
      <c r="AI38" s="4" t="s">
        <v>126</v>
      </c>
      <c r="AJ38" s="4" t="s">
        <v>126</v>
      </c>
    </row>
    <row r="39" spans="1:36" ht="27.75" customHeight="1" x14ac:dyDescent="0.2">
      <c r="A39" s="3">
        <v>163</v>
      </c>
      <c r="B39" s="4" t="s">
        <v>257</v>
      </c>
      <c r="C39" s="4" t="s">
        <v>252</v>
      </c>
      <c r="D39" s="4" t="s">
        <v>253</v>
      </c>
      <c r="E39" s="4" t="s">
        <v>258</v>
      </c>
      <c r="F39" s="4" t="s">
        <v>63</v>
      </c>
      <c r="G39" s="4" t="s">
        <v>64</v>
      </c>
      <c r="H39" s="3" t="b">
        <f>FALSE()</f>
        <v>0</v>
      </c>
      <c r="I39" s="3" t="b">
        <f>FALSE()</f>
        <v>0</v>
      </c>
      <c r="J39" s="3" t="b">
        <f>TRUE()</f>
        <v>1</v>
      </c>
      <c r="K39" s="4" t="s">
        <v>87</v>
      </c>
      <c r="L39" s="3">
        <v>100</v>
      </c>
      <c r="M39" s="5">
        <v>113</v>
      </c>
      <c r="N39" s="5">
        <v>8.5</v>
      </c>
      <c r="O39" s="5">
        <v>20.399999999999999</v>
      </c>
      <c r="P39" s="5">
        <v>0.68</v>
      </c>
      <c r="Q39" s="5">
        <v>18.7</v>
      </c>
      <c r="R39" s="5">
        <v>0.37</v>
      </c>
      <c r="S39" s="5">
        <v>0.04</v>
      </c>
      <c r="T39" s="5">
        <v>0.18</v>
      </c>
      <c r="U39" s="5">
        <v>0.12</v>
      </c>
      <c r="V39" s="5">
        <v>0.03</v>
      </c>
      <c r="W39" s="5">
        <v>10.199999999999999</v>
      </c>
      <c r="X39" s="5">
        <v>6</v>
      </c>
      <c r="Y39" s="5">
        <v>230.2</v>
      </c>
      <c r="Z39" s="5">
        <v>19</v>
      </c>
      <c r="AA39" s="5">
        <v>41.5</v>
      </c>
      <c r="AB39" s="5">
        <v>2.5499999999999998</v>
      </c>
      <c r="AC39" s="5">
        <v>1.63</v>
      </c>
      <c r="AD39" s="5">
        <v>1.4</v>
      </c>
      <c r="AE39" s="5">
        <v>162.9</v>
      </c>
      <c r="AF39" s="5">
        <v>32</v>
      </c>
      <c r="AG39" s="5">
        <v>6.5</v>
      </c>
      <c r="AH39" s="4" t="s">
        <v>66</v>
      </c>
      <c r="AI39" s="4" t="s">
        <v>126</v>
      </c>
      <c r="AJ39" s="4" t="s">
        <v>126</v>
      </c>
    </row>
    <row r="40" spans="1:36" ht="27.75" customHeight="1" x14ac:dyDescent="0.2">
      <c r="A40" s="3">
        <v>166</v>
      </c>
      <c r="B40" s="4" t="s">
        <v>261</v>
      </c>
      <c r="C40" s="4" t="s">
        <v>252</v>
      </c>
      <c r="D40" s="4" t="s">
        <v>253</v>
      </c>
      <c r="E40" s="4" t="s">
        <v>262</v>
      </c>
      <c r="F40" s="4" t="s">
        <v>63</v>
      </c>
      <c r="G40" s="4" t="s">
        <v>64</v>
      </c>
      <c r="H40" s="3" t="b">
        <f>FALSE()</f>
        <v>0</v>
      </c>
      <c r="I40" s="3" t="b">
        <f>FALSE()</f>
        <v>0</v>
      </c>
      <c r="J40" s="3" t="b">
        <f>TRUE()</f>
        <v>1</v>
      </c>
      <c r="K40" s="4" t="s">
        <v>87</v>
      </c>
      <c r="L40" s="3">
        <v>100</v>
      </c>
      <c r="M40" s="5">
        <v>158.80000000000001</v>
      </c>
      <c r="N40" s="5">
        <v>9.5</v>
      </c>
      <c r="O40" s="5">
        <v>22.8</v>
      </c>
      <c r="P40" s="5">
        <v>0.76</v>
      </c>
      <c r="Q40" s="5">
        <v>20.9</v>
      </c>
      <c r="R40" s="5">
        <v>0.42</v>
      </c>
      <c r="S40" s="5">
        <v>0.05</v>
      </c>
      <c r="T40" s="5">
        <v>0.2</v>
      </c>
      <c r="U40" s="5">
        <v>0.13</v>
      </c>
      <c r="V40" s="5">
        <v>0.04</v>
      </c>
      <c r="W40" s="5">
        <v>11.4</v>
      </c>
      <c r="X40" s="5">
        <v>6</v>
      </c>
      <c r="Y40" s="5">
        <v>257.3</v>
      </c>
      <c r="Z40" s="5">
        <v>21.3</v>
      </c>
      <c r="AA40" s="5">
        <v>46.4</v>
      </c>
      <c r="AB40" s="5">
        <v>2.85</v>
      </c>
      <c r="AC40" s="5">
        <v>1.82</v>
      </c>
      <c r="AD40" s="5">
        <v>1.5</v>
      </c>
      <c r="AE40" s="5">
        <v>182</v>
      </c>
      <c r="AF40" s="5">
        <v>40</v>
      </c>
      <c r="AG40" s="5">
        <v>9.1</v>
      </c>
      <c r="AH40" s="4" t="s">
        <v>66</v>
      </c>
      <c r="AI40" s="4" t="s">
        <v>126</v>
      </c>
      <c r="AJ40" s="4" t="s">
        <v>126</v>
      </c>
    </row>
    <row r="41" spans="1:36" ht="27.75" customHeight="1" x14ac:dyDescent="0.2">
      <c r="A41" s="3">
        <v>172</v>
      </c>
      <c r="B41" s="4" t="s">
        <v>268</v>
      </c>
      <c r="C41" s="4" t="s">
        <v>252</v>
      </c>
      <c r="D41" s="4" t="s">
        <v>269</v>
      </c>
      <c r="E41" s="4" t="s">
        <v>254</v>
      </c>
      <c r="F41" s="4" t="s">
        <v>63</v>
      </c>
      <c r="G41" s="4" t="s">
        <v>64</v>
      </c>
      <c r="H41" s="3" t="b">
        <f>FALSE()</f>
        <v>0</v>
      </c>
      <c r="I41" s="3" t="b">
        <f>FALSE()</f>
        <v>0</v>
      </c>
      <c r="J41" s="3" t="b">
        <f>TRUE()</f>
        <v>1</v>
      </c>
      <c r="K41" s="4" t="s">
        <v>126</v>
      </c>
      <c r="L41" s="3">
        <v>100</v>
      </c>
      <c r="M41" s="5">
        <v>364</v>
      </c>
      <c r="N41" s="5">
        <v>19</v>
      </c>
      <c r="O41" s="5">
        <v>61</v>
      </c>
      <c r="P41" s="5">
        <v>10.7</v>
      </c>
      <c r="Q41" s="5">
        <v>48.6</v>
      </c>
      <c r="R41" s="5">
        <v>6</v>
      </c>
      <c r="S41" s="5">
        <v>0.72</v>
      </c>
      <c r="T41" s="5">
        <v>2.9</v>
      </c>
      <c r="U41" s="5">
        <v>1.85</v>
      </c>
      <c r="V41" s="5">
        <v>0.1</v>
      </c>
      <c r="W41" s="5">
        <v>17</v>
      </c>
      <c r="X41" s="5">
        <v>24</v>
      </c>
      <c r="Y41" s="5">
        <v>875</v>
      </c>
      <c r="Z41" s="5">
        <v>105</v>
      </c>
      <c r="AA41" s="5">
        <v>115</v>
      </c>
      <c r="AB41" s="5">
        <v>6.2</v>
      </c>
      <c r="AC41" s="5">
        <v>3.4</v>
      </c>
      <c r="AD41" s="5">
        <v>4</v>
      </c>
      <c r="AE41" s="5">
        <v>557</v>
      </c>
      <c r="AF41" s="5">
        <v>28</v>
      </c>
      <c r="AG41" s="5">
        <v>17.100000000000001</v>
      </c>
      <c r="AH41" s="4" t="s">
        <v>66</v>
      </c>
      <c r="AI41" s="4" t="s">
        <v>126</v>
      </c>
      <c r="AJ41" s="4" t="s">
        <v>126</v>
      </c>
    </row>
    <row r="42" spans="1:36" ht="27.75" customHeight="1" x14ac:dyDescent="0.2">
      <c r="A42" s="3">
        <v>175</v>
      </c>
      <c r="B42" s="4" t="s">
        <v>272</v>
      </c>
      <c r="C42" s="4" t="s">
        <v>252</v>
      </c>
      <c r="D42" s="4" t="s">
        <v>269</v>
      </c>
      <c r="E42" s="4" t="s">
        <v>258</v>
      </c>
      <c r="F42" s="4" t="s">
        <v>63</v>
      </c>
      <c r="G42" s="4" t="s">
        <v>64</v>
      </c>
      <c r="H42" s="3" t="b">
        <f>FALSE()</f>
        <v>0</v>
      </c>
      <c r="I42" s="3" t="b">
        <f>FALSE()</f>
        <v>0</v>
      </c>
      <c r="J42" s="3" t="b">
        <f>TRUE()</f>
        <v>1</v>
      </c>
      <c r="K42" s="4" t="s">
        <v>126</v>
      </c>
      <c r="L42" s="3">
        <v>100</v>
      </c>
      <c r="M42" s="5">
        <v>116.5</v>
      </c>
      <c r="N42" s="5">
        <v>6.46</v>
      </c>
      <c r="O42" s="5">
        <v>20.74</v>
      </c>
      <c r="P42" s="5">
        <v>3.64</v>
      </c>
      <c r="Q42" s="5">
        <v>16.52</v>
      </c>
      <c r="R42" s="5">
        <v>1.92</v>
      </c>
      <c r="S42" s="5">
        <v>0.23</v>
      </c>
      <c r="T42" s="5">
        <v>0.93</v>
      </c>
      <c r="U42" s="5">
        <v>0.59</v>
      </c>
      <c r="V42" s="5">
        <v>0.03</v>
      </c>
      <c r="W42" s="5">
        <v>5.78</v>
      </c>
      <c r="X42" s="5">
        <v>24</v>
      </c>
      <c r="Y42" s="5">
        <v>297.5</v>
      </c>
      <c r="Z42" s="5">
        <v>35.700000000000003</v>
      </c>
      <c r="AA42" s="5">
        <v>39.1</v>
      </c>
      <c r="AB42" s="5">
        <v>2.11</v>
      </c>
      <c r="AC42" s="5">
        <v>1.1599999999999999</v>
      </c>
      <c r="AD42" s="5">
        <v>1.4</v>
      </c>
      <c r="AE42" s="5">
        <v>189.4</v>
      </c>
      <c r="AF42" s="5">
        <v>28</v>
      </c>
      <c r="AG42" s="5">
        <v>5.8</v>
      </c>
      <c r="AH42" s="4" t="s">
        <v>66</v>
      </c>
      <c r="AI42" s="4" t="s">
        <v>87</v>
      </c>
      <c r="AJ42" s="4" t="s">
        <v>126</v>
      </c>
    </row>
    <row r="43" spans="1:36" ht="27.75" customHeight="1" x14ac:dyDescent="0.2">
      <c r="A43" s="3">
        <v>178</v>
      </c>
      <c r="B43" s="4" t="s">
        <v>275</v>
      </c>
      <c r="C43" s="4" t="s">
        <v>252</v>
      </c>
      <c r="D43" s="4" t="s">
        <v>269</v>
      </c>
      <c r="E43" s="4" t="s">
        <v>262</v>
      </c>
      <c r="F43" s="4" t="s">
        <v>63</v>
      </c>
      <c r="G43" s="4" t="s">
        <v>64</v>
      </c>
      <c r="H43" s="3" t="b">
        <f>FALSE()</f>
        <v>0</v>
      </c>
      <c r="I43" s="3" t="b">
        <f>FALSE()</f>
        <v>0</v>
      </c>
      <c r="J43" s="3" t="b">
        <f>TRUE()</f>
        <v>1</v>
      </c>
      <c r="K43" s="4" t="s">
        <v>126</v>
      </c>
      <c r="L43" s="3">
        <v>100</v>
      </c>
      <c r="M43" s="5">
        <v>163.80000000000001</v>
      </c>
      <c r="N43" s="5">
        <v>7.22</v>
      </c>
      <c r="O43" s="5">
        <v>23.18</v>
      </c>
      <c r="P43" s="5">
        <v>4.07</v>
      </c>
      <c r="Q43" s="5">
        <v>18.46</v>
      </c>
      <c r="R43" s="5">
        <v>2.7</v>
      </c>
      <c r="S43" s="5">
        <v>0.32</v>
      </c>
      <c r="T43" s="5">
        <v>1.31</v>
      </c>
      <c r="U43" s="5">
        <v>0.83</v>
      </c>
      <c r="V43" s="5">
        <v>0.04</v>
      </c>
      <c r="W43" s="5">
        <v>6.46</v>
      </c>
      <c r="X43" s="5">
        <v>24</v>
      </c>
      <c r="Y43" s="5">
        <v>332.5</v>
      </c>
      <c r="Z43" s="5">
        <v>39.9</v>
      </c>
      <c r="AA43" s="5">
        <v>43.7</v>
      </c>
      <c r="AB43" s="5">
        <v>2.36</v>
      </c>
      <c r="AC43" s="5">
        <v>1.29</v>
      </c>
      <c r="AD43" s="5">
        <v>1.5</v>
      </c>
      <c r="AE43" s="5">
        <v>211.7</v>
      </c>
      <c r="AF43" s="5">
        <v>36</v>
      </c>
      <c r="AG43" s="5">
        <v>8.3000000000000007</v>
      </c>
      <c r="AH43" s="4" t="s">
        <v>66</v>
      </c>
      <c r="AI43" s="4" t="s">
        <v>87</v>
      </c>
      <c r="AJ43" s="4" t="s">
        <v>126</v>
      </c>
    </row>
    <row r="44" spans="1:36" ht="27.75" customHeight="1" x14ac:dyDescent="0.2">
      <c r="A44" s="3">
        <v>184</v>
      </c>
      <c r="B44" s="4" t="s">
        <v>281</v>
      </c>
      <c r="C44" s="4" t="s">
        <v>252</v>
      </c>
      <c r="D44" s="4" t="s">
        <v>282</v>
      </c>
      <c r="E44" s="4" t="s">
        <v>254</v>
      </c>
      <c r="F44" s="4" t="s">
        <v>63</v>
      </c>
      <c r="G44" s="4" t="s">
        <v>64</v>
      </c>
      <c r="H44" s="3" t="b">
        <f>FALSE()</f>
        <v>0</v>
      </c>
      <c r="I44" s="3" t="b">
        <f>FALSE()</f>
        <v>0</v>
      </c>
      <c r="J44" s="3" t="b">
        <f>TRUE()</f>
        <v>1</v>
      </c>
      <c r="K44" s="4" t="s">
        <v>126</v>
      </c>
      <c r="L44" s="3">
        <v>100</v>
      </c>
      <c r="M44" s="5">
        <v>333</v>
      </c>
      <c r="N44" s="5">
        <v>23</v>
      </c>
      <c r="O44" s="5">
        <v>60</v>
      </c>
      <c r="P44" s="5">
        <v>2.1</v>
      </c>
      <c r="Q44" s="5">
        <v>56.4</v>
      </c>
      <c r="R44" s="5">
        <v>0.8</v>
      </c>
      <c r="S44" s="5">
        <v>0.1</v>
      </c>
      <c r="T44" s="5">
        <v>0.39</v>
      </c>
      <c r="U44" s="5">
        <v>0.24</v>
      </c>
      <c r="V44" s="5">
        <v>0.1</v>
      </c>
      <c r="W44" s="5">
        <v>15</v>
      </c>
      <c r="X44" s="5">
        <v>16</v>
      </c>
      <c r="Y44" s="5">
        <v>1795</v>
      </c>
      <c r="Z44" s="5">
        <v>240</v>
      </c>
      <c r="AA44" s="5">
        <v>190</v>
      </c>
      <c r="AB44" s="5">
        <v>10.4</v>
      </c>
      <c r="AC44" s="5">
        <v>3.7</v>
      </c>
      <c r="AD44" s="5">
        <v>4.5</v>
      </c>
      <c r="AE44" s="5">
        <v>388</v>
      </c>
      <c r="AF44" s="5">
        <v>31</v>
      </c>
      <c r="AG44" s="5">
        <v>18.600000000000001</v>
      </c>
      <c r="AH44" s="4" t="s">
        <v>66</v>
      </c>
      <c r="AI44" s="4" t="s">
        <v>126</v>
      </c>
      <c r="AJ44" s="4" t="s">
        <v>126</v>
      </c>
    </row>
    <row r="45" spans="1:36" ht="27.75" customHeight="1" x14ac:dyDescent="0.2">
      <c r="A45" s="3">
        <v>187</v>
      </c>
      <c r="B45" s="4" t="s">
        <v>285</v>
      </c>
      <c r="C45" s="4" t="s">
        <v>252</v>
      </c>
      <c r="D45" s="4" t="s">
        <v>282</v>
      </c>
      <c r="E45" s="4" t="s">
        <v>258</v>
      </c>
      <c r="F45" s="4" t="s">
        <v>63</v>
      </c>
      <c r="G45" s="4" t="s">
        <v>64</v>
      </c>
      <c r="H45" s="3" t="b">
        <f>FALSE()</f>
        <v>0</v>
      </c>
      <c r="I45" s="3" t="b">
        <f>FALSE()</f>
        <v>0</v>
      </c>
      <c r="J45" s="3" t="b">
        <f>TRUE()</f>
        <v>1</v>
      </c>
      <c r="K45" s="4" t="s">
        <v>126</v>
      </c>
      <c r="L45" s="3">
        <v>100</v>
      </c>
      <c r="M45" s="5">
        <v>106.6</v>
      </c>
      <c r="N45" s="5">
        <v>7.82</v>
      </c>
      <c r="O45" s="5">
        <v>20.399999999999999</v>
      </c>
      <c r="P45" s="5">
        <v>0.71</v>
      </c>
      <c r="Q45" s="5">
        <v>19.18</v>
      </c>
      <c r="R45" s="5">
        <v>0.27</v>
      </c>
      <c r="S45" s="5">
        <v>0.03</v>
      </c>
      <c r="T45" s="5">
        <v>0.13</v>
      </c>
      <c r="U45" s="5">
        <v>0.08</v>
      </c>
      <c r="V45" s="5">
        <v>0.03</v>
      </c>
      <c r="W45" s="5">
        <v>5.0999999999999996</v>
      </c>
      <c r="X45" s="5">
        <v>16</v>
      </c>
      <c r="Y45" s="5">
        <v>610.29999999999995</v>
      </c>
      <c r="Z45" s="5">
        <v>81.599999999999994</v>
      </c>
      <c r="AA45" s="5">
        <v>64.599999999999994</v>
      </c>
      <c r="AB45" s="5">
        <v>3.54</v>
      </c>
      <c r="AC45" s="5">
        <v>1.26</v>
      </c>
      <c r="AD45" s="5">
        <v>1.5</v>
      </c>
      <c r="AE45" s="5">
        <v>131.9</v>
      </c>
      <c r="AF45" s="5">
        <v>31</v>
      </c>
      <c r="AG45" s="5">
        <v>6.3</v>
      </c>
      <c r="AH45" s="4" t="s">
        <v>66</v>
      </c>
      <c r="AI45" s="4" t="s">
        <v>87</v>
      </c>
      <c r="AJ45" s="4" t="s">
        <v>126</v>
      </c>
    </row>
    <row r="46" spans="1:36" ht="27.75" customHeight="1" x14ac:dyDescent="0.2">
      <c r="A46" s="3">
        <v>196</v>
      </c>
      <c r="B46" s="4" t="s">
        <v>294</v>
      </c>
      <c r="C46" s="4" t="s">
        <v>252</v>
      </c>
      <c r="D46" s="4" t="s">
        <v>295</v>
      </c>
      <c r="E46" s="4" t="s">
        <v>254</v>
      </c>
      <c r="F46" s="4" t="s">
        <v>63</v>
      </c>
      <c r="G46" s="4" t="s">
        <v>64</v>
      </c>
      <c r="H46" s="3" t="b">
        <f>FALSE()</f>
        <v>0</v>
      </c>
      <c r="I46" s="3" t="b">
        <f>FALSE()</f>
        <v>0</v>
      </c>
      <c r="J46" s="3" t="b">
        <f>TRUE()</f>
        <v>1</v>
      </c>
      <c r="K46" s="4" t="s">
        <v>87</v>
      </c>
      <c r="L46" s="3">
        <v>100</v>
      </c>
      <c r="M46" s="5">
        <v>336</v>
      </c>
      <c r="N46" s="5">
        <v>50</v>
      </c>
      <c r="O46" s="5">
        <v>31</v>
      </c>
      <c r="P46" s="5">
        <v>7</v>
      </c>
      <c r="Q46" s="5">
        <v>22.5</v>
      </c>
      <c r="R46" s="5">
        <v>1.2</v>
      </c>
      <c r="S46" s="5">
        <v>0.14000000000000001</v>
      </c>
      <c r="T46" s="5">
        <v>0.57999999999999996</v>
      </c>
      <c r="U46" s="5">
        <v>0.37</v>
      </c>
      <c r="V46" s="5">
        <v>0.7</v>
      </c>
      <c r="W46" s="5">
        <v>15</v>
      </c>
      <c r="X46" s="5">
        <v>20</v>
      </c>
      <c r="Y46" s="5">
        <v>1800</v>
      </c>
      <c r="Z46" s="5">
        <v>240</v>
      </c>
      <c r="AA46" s="5">
        <v>280</v>
      </c>
      <c r="AB46" s="5">
        <v>9</v>
      </c>
      <c r="AC46" s="5">
        <v>4</v>
      </c>
      <c r="AD46" s="5">
        <v>0</v>
      </c>
      <c r="AE46" s="5">
        <v>250</v>
      </c>
      <c r="AF46" s="5">
        <v>20</v>
      </c>
      <c r="AG46" s="5">
        <v>6.2</v>
      </c>
      <c r="AH46" s="4" t="s">
        <v>66</v>
      </c>
      <c r="AI46" s="4" t="s">
        <v>126</v>
      </c>
      <c r="AJ46" s="4" t="s">
        <v>126</v>
      </c>
    </row>
    <row r="47" spans="1:36" ht="27.75" customHeight="1" x14ac:dyDescent="0.2">
      <c r="A47" s="3">
        <v>199</v>
      </c>
      <c r="B47" s="4" t="s">
        <v>298</v>
      </c>
      <c r="C47" s="4" t="s">
        <v>252</v>
      </c>
      <c r="D47" s="4" t="s">
        <v>295</v>
      </c>
      <c r="E47" s="4" t="s">
        <v>258</v>
      </c>
      <c r="F47" s="4" t="s">
        <v>63</v>
      </c>
      <c r="G47" s="4" t="s">
        <v>64</v>
      </c>
      <c r="H47" s="3" t="b">
        <f>FALSE()</f>
        <v>0</v>
      </c>
      <c r="I47" s="3" t="b">
        <f>FALSE()</f>
        <v>0</v>
      </c>
      <c r="J47" s="3" t="b">
        <f>TRUE()</f>
        <v>1</v>
      </c>
      <c r="K47" s="4" t="s">
        <v>87</v>
      </c>
      <c r="L47" s="3">
        <v>100</v>
      </c>
      <c r="M47" s="5">
        <v>107.5</v>
      </c>
      <c r="N47" s="5">
        <v>17</v>
      </c>
      <c r="O47" s="5">
        <v>10.54</v>
      </c>
      <c r="P47" s="5">
        <v>2.38</v>
      </c>
      <c r="Q47" s="5">
        <v>7.65</v>
      </c>
      <c r="R47" s="5">
        <v>0.41</v>
      </c>
      <c r="S47" s="5">
        <v>0.05</v>
      </c>
      <c r="T47" s="5">
        <v>0.2</v>
      </c>
      <c r="U47" s="5">
        <v>0.13</v>
      </c>
      <c r="V47" s="5">
        <v>0.24</v>
      </c>
      <c r="W47" s="5">
        <v>5.0999999999999996</v>
      </c>
      <c r="X47" s="5">
        <v>20</v>
      </c>
      <c r="Y47" s="5">
        <v>612</v>
      </c>
      <c r="Z47" s="5">
        <v>81.599999999999994</v>
      </c>
      <c r="AA47" s="5">
        <v>95.2</v>
      </c>
      <c r="AB47" s="5">
        <v>3.06</v>
      </c>
      <c r="AC47" s="5">
        <v>1.36</v>
      </c>
      <c r="AD47" s="5">
        <v>0</v>
      </c>
      <c r="AE47" s="5">
        <v>85</v>
      </c>
      <c r="AF47" s="5">
        <v>20</v>
      </c>
      <c r="AG47" s="5">
        <v>2.1</v>
      </c>
      <c r="AH47" s="4" t="s">
        <v>66</v>
      </c>
      <c r="AI47" s="4" t="s">
        <v>87</v>
      </c>
      <c r="AJ47" s="4" t="s">
        <v>126</v>
      </c>
    </row>
    <row r="48" spans="1:36" ht="27.75" customHeight="1" x14ac:dyDescent="0.2">
      <c r="A48" s="3">
        <v>208</v>
      </c>
      <c r="B48" s="4" t="s">
        <v>1294</v>
      </c>
      <c r="C48" s="4" t="s">
        <v>308</v>
      </c>
      <c r="D48" s="4" t="s">
        <v>309</v>
      </c>
      <c r="E48" s="4" t="s">
        <v>310</v>
      </c>
      <c r="F48" s="4" t="s">
        <v>63</v>
      </c>
      <c r="G48" s="4" t="s">
        <v>64</v>
      </c>
      <c r="H48" s="3" t="b">
        <f>FALSE()</f>
        <v>0</v>
      </c>
      <c r="I48" s="3" t="b">
        <f>FALSE()</f>
        <v>0</v>
      </c>
      <c r="J48" s="3" t="b">
        <f>TRUE()</f>
        <v>1</v>
      </c>
      <c r="K48" s="4" t="s">
        <v>87</v>
      </c>
      <c r="L48" s="3">
        <v>100</v>
      </c>
      <c r="M48" s="5">
        <v>89</v>
      </c>
      <c r="N48" s="5">
        <v>1.1000000000000001</v>
      </c>
      <c r="O48" s="5">
        <v>22.8</v>
      </c>
      <c r="P48" s="5">
        <v>12.2</v>
      </c>
      <c r="Q48" s="5">
        <v>10.34</v>
      </c>
      <c r="R48" s="5">
        <v>0.3</v>
      </c>
      <c r="S48" s="5">
        <v>0.04</v>
      </c>
      <c r="T48" s="5">
        <v>0.14000000000000001</v>
      </c>
      <c r="U48" s="5">
        <v>0.09</v>
      </c>
      <c r="V48" s="5">
        <v>0</v>
      </c>
      <c r="W48" s="5">
        <v>2.6</v>
      </c>
      <c r="X48" s="5">
        <v>1</v>
      </c>
      <c r="Y48" s="5">
        <v>358</v>
      </c>
      <c r="Z48" s="5">
        <v>5</v>
      </c>
      <c r="AA48" s="5">
        <v>27</v>
      </c>
      <c r="AB48" s="5">
        <v>0.3</v>
      </c>
      <c r="AC48" s="5">
        <v>0.2</v>
      </c>
      <c r="AD48" s="5">
        <v>8.6999999999999993</v>
      </c>
      <c r="AE48" s="5">
        <v>20</v>
      </c>
      <c r="AF48" s="5">
        <v>51</v>
      </c>
      <c r="AG48" s="5">
        <v>11.6</v>
      </c>
      <c r="AH48" s="4" t="s">
        <v>77</v>
      </c>
      <c r="AI48" s="4" t="s">
        <v>65</v>
      </c>
      <c r="AJ48" s="4" t="s">
        <v>87</v>
      </c>
    </row>
    <row r="49" spans="1:36" ht="27.75" customHeight="1" x14ac:dyDescent="0.2">
      <c r="A49" s="3">
        <v>217</v>
      </c>
      <c r="B49" s="4" t="s">
        <v>321</v>
      </c>
      <c r="C49" s="4" t="s">
        <v>308</v>
      </c>
      <c r="D49" s="4" t="s">
        <v>309</v>
      </c>
      <c r="E49" s="4" t="s">
        <v>322</v>
      </c>
      <c r="F49" s="4" t="s">
        <v>63</v>
      </c>
      <c r="G49" s="4" t="s">
        <v>64</v>
      </c>
      <c r="H49" s="3" t="b">
        <f>FALSE()</f>
        <v>0</v>
      </c>
      <c r="I49" s="3" t="b">
        <f>FALSE()</f>
        <v>0</v>
      </c>
      <c r="J49" s="3" t="b">
        <f>TRUE()</f>
        <v>1</v>
      </c>
      <c r="K49" s="4" t="s">
        <v>87</v>
      </c>
      <c r="L49" s="3">
        <v>100</v>
      </c>
      <c r="M49" s="5">
        <v>267</v>
      </c>
      <c r="N49" s="5">
        <v>3.08</v>
      </c>
      <c r="O49" s="5">
        <v>63.84</v>
      </c>
      <c r="P49" s="5">
        <v>34.159999999999997</v>
      </c>
      <c r="Q49" s="5">
        <v>28.95</v>
      </c>
      <c r="R49" s="5">
        <v>0.84</v>
      </c>
      <c r="S49" s="5">
        <v>0.1</v>
      </c>
      <c r="T49" s="5">
        <v>0.41</v>
      </c>
      <c r="U49" s="5">
        <v>0.26</v>
      </c>
      <c r="V49" s="5">
        <v>0</v>
      </c>
      <c r="W49" s="5">
        <v>7.28</v>
      </c>
      <c r="X49" s="5">
        <v>1</v>
      </c>
      <c r="Y49" s="5">
        <v>1002.4</v>
      </c>
      <c r="Z49" s="5">
        <v>14</v>
      </c>
      <c r="AA49" s="5">
        <v>75.599999999999994</v>
      </c>
      <c r="AB49" s="5">
        <v>0.84</v>
      </c>
      <c r="AC49" s="5">
        <v>0.56000000000000005</v>
      </c>
      <c r="AD49" s="5">
        <v>24.4</v>
      </c>
      <c r="AE49" s="5">
        <v>56</v>
      </c>
      <c r="AF49" s="5">
        <v>51</v>
      </c>
      <c r="AG49" s="5">
        <v>32.6</v>
      </c>
      <c r="AH49" s="4" t="s">
        <v>66</v>
      </c>
      <c r="AI49" s="4" t="s">
        <v>87</v>
      </c>
      <c r="AJ49" s="4" t="s">
        <v>87</v>
      </c>
    </row>
    <row r="50" spans="1:36" ht="27.75" customHeight="1" x14ac:dyDescent="0.2">
      <c r="A50" s="3">
        <v>223</v>
      </c>
      <c r="B50" s="4" t="s">
        <v>1296</v>
      </c>
      <c r="C50" s="4" t="s">
        <v>308</v>
      </c>
      <c r="D50" s="4" t="s">
        <v>330</v>
      </c>
      <c r="E50" s="4" t="s">
        <v>310</v>
      </c>
      <c r="F50" s="4" t="s">
        <v>63</v>
      </c>
      <c r="G50" s="4" t="s">
        <v>64</v>
      </c>
      <c r="H50" s="3" t="b">
        <f>FALSE()</f>
        <v>0</v>
      </c>
      <c r="I50" s="3" t="b">
        <f>FALSE()</f>
        <v>0</v>
      </c>
      <c r="J50" s="3" t="b">
        <f>TRUE()</f>
        <v>1</v>
      </c>
      <c r="K50" s="4" t="s">
        <v>87</v>
      </c>
      <c r="L50" s="3">
        <v>100</v>
      </c>
      <c r="M50" s="5">
        <v>52</v>
      </c>
      <c r="N50" s="5">
        <v>0.3</v>
      </c>
      <c r="O50" s="5">
        <v>13.8</v>
      </c>
      <c r="P50" s="5">
        <v>10.4</v>
      </c>
      <c r="Q50" s="5">
        <v>3.16</v>
      </c>
      <c r="R50" s="5">
        <v>0.2</v>
      </c>
      <c r="S50" s="5">
        <v>0.02</v>
      </c>
      <c r="T50" s="5">
        <v>0.1</v>
      </c>
      <c r="U50" s="5">
        <v>0.06</v>
      </c>
      <c r="V50" s="5">
        <v>0</v>
      </c>
      <c r="W50" s="5">
        <v>2.4</v>
      </c>
      <c r="X50" s="5">
        <v>1</v>
      </c>
      <c r="Y50" s="5">
        <v>107</v>
      </c>
      <c r="Z50" s="5">
        <v>6</v>
      </c>
      <c r="AA50" s="5">
        <v>5</v>
      </c>
      <c r="AB50" s="5">
        <v>0.1</v>
      </c>
      <c r="AC50" s="5">
        <v>0</v>
      </c>
      <c r="AD50" s="5">
        <v>4.5999999999999996</v>
      </c>
      <c r="AE50" s="5">
        <v>3</v>
      </c>
      <c r="AF50" s="5">
        <v>36</v>
      </c>
      <c r="AG50" s="5">
        <v>5</v>
      </c>
      <c r="AH50" s="4" t="s">
        <v>77</v>
      </c>
      <c r="AI50" s="4" t="s">
        <v>65</v>
      </c>
      <c r="AJ50" s="4" t="s">
        <v>87</v>
      </c>
    </row>
    <row r="51" spans="1:36" ht="27.75" customHeight="1" x14ac:dyDescent="0.2">
      <c r="A51" s="3">
        <v>229</v>
      </c>
      <c r="B51" s="4" t="s">
        <v>336</v>
      </c>
      <c r="C51" s="4" t="s">
        <v>308</v>
      </c>
      <c r="D51" s="4" t="s">
        <v>330</v>
      </c>
      <c r="E51" s="4" t="s">
        <v>318</v>
      </c>
      <c r="F51" s="4" t="s">
        <v>63</v>
      </c>
      <c r="G51" s="4" t="s">
        <v>64</v>
      </c>
      <c r="H51" s="3" t="b">
        <f>FALSE()</f>
        <v>0</v>
      </c>
      <c r="I51" s="3" t="b">
        <f>FALSE()</f>
        <v>0</v>
      </c>
      <c r="J51" s="3" t="b">
        <f>TRUE()</f>
        <v>1</v>
      </c>
      <c r="K51" s="4" t="s">
        <v>87</v>
      </c>
      <c r="L51" s="3">
        <v>100</v>
      </c>
      <c r="M51" s="5">
        <v>42.6</v>
      </c>
      <c r="N51" s="5">
        <v>0.26</v>
      </c>
      <c r="O51" s="5">
        <v>11.73</v>
      </c>
      <c r="P51" s="5">
        <v>8.84</v>
      </c>
      <c r="Q51" s="5">
        <v>2.69</v>
      </c>
      <c r="R51" s="5">
        <v>0.17</v>
      </c>
      <c r="S51" s="5">
        <v>0.02</v>
      </c>
      <c r="T51" s="5">
        <v>0.08</v>
      </c>
      <c r="U51" s="5">
        <v>0.05</v>
      </c>
      <c r="V51" s="5">
        <v>0</v>
      </c>
      <c r="W51" s="5">
        <v>2.04</v>
      </c>
      <c r="X51" s="5">
        <v>1</v>
      </c>
      <c r="Y51" s="5">
        <v>91</v>
      </c>
      <c r="Z51" s="5">
        <v>5.0999999999999996</v>
      </c>
      <c r="AA51" s="5">
        <v>4.2</v>
      </c>
      <c r="AB51" s="5">
        <v>0.09</v>
      </c>
      <c r="AC51" s="5">
        <v>0</v>
      </c>
      <c r="AD51" s="5">
        <v>3.9</v>
      </c>
      <c r="AE51" s="5">
        <v>2.5</v>
      </c>
      <c r="AF51" s="5">
        <v>36</v>
      </c>
      <c r="AG51" s="5">
        <v>4.2</v>
      </c>
      <c r="AH51" s="4" t="s">
        <v>77</v>
      </c>
      <c r="AI51" s="4" t="s">
        <v>65</v>
      </c>
      <c r="AJ51" s="4" t="s">
        <v>87</v>
      </c>
    </row>
    <row r="52" spans="1:36" ht="27.75" customHeight="1" x14ac:dyDescent="0.2">
      <c r="A52" s="3">
        <v>232</v>
      </c>
      <c r="B52" s="4" t="s">
        <v>339</v>
      </c>
      <c r="C52" s="4" t="s">
        <v>308</v>
      </c>
      <c r="D52" s="4" t="s">
        <v>330</v>
      </c>
      <c r="E52" s="4" t="s">
        <v>322</v>
      </c>
      <c r="F52" s="4" t="s">
        <v>63</v>
      </c>
      <c r="G52" s="4" t="s">
        <v>64</v>
      </c>
      <c r="H52" s="3" t="b">
        <f>FALSE()</f>
        <v>0</v>
      </c>
      <c r="I52" s="3" t="b">
        <f>FALSE()</f>
        <v>0</v>
      </c>
      <c r="J52" s="3" t="b">
        <f>TRUE()</f>
        <v>1</v>
      </c>
      <c r="K52" s="4" t="s">
        <v>87</v>
      </c>
      <c r="L52" s="3">
        <v>100</v>
      </c>
      <c r="M52" s="5">
        <v>156</v>
      </c>
      <c r="N52" s="5">
        <v>0.84</v>
      </c>
      <c r="O52" s="5">
        <v>38.64</v>
      </c>
      <c r="P52" s="5">
        <v>29.12</v>
      </c>
      <c r="Q52" s="5">
        <v>8.85</v>
      </c>
      <c r="R52" s="5">
        <v>0.56000000000000005</v>
      </c>
      <c r="S52" s="5">
        <v>7.0000000000000007E-2</v>
      </c>
      <c r="T52" s="5">
        <v>0.27</v>
      </c>
      <c r="U52" s="5">
        <v>0.17</v>
      </c>
      <c r="V52" s="5">
        <v>0</v>
      </c>
      <c r="W52" s="5">
        <v>6.72</v>
      </c>
      <c r="X52" s="5">
        <v>1</v>
      </c>
      <c r="Y52" s="5">
        <v>299.60000000000002</v>
      </c>
      <c r="Z52" s="5">
        <v>16.8</v>
      </c>
      <c r="AA52" s="5">
        <v>14</v>
      </c>
      <c r="AB52" s="5">
        <v>0.28000000000000003</v>
      </c>
      <c r="AC52" s="5">
        <v>0</v>
      </c>
      <c r="AD52" s="5">
        <v>12.9</v>
      </c>
      <c r="AE52" s="5">
        <v>8.4</v>
      </c>
      <c r="AF52" s="5">
        <v>36</v>
      </c>
      <c r="AG52" s="5">
        <v>13.9</v>
      </c>
      <c r="AH52" s="4" t="s">
        <v>66</v>
      </c>
      <c r="AI52" s="4" t="s">
        <v>87</v>
      </c>
      <c r="AJ52" s="4" t="s">
        <v>87</v>
      </c>
    </row>
    <row r="53" spans="1:36" ht="27.75" customHeight="1" x14ac:dyDescent="0.2">
      <c r="A53" s="3">
        <v>238</v>
      </c>
      <c r="B53" s="4" t="s">
        <v>1295</v>
      </c>
      <c r="C53" s="4" t="s">
        <v>308</v>
      </c>
      <c r="D53" s="4" t="s">
        <v>330</v>
      </c>
      <c r="E53" s="4" t="s">
        <v>310</v>
      </c>
      <c r="F53" s="4" t="s">
        <v>63</v>
      </c>
      <c r="G53" s="4" t="s">
        <v>64</v>
      </c>
      <c r="H53" s="3" t="b">
        <f>FALSE()</f>
        <v>0</v>
      </c>
      <c r="I53" s="3" t="b">
        <f>FALSE()</f>
        <v>0</v>
      </c>
      <c r="J53" s="3" t="b">
        <f>TRUE()</f>
        <v>1</v>
      </c>
      <c r="K53" s="4" t="s">
        <v>87</v>
      </c>
      <c r="L53" s="3">
        <v>100</v>
      </c>
      <c r="M53" s="5">
        <v>57</v>
      </c>
      <c r="N53" s="5">
        <v>0.4</v>
      </c>
      <c r="O53" s="5">
        <v>15.2</v>
      </c>
      <c r="P53" s="5">
        <v>9.8000000000000007</v>
      </c>
      <c r="Q53" s="5">
        <v>5.09</v>
      </c>
      <c r="R53" s="5">
        <v>0.1</v>
      </c>
      <c r="S53" s="5">
        <v>0.01</v>
      </c>
      <c r="T53" s="5">
        <v>0.05</v>
      </c>
      <c r="U53" s="5">
        <v>0.03</v>
      </c>
      <c r="V53" s="5">
        <v>0</v>
      </c>
      <c r="W53" s="5">
        <v>3.1</v>
      </c>
      <c r="X53" s="5">
        <v>1</v>
      </c>
      <c r="Y53" s="5">
        <v>116</v>
      </c>
      <c r="Z53" s="5">
        <v>9</v>
      </c>
      <c r="AA53" s="5">
        <v>7</v>
      </c>
      <c r="AB53" s="5">
        <v>0.2</v>
      </c>
      <c r="AC53" s="5">
        <v>0.1</v>
      </c>
      <c r="AD53" s="5">
        <v>4.3</v>
      </c>
      <c r="AE53" s="5">
        <v>7</v>
      </c>
      <c r="AF53" s="5">
        <v>38</v>
      </c>
      <c r="AG53" s="5">
        <v>5.8</v>
      </c>
      <c r="AH53" s="4" t="s">
        <v>77</v>
      </c>
      <c r="AI53" s="4" t="s">
        <v>87</v>
      </c>
      <c r="AJ53" s="4" t="s">
        <v>87</v>
      </c>
    </row>
    <row r="54" spans="1:36" ht="27.75" customHeight="1" x14ac:dyDescent="0.2">
      <c r="A54" s="3">
        <v>244</v>
      </c>
      <c r="B54" s="4" t="s">
        <v>351</v>
      </c>
      <c r="C54" s="4" t="s">
        <v>308</v>
      </c>
      <c r="D54" s="4" t="s">
        <v>330</v>
      </c>
      <c r="E54" s="4" t="s">
        <v>318</v>
      </c>
      <c r="F54" s="4" t="s">
        <v>63</v>
      </c>
      <c r="G54" s="4" t="s">
        <v>64</v>
      </c>
      <c r="H54" s="3" t="b">
        <f>FALSE()</f>
        <v>0</v>
      </c>
      <c r="I54" s="3" t="b">
        <f>FALSE()</f>
        <v>0</v>
      </c>
      <c r="J54" s="3" t="b">
        <f>TRUE()</f>
        <v>1</v>
      </c>
      <c r="K54" s="4" t="s">
        <v>87</v>
      </c>
      <c r="L54" s="3">
        <v>100</v>
      </c>
      <c r="M54" s="5">
        <v>46.7</v>
      </c>
      <c r="N54" s="5">
        <v>0.34</v>
      </c>
      <c r="O54" s="5">
        <v>12.92</v>
      </c>
      <c r="P54" s="5">
        <v>8.33</v>
      </c>
      <c r="Q54" s="5">
        <v>4.33</v>
      </c>
      <c r="R54" s="5">
        <v>0.09</v>
      </c>
      <c r="S54" s="5">
        <v>0.01</v>
      </c>
      <c r="T54" s="5">
        <v>0.04</v>
      </c>
      <c r="U54" s="5">
        <v>0.03</v>
      </c>
      <c r="V54" s="5">
        <v>0</v>
      </c>
      <c r="W54" s="5">
        <v>2.63</v>
      </c>
      <c r="X54" s="5">
        <v>1</v>
      </c>
      <c r="Y54" s="5">
        <v>98.6</v>
      </c>
      <c r="Z54" s="5">
        <v>7.6</v>
      </c>
      <c r="AA54" s="5">
        <v>6</v>
      </c>
      <c r="AB54" s="5">
        <v>0.17</v>
      </c>
      <c r="AC54" s="5">
        <v>0.09</v>
      </c>
      <c r="AD54" s="5">
        <v>3.7</v>
      </c>
      <c r="AE54" s="5">
        <v>6</v>
      </c>
      <c r="AF54" s="5">
        <v>38</v>
      </c>
      <c r="AG54" s="5">
        <v>4.9000000000000004</v>
      </c>
      <c r="AH54" s="4" t="s">
        <v>77</v>
      </c>
      <c r="AI54" s="4" t="s">
        <v>65</v>
      </c>
      <c r="AJ54" s="4" t="s">
        <v>87</v>
      </c>
    </row>
    <row r="55" spans="1:36" ht="27.75" customHeight="1" x14ac:dyDescent="0.2">
      <c r="A55" s="3">
        <v>253</v>
      </c>
      <c r="B55" s="4" t="s">
        <v>1297</v>
      </c>
      <c r="C55" s="4" t="s">
        <v>308</v>
      </c>
      <c r="D55" s="4" t="s">
        <v>361</v>
      </c>
      <c r="E55" s="4" t="s">
        <v>310</v>
      </c>
      <c r="F55" s="4" t="s">
        <v>63</v>
      </c>
      <c r="G55" s="4" t="s">
        <v>64</v>
      </c>
      <c r="H55" s="3" t="b">
        <f>FALSE()</f>
        <v>0</v>
      </c>
      <c r="I55" s="3" t="b">
        <f>FALSE()</f>
        <v>0</v>
      </c>
      <c r="J55" s="3" t="b">
        <f>TRUE()</f>
        <v>1</v>
      </c>
      <c r="K55" s="4" t="s">
        <v>87</v>
      </c>
      <c r="L55" s="3">
        <v>100</v>
      </c>
      <c r="M55" s="5">
        <v>47</v>
      </c>
      <c r="N55" s="5">
        <v>0.9</v>
      </c>
      <c r="O55" s="5">
        <v>11.8</v>
      </c>
      <c r="P55" s="5">
        <v>9.4</v>
      </c>
      <c r="Q55" s="5">
        <v>2.16</v>
      </c>
      <c r="R55" s="5">
        <v>0.1</v>
      </c>
      <c r="S55" s="5">
        <v>0.01</v>
      </c>
      <c r="T55" s="5">
        <v>0.05</v>
      </c>
      <c r="U55" s="5">
        <v>0.03</v>
      </c>
      <c r="V55" s="5">
        <v>0</v>
      </c>
      <c r="W55" s="5">
        <v>2.4</v>
      </c>
      <c r="X55" s="5">
        <v>0</v>
      </c>
      <c r="Y55" s="5">
        <v>181</v>
      </c>
      <c r="Z55" s="5">
        <v>40</v>
      </c>
      <c r="AA55" s="5">
        <v>10</v>
      </c>
      <c r="AB55" s="5">
        <v>0.1</v>
      </c>
      <c r="AC55" s="5">
        <v>0.1</v>
      </c>
      <c r="AD55" s="5">
        <v>53.2</v>
      </c>
      <c r="AE55" s="5">
        <v>30</v>
      </c>
      <c r="AF55" s="5">
        <v>43</v>
      </c>
      <c r="AG55" s="5">
        <v>5.0999999999999996</v>
      </c>
      <c r="AH55" s="4" t="s">
        <v>77</v>
      </c>
      <c r="AI55" s="4" t="s">
        <v>65</v>
      </c>
      <c r="AJ55" s="4" t="s">
        <v>87</v>
      </c>
    </row>
    <row r="56" spans="1:36" ht="27.75" customHeight="1" x14ac:dyDescent="0.2">
      <c r="A56" s="3">
        <v>262</v>
      </c>
      <c r="B56" s="4" t="s">
        <v>370</v>
      </c>
      <c r="C56" s="4" t="s">
        <v>308</v>
      </c>
      <c r="D56" s="4" t="s">
        <v>361</v>
      </c>
      <c r="E56" s="4" t="s">
        <v>322</v>
      </c>
      <c r="F56" s="4" t="s">
        <v>63</v>
      </c>
      <c r="G56" s="4" t="s">
        <v>64</v>
      </c>
      <c r="H56" s="3" t="b">
        <f>FALSE()</f>
        <v>0</v>
      </c>
      <c r="I56" s="3" t="b">
        <f>FALSE()</f>
        <v>0</v>
      </c>
      <c r="J56" s="3" t="b">
        <f>TRUE()</f>
        <v>1</v>
      </c>
      <c r="K56" s="4" t="s">
        <v>87</v>
      </c>
      <c r="L56" s="3">
        <v>100</v>
      </c>
      <c r="M56" s="5">
        <v>141</v>
      </c>
      <c r="N56" s="5">
        <v>2.52</v>
      </c>
      <c r="O56" s="5">
        <v>33.04</v>
      </c>
      <c r="P56" s="5">
        <v>26.32</v>
      </c>
      <c r="Q56" s="5">
        <v>6.05</v>
      </c>
      <c r="R56" s="5">
        <v>0.28000000000000003</v>
      </c>
      <c r="S56" s="5">
        <v>0.03</v>
      </c>
      <c r="T56" s="5">
        <v>0.14000000000000001</v>
      </c>
      <c r="U56" s="5">
        <v>0.09</v>
      </c>
      <c r="V56" s="5">
        <v>0</v>
      </c>
      <c r="W56" s="5">
        <v>6.72</v>
      </c>
      <c r="X56" s="5">
        <v>0</v>
      </c>
      <c r="Y56" s="5">
        <v>506.8</v>
      </c>
      <c r="Z56" s="5">
        <v>112</v>
      </c>
      <c r="AA56" s="5">
        <v>28</v>
      </c>
      <c r="AB56" s="5">
        <v>0.28000000000000003</v>
      </c>
      <c r="AC56" s="5">
        <v>0.28000000000000003</v>
      </c>
      <c r="AD56" s="5">
        <v>149</v>
      </c>
      <c r="AE56" s="5">
        <v>84</v>
      </c>
      <c r="AF56" s="5">
        <v>43</v>
      </c>
      <c r="AG56" s="5">
        <v>14.2</v>
      </c>
      <c r="AH56" s="4" t="s">
        <v>66</v>
      </c>
      <c r="AI56" s="4" t="s">
        <v>87</v>
      </c>
      <c r="AJ56" s="4" t="s">
        <v>87</v>
      </c>
    </row>
    <row r="57" spans="1:36" ht="27.75" customHeight="1" x14ac:dyDescent="0.2">
      <c r="A57" s="3">
        <v>268</v>
      </c>
      <c r="B57" s="4" t="s">
        <v>1298</v>
      </c>
      <c r="C57" s="4" t="s">
        <v>308</v>
      </c>
      <c r="D57" s="4" t="s">
        <v>361</v>
      </c>
      <c r="E57" s="4" t="s">
        <v>310</v>
      </c>
      <c r="F57" s="4" t="s">
        <v>63</v>
      </c>
      <c r="G57" s="4" t="s">
        <v>64</v>
      </c>
      <c r="H57" s="3" t="b">
        <f>FALSE()</f>
        <v>0</v>
      </c>
      <c r="I57" s="3" t="b">
        <f>FALSE()</f>
        <v>0</v>
      </c>
      <c r="J57" s="3" t="b">
        <f>TRUE()</f>
        <v>1</v>
      </c>
      <c r="K57" s="4" t="s">
        <v>87</v>
      </c>
      <c r="L57" s="3">
        <v>100</v>
      </c>
      <c r="M57" s="5">
        <v>53</v>
      </c>
      <c r="N57" s="5">
        <v>0.8</v>
      </c>
      <c r="O57" s="5">
        <v>13.3</v>
      </c>
      <c r="P57" s="5">
        <v>10.6</v>
      </c>
      <c r="Q57" s="5">
        <v>2.52</v>
      </c>
      <c r="R57" s="5">
        <v>0.3</v>
      </c>
      <c r="S57" s="5">
        <v>0.04</v>
      </c>
      <c r="T57" s="5">
        <v>0.14000000000000001</v>
      </c>
      <c r="U57" s="5">
        <v>0.09</v>
      </c>
      <c r="V57" s="5">
        <v>0</v>
      </c>
      <c r="W57" s="5">
        <v>1.8</v>
      </c>
      <c r="X57" s="5">
        <v>2</v>
      </c>
      <c r="Y57" s="5">
        <v>166</v>
      </c>
      <c r="Z57" s="5">
        <v>37</v>
      </c>
      <c r="AA57" s="5">
        <v>12</v>
      </c>
      <c r="AB57" s="5">
        <v>0.2</v>
      </c>
      <c r="AC57" s="5">
        <v>0.1</v>
      </c>
      <c r="AD57" s="5">
        <v>26.7</v>
      </c>
      <c r="AE57" s="5">
        <v>16</v>
      </c>
      <c r="AF57" s="5">
        <v>47</v>
      </c>
      <c r="AG57" s="5">
        <v>6.3</v>
      </c>
      <c r="AH57" s="4" t="s">
        <v>77</v>
      </c>
      <c r="AI57" s="4" t="s">
        <v>65</v>
      </c>
      <c r="AJ57" s="4" t="s">
        <v>87</v>
      </c>
    </row>
    <row r="58" spans="1:36" ht="27.75" customHeight="1" x14ac:dyDescent="0.2">
      <c r="A58" s="3">
        <v>283</v>
      </c>
      <c r="B58" s="4" t="s">
        <v>1299</v>
      </c>
      <c r="C58" s="4" t="s">
        <v>308</v>
      </c>
      <c r="D58" s="4" t="s">
        <v>309</v>
      </c>
      <c r="E58" s="4" t="s">
        <v>310</v>
      </c>
      <c r="F58" s="4" t="s">
        <v>63</v>
      </c>
      <c r="G58" s="4" t="s">
        <v>64</v>
      </c>
      <c r="H58" s="3" t="b">
        <f>FALSE()</f>
        <v>0</v>
      </c>
      <c r="I58" s="3" t="b">
        <f>FALSE()</f>
        <v>0</v>
      </c>
      <c r="J58" s="3" t="b">
        <f>TRUE()</f>
        <v>1</v>
      </c>
      <c r="K58" s="4" t="s">
        <v>87</v>
      </c>
      <c r="L58" s="3">
        <v>100</v>
      </c>
      <c r="M58" s="5">
        <v>61</v>
      </c>
      <c r="N58" s="5">
        <v>1.1000000000000001</v>
      </c>
      <c r="O58" s="5">
        <v>14.7</v>
      </c>
      <c r="P58" s="5">
        <v>9</v>
      </c>
      <c r="Q58" s="5">
        <v>5.4</v>
      </c>
      <c r="R58" s="5">
        <v>0.5</v>
      </c>
      <c r="S58" s="5">
        <v>0.06</v>
      </c>
      <c r="T58" s="5">
        <v>0.24</v>
      </c>
      <c r="U58" s="5">
        <v>0.15</v>
      </c>
      <c r="V58" s="5">
        <v>0</v>
      </c>
      <c r="W58" s="5">
        <v>3</v>
      </c>
      <c r="X58" s="5">
        <v>3</v>
      </c>
      <c r="Y58" s="5">
        <v>312</v>
      </c>
      <c r="Z58" s="5">
        <v>34</v>
      </c>
      <c r="AA58" s="5">
        <v>17</v>
      </c>
      <c r="AB58" s="5">
        <v>0.3</v>
      </c>
      <c r="AC58" s="5">
        <v>0.1</v>
      </c>
      <c r="AD58" s="5">
        <v>92.7</v>
      </c>
      <c r="AE58" s="5">
        <v>25</v>
      </c>
      <c r="AF58" s="5">
        <v>50</v>
      </c>
      <c r="AG58" s="5">
        <v>7.3</v>
      </c>
      <c r="AH58" s="4" t="s">
        <v>77</v>
      </c>
      <c r="AI58" s="4" t="s">
        <v>65</v>
      </c>
      <c r="AJ58" s="4" t="s">
        <v>87</v>
      </c>
    </row>
    <row r="59" spans="1:36" ht="27.75" customHeight="1" x14ac:dyDescent="0.2">
      <c r="A59" s="3">
        <v>298</v>
      </c>
      <c r="B59" s="4" t="s">
        <v>1300</v>
      </c>
      <c r="C59" s="4" t="s">
        <v>308</v>
      </c>
      <c r="D59" s="4" t="s">
        <v>407</v>
      </c>
      <c r="E59" s="4" t="s">
        <v>310</v>
      </c>
      <c r="F59" s="4" t="s">
        <v>63</v>
      </c>
      <c r="G59" s="4" t="s">
        <v>64</v>
      </c>
      <c r="H59" s="3" t="b">
        <f>FALSE()</f>
        <v>0</v>
      </c>
      <c r="I59" s="3" t="b">
        <f>FALSE()</f>
        <v>0</v>
      </c>
      <c r="J59" s="3" t="b">
        <f>TRUE()</f>
        <v>1</v>
      </c>
      <c r="K59" s="4" t="s">
        <v>87</v>
      </c>
      <c r="L59" s="3">
        <v>100</v>
      </c>
      <c r="M59" s="5">
        <v>32</v>
      </c>
      <c r="N59" s="5">
        <v>0.7</v>
      </c>
      <c r="O59" s="5">
        <v>7.7</v>
      </c>
      <c r="P59" s="5">
        <v>4.9000000000000004</v>
      </c>
      <c r="Q59" s="5">
        <v>2.6</v>
      </c>
      <c r="R59" s="5">
        <v>0.3</v>
      </c>
      <c r="S59" s="5">
        <v>0.04</v>
      </c>
      <c r="T59" s="5">
        <v>0.14000000000000001</v>
      </c>
      <c r="U59" s="5">
        <v>0.09</v>
      </c>
      <c r="V59" s="5">
        <v>0.1</v>
      </c>
      <c r="W59" s="5">
        <v>2</v>
      </c>
      <c r="X59" s="5">
        <v>1</v>
      </c>
      <c r="Y59" s="5">
        <v>153</v>
      </c>
      <c r="Z59" s="5">
        <v>16</v>
      </c>
      <c r="AA59" s="5">
        <v>13</v>
      </c>
      <c r="AB59" s="5">
        <v>0.4</v>
      </c>
      <c r="AC59" s="5">
        <v>0.1</v>
      </c>
      <c r="AD59" s="5">
        <v>58.8</v>
      </c>
      <c r="AE59" s="5">
        <v>24</v>
      </c>
      <c r="AF59" s="5">
        <v>40</v>
      </c>
      <c r="AG59" s="5">
        <v>3.1</v>
      </c>
      <c r="AH59" s="4" t="s">
        <v>77</v>
      </c>
      <c r="AI59" s="4" t="s">
        <v>65</v>
      </c>
      <c r="AJ59" s="4" t="s">
        <v>87</v>
      </c>
    </row>
    <row r="60" spans="1:36" ht="27.75" customHeight="1" x14ac:dyDescent="0.2">
      <c r="A60" s="3">
        <v>307</v>
      </c>
      <c r="B60" s="4" t="s">
        <v>410</v>
      </c>
      <c r="C60" s="4" t="s">
        <v>308</v>
      </c>
      <c r="D60" s="4" t="s">
        <v>407</v>
      </c>
      <c r="E60" s="4" t="s">
        <v>322</v>
      </c>
      <c r="F60" s="4" t="s">
        <v>63</v>
      </c>
      <c r="G60" s="4" t="s">
        <v>64</v>
      </c>
      <c r="H60" s="3" t="b">
        <f>FALSE()</f>
        <v>0</v>
      </c>
      <c r="I60" s="3" t="b">
        <f>FALSE()</f>
        <v>0</v>
      </c>
      <c r="J60" s="3" t="b">
        <f>TRUE()</f>
        <v>1</v>
      </c>
      <c r="K60" s="4" t="s">
        <v>87</v>
      </c>
      <c r="L60" s="3">
        <v>100</v>
      </c>
      <c r="M60" s="5">
        <v>96</v>
      </c>
      <c r="N60" s="5">
        <v>1.96</v>
      </c>
      <c r="O60" s="5">
        <v>21.56</v>
      </c>
      <c r="P60" s="5">
        <v>13.72</v>
      </c>
      <c r="Q60" s="5">
        <v>7.28</v>
      </c>
      <c r="R60" s="5">
        <v>0.84</v>
      </c>
      <c r="S60" s="5">
        <v>0.1</v>
      </c>
      <c r="T60" s="5">
        <v>0.41</v>
      </c>
      <c r="U60" s="5">
        <v>0.26</v>
      </c>
      <c r="V60" s="5">
        <v>0.28000000000000003</v>
      </c>
      <c r="W60" s="5">
        <v>5.6</v>
      </c>
      <c r="X60" s="5">
        <v>1</v>
      </c>
      <c r="Y60" s="5">
        <v>428.4</v>
      </c>
      <c r="Z60" s="5">
        <v>44.8</v>
      </c>
      <c r="AA60" s="5">
        <v>36.4</v>
      </c>
      <c r="AB60" s="5">
        <v>1.1200000000000001</v>
      </c>
      <c r="AC60" s="5">
        <v>0.28000000000000003</v>
      </c>
      <c r="AD60" s="5">
        <v>164.6</v>
      </c>
      <c r="AE60" s="5">
        <v>67.2</v>
      </c>
      <c r="AF60" s="5">
        <v>40</v>
      </c>
      <c r="AG60" s="5">
        <v>8.6</v>
      </c>
      <c r="AH60" s="4" t="s">
        <v>66</v>
      </c>
      <c r="AI60" s="4" t="s">
        <v>87</v>
      </c>
      <c r="AJ60" s="4" t="s">
        <v>87</v>
      </c>
    </row>
    <row r="61" spans="1:36" ht="27.75" customHeight="1" x14ac:dyDescent="0.2">
      <c r="A61" s="3">
        <v>310</v>
      </c>
      <c r="B61" s="4" t="s">
        <v>411</v>
      </c>
      <c r="C61" s="4" t="s">
        <v>308</v>
      </c>
      <c r="D61" s="4" t="s">
        <v>407</v>
      </c>
      <c r="E61" s="4" t="s">
        <v>326</v>
      </c>
      <c r="F61" s="4" t="s">
        <v>63</v>
      </c>
      <c r="G61" s="4" t="s">
        <v>64</v>
      </c>
      <c r="H61" s="3" t="b">
        <f>FALSE()</f>
        <v>0</v>
      </c>
      <c r="I61" s="3" t="b">
        <f>FALSE()</f>
        <v>0</v>
      </c>
      <c r="J61" s="3" t="b">
        <f>TRUE()</f>
        <v>1</v>
      </c>
      <c r="K61" s="4" t="s">
        <v>87</v>
      </c>
      <c r="L61" s="3">
        <v>100</v>
      </c>
      <c r="M61" s="5">
        <v>31.4</v>
      </c>
      <c r="N61" s="5">
        <v>0.69</v>
      </c>
      <c r="O61" s="5">
        <v>7.55</v>
      </c>
      <c r="P61" s="5">
        <v>4.8</v>
      </c>
      <c r="Q61" s="5">
        <v>2.5499999999999998</v>
      </c>
      <c r="R61" s="5">
        <v>0.28999999999999998</v>
      </c>
      <c r="S61" s="5">
        <v>0.03</v>
      </c>
      <c r="T61" s="5">
        <v>0.14000000000000001</v>
      </c>
      <c r="U61" s="5">
        <v>0.09</v>
      </c>
      <c r="V61" s="5">
        <v>0.1</v>
      </c>
      <c r="W61" s="5">
        <v>1.96</v>
      </c>
      <c r="X61" s="5">
        <v>1</v>
      </c>
      <c r="Y61" s="5">
        <v>149.9</v>
      </c>
      <c r="Z61" s="5">
        <v>15.7</v>
      </c>
      <c r="AA61" s="5">
        <v>12.7</v>
      </c>
      <c r="AB61" s="5">
        <v>0.39</v>
      </c>
      <c r="AC61" s="5">
        <v>0.1</v>
      </c>
      <c r="AD61" s="5">
        <v>57.6</v>
      </c>
      <c r="AE61" s="5">
        <v>23.5</v>
      </c>
      <c r="AF61" s="5">
        <v>40</v>
      </c>
      <c r="AG61" s="5">
        <v>3</v>
      </c>
      <c r="AH61" s="4" t="s">
        <v>77</v>
      </c>
      <c r="AI61" s="4" t="s">
        <v>65</v>
      </c>
      <c r="AJ61" s="4" t="s">
        <v>87</v>
      </c>
    </row>
    <row r="62" spans="1:36" ht="27.75" customHeight="1" x14ac:dyDescent="0.2">
      <c r="A62" s="3">
        <v>313</v>
      </c>
      <c r="B62" s="4" t="s">
        <v>412</v>
      </c>
      <c r="C62" s="4" t="s">
        <v>308</v>
      </c>
      <c r="D62" s="4" t="s">
        <v>407</v>
      </c>
      <c r="E62" s="4" t="s">
        <v>310</v>
      </c>
      <c r="F62" s="4" t="s">
        <v>63</v>
      </c>
      <c r="G62" s="4" t="s">
        <v>64</v>
      </c>
      <c r="H62" s="3" t="b">
        <f>FALSE()</f>
        <v>0</v>
      </c>
      <c r="I62" s="3" t="b">
        <f>FALSE()</f>
        <v>0</v>
      </c>
      <c r="J62" s="3" t="b">
        <f>TRUE()</f>
        <v>1</v>
      </c>
      <c r="K62" s="4" t="s">
        <v>87</v>
      </c>
      <c r="L62" s="3">
        <v>100</v>
      </c>
      <c r="M62" s="5">
        <v>57</v>
      </c>
      <c r="N62" s="5">
        <v>0.7</v>
      </c>
      <c r="O62" s="5">
        <v>14.5</v>
      </c>
      <c r="P62" s="5">
        <v>10</v>
      </c>
      <c r="Q62" s="5">
        <v>4.26</v>
      </c>
      <c r="R62" s="5">
        <v>0.3</v>
      </c>
      <c r="S62" s="5">
        <v>0.04</v>
      </c>
      <c r="T62" s="5">
        <v>0.14000000000000001</v>
      </c>
      <c r="U62" s="5">
        <v>0.09</v>
      </c>
      <c r="V62" s="5">
        <v>0.1</v>
      </c>
      <c r="W62" s="5">
        <v>2.4</v>
      </c>
      <c r="X62" s="5">
        <v>1</v>
      </c>
      <c r="Y62" s="5">
        <v>77</v>
      </c>
      <c r="Z62" s="5">
        <v>6</v>
      </c>
      <c r="AA62" s="5">
        <v>6</v>
      </c>
      <c r="AB62" s="5">
        <v>0.3</v>
      </c>
      <c r="AC62" s="5">
        <v>0.2</v>
      </c>
      <c r="AD62" s="5">
        <v>9.6999999999999993</v>
      </c>
      <c r="AE62" s="5">
        <v>6</v>
      </c>
      <c r="AF62" s="5">
        <v>53</v>
      </c>
      <c r="AG62" s="5">
        <v>7.7</v>
      </c>
      <c r="AH62" s="4" t="s">
        <v>77</v>
      </c>
      <c r="AI62" s="4" t="s">
        <v>65</v>
      </c>
      <c r="AJ62" s="4" t="s">
        <v>87</v>
      </c>
    </row>
    <row r="63" spans="1:36" ht="27.75" customHeight="1" x14ac:dyDescent="0.2">
      <c r="A63" s="3">
        <v>322</v>
      </c>
      <c r="B63" s="4" t="s">
        <v>413</v>
      </c>
      <c r="C63" s="4" t="s">
        <v>308</v>
      </c>
      <c r="D63" s="4" t="s">
        <v>407</v>
      </c>
      <c r="E63" s="4" t="s">
        <v>322</v>
      </c>
      <c r="F63" s="4" t="s">
        <v>63</v>
      </c>
      <c r="G63" s="4" t="s">
        <v>64</v>
      </c>
      <c r="H63" s="3" t="b">
        <f>FALSE()</f>
        <v>0</v>
      </c>
      <c r="I63" s="3" t="b">
        <f>FALSE()</f>
        <v>0</v>
      </c>
      <c r="J63" s="3" t="b">
        <f>TRUE()</f>
        <v>1</v>
      </c>
      <c r="K63" s="4" t="s">
        <v>87</v>
      </c>
      <c r="L63" s="3">
        <v>100</v>
      </c>
      <c r="M63" s="5">
        <v>171</v>
      </c>
      <c r="N63" s="5">
        <v>1.96</v>
      </c>
      <c r="O63" s="5">
        <v>40.6</v>
      </c>
      <c r="P63" s="5">
        <v>28</v>
      </c>
      <c r="Q63" s="5">
        <v>11.93</v>
      </c>
      <c r="R63" s="5">
        <v>0.84</v>
      </c>
      <c r="S63" s="5">
        <v>0.1</v>
      </c>
      <c r="T63" s="5">
        <v>0.41</v>
      </c>
      <c r="U63" s="5">
        <v>0.26</v>
      </c>
      <c r="V63" s="5">
        <v>0.28000000000000003</v>
      </c>
      <c r="W63" s="5">
        <v>6.72</v>
      </c>
      <c r="X63" s="5">
        <v>1</v>
      </c>
      <c r="Y63" s="5">
        <v>215.6</v>
      </c>
      <c r="Z63" s="5">
        <v>16.8</v>
      </c>
      <c r="AA63" s="5">
        <v>16.8</v>
      </c>
      <c r="AB63" s="5">
        <v>0.84</v>
      </c>
      <c r="AC63" s="5">
        <v>0.56000000000000005</v>
      </c>
      <c r="AD63" s="5">
        <v>27.2</v>
      </c>
      <c r="AE63" s="5">
        <v>16.8</v>
      </c>
      <c r="AF63" s="5">
        <v>53</v>
      </c>
      <c r="AG63" s="5">
        <v>21.5</v>
      </c>
      <c r="AH63" s="4" t="s">
        <v>66</v>
      </c>
      <c r="AI63" s="4" t="s">
        <v>87</v>
      </c>
      <c r="AJ63" s="4" t="s">
        <v>87</v>
      </c>
    </row>
    <row r="64" spans="1:36" ht="27.75" customHeight="1" x14ac:dyDescent="0.2">
      <c r="A64" s="3">
        <v>325</v>
      </c>
      <c r="B64" s="4" t="s">
        <v>414</v>
      </c>
      <c r="C64" s="4" t="s">
        <v>308</v>
      </c>
      <c r="D64" s="4" t="s">
        <v>407</v>
      </c>
      <c r="E64" s="4" t="s">
        <v>326</v>
      </c>
      <c r="F64" s="4" t="s">
        <v>63</v>
      </c>
      <c r="G64" s="4" t="s">
        <v>64</v>
      </c>
      <c r="H64" s="3" t="b">
        <f>FALSE()</f>
        <v>0</v>
      </c>
      <c r="I64" s="3" t="b">
        <f>FALSE()</f>
        <v>0</v>
      </c>
      <c r="J64" s="3" t="b">
        <f>TRUE()</f>
        <v>1</v>
      </c>
      <c r="K64" s="4" t="s">
        <v>87</v>
      </c>
      <c r="L64" s="3">
        <v>100</v>
      </c>
      <c r="M64" s="5">
        <v>55.9</v>
      </c>
      <c r="N64" s="5">
        <v>0.69</v>
      </c>
      <c r="O64" s="5">
        <v>14.21</v>
      </c>
      <c r="P64" s="5">
        <v>9.8000000000000007</v>
      </c>
      <c r="Q64" s="5">
        <v>4.17</v>
      </c>
      <c r="R64" s="5">
        <v>0.28999999999999998</v>
      </c>
      <c r="S64" s="5">
        <v>0.03</v>
      </c>
      <c r="T64" s="5">
        <v>0.14000000000000001</v>
      </c>
      <c r="U64" s="5">
        <v>0.09</v>
      </c>
      <c r="V64" s="5">
        <v>0.1</v>
      </c>
      <c r="W64" s="5">
        <v>2.35</v>
      </c>
      <c r="X64" s="5">
        <v>1</v>
      </c>
      <c r="Y64" s="5">
        <v>75.5</v>
      </c>
      <c r="Z64" s="5">
        <v>5.9</v>
      </c>
      <c r="AA64" s="5">
        <v>5.9</v>
      </c>
      <c r="AB64" s="5">
        <v>0.28999999999999998</v>
      </c>
      <c r="AC64" s="5">
        <v>0.2</v>
      </c>
      <c r="AD64" s="5">
        <v>9.5</v>
      </c>
      <c r="AE64" s="5">
        <v>5.9</v>
      </c>
      <c r="AF64" s="5">
        <v>53</v>
      </c>
      <c r="AG64" s="5">
        <v>7.5</v>
      </c>
      <c r="AH64" s="4" t="s">
        <v>77</v>
      </c>
      <c r="AI64" s="4" t="s">
        <v>65</v>
      </c>
      <c r="AJ64" s="4" t="s">
        <v>87</v>
      </c>
    </row>
    <row r="65" spans="1:36" ht="27.75" customHeight="1" x14ac:dyDescent="0.2">
      <c r="A65" s="3">
        <v>328</v>
      </c>
      <c r="B65" s="4" t="s">
        <v>1301</v>
      </c>
      <c r="C65" s="4" t="s">
        <v>308</v>
      </c>
      <c r="D65" s="4" t="s">
        <v>407</v>
      </c>
      <c r="E65" s="4" t="s">
        <v>310</v>
      </c>
      <c r="F65" s="4" t="s">
        <v>63</v>
      </c>
      <c r="G65" s="4" t="s">
        <v>64</v>
      </c>
      <c r="H65" s="3" t="b">
        <f>FALSE()</f>
        <v>0</v>
      </c>
      <c r="I65" s="3" t="b">
        <f>FALSE()</f>
        <v>0</v>
      </c>
      <c r="J65" s="3" t="b">
        <f>TRUE()</f>
        <v>1</v>
      </c>
      <c r="K65" s="4" t="s">
        <v>87</v>
      </c>
      <c r="L65" s="3">
        <v>100</v>
      </c>
      <c r="M65" s="5">
        <v>52</v>
      </c>
      <c r="N65" s="5">
        <v>1.2</v>
      </c>
      <c r="O65" s="5">
        <v>12</v>
      </c>
      <c r="P65" s="5">
        <v>4.4000000000000004</v>
      </c>
      <c r="Q65" s="5">
        <v>6.95</v>
      </c>
      <c r="R65" s="5">
        <v>0.7</v>
      </c>
      <c r="S65" s="5">
        <v>0.08</v>
      </c>
      <c r="T65" s="5">
        <v>0.34</v>
      </c>
      <c r="U65" s="5">
        <v>0.22</v>
      </c>
      <c r="V65" s="5">
        <v>0.1</v>
      </c>
      <c r="W65" s="5">
        <v>6.5</v>
      </c>
      <c r="X65" s="5">
        <v>1</v>
      </c>
      <c r="Y65" s="5">
        <v>151</v>
      </c>
      <c r="Z65" s="5">
        <v>25</v>
      </c>
      <c r="AA65" s="5">
        <v>22</v>
      </c>
      <c r="AB65" s="5">
        <v>0.7</v>
      </c>
      <c r="AC65" s="5">
        <v>0.4</v>
      </c>
      <c r="AD65" s="5">
        <v>26.2</v>
      </c>
      <c r="AE65" s="5">
        <v>21</v>
      </c>
      <c r="AF65" s="5">
        <v>32</v>
      </c>
      <c r="AG65" s="5">
        <v>3.8</v>
      </c>
      <c r="AH65" s="4" t="s">
        <v>77</v>
      </c>
      <c r="AI65" s="4" t="s">
        <v>87</v>
      </c>
      <c r="AJ65" s="4" t="s">
        <v>87</v>
      </c>
    </row>
    <row r="66" spans="1:36" ht="27.75" customHeight="1" x14ac:dyDescent="0.2">
      <c r="A66" s="3">
        <v>340</v>
      </c>
      <c r="B66" s="4" t="s">
        <v>415</v>
      </c>
      <c r="C66" s="4" t="s">
        <v>308</v>
      </c>
      <c r="D66" s="4" t="s">
        <v>407</v>
      </c>
      <c r="E66" s="4" t="s">
        <v>326</v>
      </c>
      <c r="F66" s="4" t="s">
        <v>63</v>
      </c>
      <c r="G66" s="4" t="s">
        <v>64</v>
      </c>
      <c r="H66" s="3" t="b">
        <f>FALSE()</f>
        <v>0</v>
      </c>
      <c r="I66" s="3" t="b">
        <f>FALSE()</f>
        <v>0</v>
      </c>
      <c r="J66" s="3" t="b">
        <f>TRUE()</f>
        <v>1</v>
      </c>
      <c r="K66" s="4" t="s">
        <v>87</v>
      </c>
      <c r="L66" s="3">
        <v>100</v>
      </c>
      <c r="M66" s="5">
        <v>51</v>
      </c>
      <c r="N66" s="5">
        <v>1.18</v>
      </c>
      <c r="O66" s="5">
        <v>11.76</v>
      </c>
      <c r="P66" s="5">
        <v>4.3099999999999996</v>
      </c>
      <c r="Q66" s="5">
        <v>6.81</v>
      </c>
      <c r="R66" s="5">
        <v>0.69</v>
      </c>
      <c r="S66" s="5">
        <v>0.08</v>
      </c>
      <c r="T66" s="5">
        <v>0.34</v>
      </c>
      <c r="U66" s="5">
        <v>0.21</v>
      </c>
      <c r="V66" s="5">
        <v>0.1</v>
      </c>
      <c r="W66" s="5">
        <v>6.37</v>
      </c>
      <c r="X66" s="5">
        <v>1</v>
      </c>
      <c r="Y66" s="5">
        <v>148</v>
      </c>
      <c r="Z66" s="5">
        <v>24.5</v>
      </c>
      <c r="AA66" s="5">
        <v>21.6</v>
      </c>
      <c r="AB66" s="5">
        <v>0.69</v>
      </c>
      <c r="AC66" s="5">
        <v>0.39</v>
      </c>
      <c r="AD66" s="5">
        <v>25.7</v>
      </c>
      <c r="AE66" s="5">
        <v>20.6</v>
      </c>
      <c r="AF66" s="5">
        <v>32</v>
      </c>
      <c r="AG66" s="5">
        <v>3.8</v>
      </c>
      <c r="AH66" s="4" t="s">
        <v>77</v>
      </c>
      <c r="AI66" s="4" t="s">
        <v>87</v>
      </c>
      <c r="AJ66" s="4" t="s">
        <v>87</v>
      </c>
    </row>
    <row r="67" spans="1:36" ht="27.75" customHeight="1" x14ac:dyDescent="0.2">
      <c r="A67" s="3">
        <v>343</v>
      </c>
      <c r="B67" s="4" t="s">
        <v>1302</v>
      </c>
      <c r="C67" s="4" t="s">
        <v>308</v>
      </c>
      <c r="D67" s="4" t="s">
        <v>309</v>
      </c>
      <c r="E67" s="4" t="s">
        <v>310</v>
      </c>
      <c r="F67" s="4" t="s">
        <v>63</v>
      </c>
      <c r="G67" s="4" t="s">
        <v>64</v>
      </c>
      <c r="H67" s="3" t="b">
        <f>FALSE()</f>
        <v>0</v>
      </c>
      <c r="I67" s="3" t="b">
        <f>FALSE()</f>
        <v>0</v>
      </c>
      <c r="J67" s="3" t="b">
        <f>TRUE()</f>
        <v>1</v>
      </c>
      <c r="K67" s="4" t="s">
        <v>87</v>
      </c>
      <c r="L67" s="3">
        <v>100</v>
      </c>
      <c r="M67" s="5">
        <v>60</v>
      </c>
      <c r="N67" s="5">
        <v>0.8</v>
      </c>
      <c r="O67" s="5">
        <v>15</v>
      </c>
      <c r="P67" s="5">
        <v>13.7</v>
      </c>
      <c r="Q67" s="5">
        <v>1.1399999999999999</v>
      </c>
      <c r="R67" s="5">
        <v>0.4</v>
      </c>
      <c r="S67" s="5">
        <v>0.05</v>
      </c>
      <c r="T67" s="5">
        <v>0.19</v>
      </c>
      <c r="U67" s="5">
        <v>0.12</v>
      </c>
      <c r="V67" s="5">
        <v>0</v>
      </c>
      <c r="W67" s="5">
        <v>1.6</v>
      </c>
      <c r="X67" s="5">
        <v>1</v>
      </c>
      <c r="Y67" s="5">
        <v>168</v>
      </c>
      <c r="Z67" s="5">
        <v>11</v>
      </c>
      <c r="AA67" s="5">
        <v>10</v>
      </c>
      <c r="AB67" s="5">
        <v>0.2</v>
      </c>
      <c r="AC67" s="5">
        <v>0.1</v>
      </c>
      <c r="AD67" s="5">
        <v>36.4</v>
      </c>
      <c r="AE67" s="5">
        <v>43</v>
      </c>
      <c r="AF67" s="5">
        <v>51</v>
      </c>
      <c r="AG67" s="5">
        <v>7.7</v>
      </c>
      <c r="AH67" s="4" t="s">
        <v>77</v>
      </c>
      <c r="AI67" s="4" t="s">
        <v>65</v>
      </c>
      <c r="AJ67" s="4" t="s">
        <v>87</v>
      </c>
    </row>
    <row r="68" spans="1:36" ht="27.75" customHeight="1" x14ac:dyDescent="0.2">
      <c r="A68" s="3">
        <v>352</v>
      </c>
      <c r="B68" s="4" t="s">
        <v>416</v>
      </c>
      <c r="C68" s="4" t="s">
        <v>308</v>
      </c>
      <c r="D68" s="4" t="s">
        <v>309</v>
      </c>
      <c r="E68" s="4" t="s">
        <v>322</v>
      </c>
      <c r="F68" s="4" t="s">
        <v>63</v>
      </c>
      <c r="G68" s="4" t="s">
        <v>64</v>
      </c>
      <c r="H68" s="3" t="b">
        <f>FALSE()</f>
        <v>0</v>
      </c>
      <c r="I68" s="3" t="b">
        <f>FALSE()</f>
        <v>0</v>
      </c>
      <c r="J68" s="3" t="b">
        <f>TRUE()</f>
        <v>1</v>
      </c>
      <c r="K68" s="4" t="s">
        <v>87</v>
      </c>
      <c r="L68" s="3">
        <v>100</v>
      </c>
      <c r="M68" s="5">
        <v>180</v>
      </c>
      <c r="N68" s="5">
        <v>2.2400000000000002</v>
      </c>
      <c r="O68" s="5">
        <v>42</v>
      </c>
      <c r="P68" s="5">
        <v>38.36</v>
      </c>
      <c r="Q68" s="5">
        <v>3.19</v>
      </c>
      <c r="R68" s="5">
        <v>1.1200000000000001</v>
      </c>
      <c r="S68" s="5">
        <v>0.13</v>
      </c>
      <c r="T68" s="5">
        <v>0.54</v>
      </c>
      <c r="U68" s="5">
        <v>0.35</v>
      </c>
      <c r="V68" s="5">
        <v>0</v>
      </c>
      <c r="W68" s="5">
        <v>4.4800000000000004</v>
      </c>
      <c r="X68" s="5">
        <v>1</v>
      </c>
      <c r="Y68" s="5">
        <v>470.4</v>
      </c>
      <c r="Z68" s="5">
        <v>30.8</v>
      </c>
      <c r="AA68" s="5">
        <v>28</v>
      </c>
      <c r="AB68" s="5">
        <v>0.56000000000000005</v>
      </c>
      <c r="AC68" s="5">
        <v>0.28000000000000003</v>
      </c>
      <c r="AD68" s="5">
        <v>101.9</v>
      </c>
      <c r="AE68" s="5">
        <v>120.4</v>
      </c>
      <c r="AF68" s="5">
        <v>51</v>
      </c>
      <c r="AG68" s="5">
        <v>21.4</v>
      </c>
      <c r="AH68" s="4" t="s">
        <v>66</v>
      </c>
      <c r="AI68" s="4" t="s">
        <v>87</v>
      </c>
      <c r="AJ68" s="4" t="s">
        <v>87</v>
      </c>
    </row>
    <row r="69" spans="1:36" ht="27.75" customHeight="1" x14ac:dyDescent="0.2">
      <c r="A69" s="3">
        <v>355</v>
      </c>
      <c r="B69" s="4" t="s">
        <v>417</v>
      </c>
      <c r="C69" s="4" t="s">
        <v>308</v>
      </c>
      <c r="D69" s="4" t="s">
        <v>309</v>
      </c>
      <c r="E69" s="4" t="s">
        <v>326</v>
      </c>
      <c r="F69" s="4" t="s">
        <v>63</v>
      </c>
      <c r="G69" s="4" t="s">
        <v>64</v>
      </c>
      <c r="H69" s="3" t="b">
        <f>FALSE()</f>
        <v>0</v>
      </c>
      <c r="I69" s="3" t="b">
        <f>FALSE()</f>
        <v>0</v>
      </c>
      <c r="J69" s="3" t="b">
        <f>TRUE()</f>
        <v>1</v>
      </c>
      <c r="K69" s="4" t="s">
        <v>87</v>
      </c>
      <c r="L69" s="3">
        <v>100</v>
      </c>
      <c r="M69" s="5">
        <v>58.8</v>
      </c>
      <c r="N69" s="5">
        <v>0.78</v>
      </c>
      <c r="O69" s="5">
        <v>14.7</v>
      </c>
      <c r="P69" s="5">
        <v>13.43</v>
      </c>
      <c r="Q69" s="5">
        <v>1.1100000000000001</v>
      </c>
      <c r="R69" s="5">
        <v>0.39</v>
      </c>
      <c r="S69" s="5">
        <v>0.05</v>
      </c>
      <c r="T69" s="5">
        <v>0.19</v>
      </c>
      <c r="U69" s="5">
        <v>0.12</v>
      </c>
      <c r="V69" s="5">
        <v>0</v>
      </c>
      <c r="W69" s="5">
        <v>1.57</v>
      </c>
      <c r="X69" s="5">
        <v>1</v>
      </c>
      <c r="Y69" s="5">
        <v>164.6</v>
      </c>
      <c r="Z69" s="5">
        <v>10.8</v>
      </c>
      <c r="AA69" s="5">
        <v>9.8000000000000007</v>
      </c>
      <c r="AB69" s="5">
        <v>0.2</v>
      </c>
      <c r="AC69" s="5">
        <v>0.1</v>
      </c>
      <c r="AD69" s="5">
        <v>35.700000000000003</v>
      </c>
      <c r="AE69" s="5">
        <v>42.1</v>
      </c>
      <c r="AF69" s="5">
        <v>51</v>
      </c>
      <c r="AG69" s="5">
        <v>7.5</v>
      </c>
      <c r="AH69" s="4" t="s">
        <v>77</v>
      </c>
      <c r="AI69" s="4" t="s">
        <v>65</v>
      </c>
      <c r="AJ69" s="4" t="s">
        <v>87</v>
      </c>
    </row>
    <row r="70" spans="1:36" ht="27.75" customHeight="1" x14ac:dyDescent="0.2">
      <c r="A70" s="3">
        <v>361</v>
      </c>
      <c r="B70" s="4" t="s">
        <v>418</v>
      </c>
      <c r="C70" s="4" t="s">
        <v>308</v>
      </c>
      <c r="D70" s="4" t="s">
        <v>309</v>
      </c>
      <c r="E70" s="4" t="s">
        <v>314</v>
      </c>
      <c r="F70" s="4" t="s">
        <v>63</v>
      </c>
      <c r="G70" s="4" t="s">
        <v>64</v>
      </c>
      <c r="H70" s="3" t="b">
        <f>FALSE()</f>
        <v>0</v>
      </c>
      <c r="I70" s="3" t="b">
        <f>FALSE()</f>
        <v>0</v>
      </c>
      <c r="J70" s="3" t="b">
        <f>TRUE()</f>
        <v>1</v>
      </c>
      <c r="K70" s="4" t="s">
        <v>87</v>
      </c>
      <c r="L70" s="3">
        <v>100</v>
      </c>
      <c r="M70" s="5">
        <v>47.5</v>
      </c>
      <c r="N70" s="5">
        <v>0.48</v>
      </c>
      <c r="O70" s="5">
        <v>12.58</v>
      </c>
      <c r="P70" s="5">
        <v>9.5</v>
      </c>
      <c r="Q70" s="5">
        <v>2.95</v>
      </c>
      <c r="R70" s="5">
        <v>0.1</v>
      </c>
      <c r="S70" s="5">
        <v>0.01</v>
      </c>
      <c r="T70" s="5">
        <v>0.05</v>
      </c>
      <c r="U70" s="5">
        <v>0.03</v>
      </c>
      <c r="V70" s="5">
        <v>0</v>
      </c>
      <c r="W70" s="5">
        <v>1.34</v>
      </c>
      <c r="X70" s="5">
        <v>1</v>
      </c>
      <c r="Y70" s="5">
        <v>104.6</v>
      </c>
      <c r="Z70" s="5">
        <v>12.5</v>
      </c>
      <c r="AA70" s="5">
        <v>11.5</v>
      </c>
      <c r="AB70" s="5">
        <v>0.28999999999999998</v>
      </c>
      <c r="AC70" s="5">
        <v>0.1</v>
      </c>
      <c r="AD70" s="5">
        <v>45.9</v>
      </c>
      <c r="AE70" s="5">
        <v>17.3</v>
      </c>
      <c r="AF70" s="5">
        <v>59</v>
      </c>
      <c r="AG70" s="5">
        <v>7.4</v>
      </c>
      <c r="AH70" s="4" t="s">
        <v>77</v>
      </c>
      <c r="AI70" s="4" t="s">
        <v>65</v>
      </c>
      <c r="AJ70" s="4" t="s">
        <v>87</v>
      </c>
    </row>
    <row r="71" spans="1:36" ht="27.75" customHeight="1" x14ac:dyDescent="0.2">
      <c r="A71" s="3">
        <v>367</v>
      </c>
      <c r="B71" s="4" t="s">
        <v>419</v>
      </c>
      <c r="C71" s="4" t="s">
        <v>308</v>
      </c>
      <c r="D71" s="4" t="s">
        <v>309</v>
      </c>
      <c r="E71" s="4" t="s">
        <v>322</v>
      </c>
      <c r="F71" s="4" t="s">
        <v>63</v>
      </c>
      <c r="G71" s="4" t="s">
        <v>64</v>
      </c>
      <c r="H71" s="3" t="b">
        <f>FALSE()</f>
        <v>0</v>
      </c>
      <c r="I71" s="3" t="b">
        <f>FALSE()</f>
        <v>0</v>
      </c>
      <c r="J71" s="3" t="b">
        <f>TRUE()</f>
        <v>1</v>
      </c>
      <c r="K71" s="4" t="s">
        <v>87</v>
      </c>
      <c r="L71" s="3">
        <v>100</v>
      </c>
      <c r="M71" s="5">
        <v>150</v>
      </c>
      <c r="N71" s="5">
        <v>1.4</v>
      </c>
      <c r="O71" s="5">
        <v>36.68</v>
      </c>
      <c r="P71" s="5">
        <v>27.72</v>
      </c>
      <c r="Q71" s="5">
        <v>8.57</v>
      </c>
      <c r="R71" s="5">
        <v>0.28000000000000003</v>
      </c>
      <c r="S71" s="5">
        <v>0.03</v>
      </c>
      <c r="T71" s="5">
        <v>0.14000000000000001</v>
      </c>
      <c r="U71" s="5">
        <v>0.09</v>
      </c>
      <c r="V71" s="5">
        <v>0</v>
      </c>
      <c r="W71" s="5">
        <v>3.92</v>
      </c>
      <c r="X71" s="5">
        <v>1</v>
      </c>
      <c r="Y71" s="5">
        <v>305.2</v>
      </c>
      <c r="Z71" s="5">
        <v>36.4</v>
      </c>
      <c r="AA71" s="5">
        <v>33.6</v>
      </c>
      <c r="AB71" s="5">
        <v>0.84</v>
      </c>
      <c r="AC71" s="5">
        <v>0.28000000000000003</v>
      </c>
      <c r="AD71" s="5">
        <v>133.80000000000001</v>
      </c>
      <c r="AE71" s="5">
        <v>50.4</v>
      </c>
      <c r="AF71" s="5">
        <v>59</v>
      </c>
      <c r="AG71" s="5">
        <v>21.6</v>
      </c>
      <c r="AH71" s="4" t="s">
        <v>66</v>
      </c>
      <c r="AI71" s="4" t="s">
        <v>87</v>
      </c>
      <c r="AJ71" s="4" t="s">
        <v>87</v>
      </c>
    </row>
    <row r="72" spans="1:36" ht="27.75" customHeight="1" x14ac:dyDescent="0.2">
      <c r="A72" s="3">
        <v>370</v>
      </c>
      <c r="B72" s="4" t="s">
        <v>420</v>
      </c>
      <c r="C72" s="4" t="s">
        <v>308</v>
      </c>
      <c r="D72" s="4" t="s">
        <v>309</v>
      </c>
      <c r="E72" s="4" t="s">
        <v>326</v>
      </c>
      <c r="F72" s="4" t="s">
        <v>63</v>
      </c>
      <c r="G72" s="4" t="s">
        <v>64</v>
      </c>
      <c r="H72" s="3" t="b">
        <f>FALSE()</f>
        <v>0</v>
      </c>
      <c r="I72" s="3" t="b">
        <f>FALSE()</f>
        <v>0</v>
      </c>
      <c r="J72" s="3" t="b">
        <f>TRUE()</f>
        <v>1</v>
      </c>
      <c r="K72" s="4" t="s">
        <v>87</v>
      </c>
      <c r="L72" s="3">
        <v>100</v>
      </c>
      <c r="M72" s="5">
        <v>49</v>
      </c>
      <c r="N72" s="5">
        <v>0.49</v>
      </c>
      <c r="O72" s="5">
        <v>12.84</v>
      </c>
      <c r="P72" s="5">
        <v>9.6999999999999993</v>
      </c>
      <c r="Q72" s="5">
        <v>3</v>
      </c>
      <c r="R72" s="5">
        <v>0.1</v>
      </c>
      <c r="S72" s="5">
        <v>0.01</v>
      </c>
      <c r="T72" s="5">
        <v>0.05</v>
      </c>
      <c r="U72" s="5">
        <v>0.03</v>
      </c>
      <c r="V72" s="5">
        <v>0</v>
      </c>
      <c r="W72" s="5">
        <v>1.37</v>
      </c>
      <c r="X72" s="5">
        <v>1</v>
      </c>
      <c r="Y72" s="5">
        <v>106.8</v>
      </c>
      <c r="Z72" s="5">
        <v>12.7</v>
      </c>
      <c r="AA72" s="5">
        <v>11.8</v>
      </c>
      <c r="AB72" s="5">
        <v>0.28999999999999998</v>
      </c>
      <c r="AC72" s="5">
        <v>0.1</v>
      </c>
      <c r="AD72" s="5">
        <v>46.8</v>
      </c>
      <c r="AE72" s="5">
        <v>17.600000000000001</v>
      </c>
      <c r="AF72" s="5">
        <v>59</v>
      </c>
      <c r="AG72" s="5">
        <v>7.6</v>
      </c>
      <c r="AH72" s="4" t="s">
        <v>77</v>
      </c>
      <c r="AI72" s="4" t="s">
        <v>65</v>
      </c>
      <c r="AJ72" s="4" t="s">
        <v>87</v>
      </c>
    </row>
    <row r="73" spans="1:36" ht="27.75" customHeight="1" x14ac:dyDescent="0.2">
      <c r="A73" s="3">
        <v>373</v>
      </c>
      <c r="B73" s="4" t="s">
        <v>1303</v>
      </c>
      <c r="C73" s="4" t="s">
        <v>308</v>
      </c>
      <c r="D73" s="4" t="s">
        <v>407</v>
      </c>
      <c r="E73" s="4" t="s">
        <v>310</v>
      </c>
      <c r="F73" s="4" t="s">
        <v>63</v>
      </c>
      <c r="G73" s="4" t="s">
        <v>64</v>
      </c>
      <c r="H73" s="3" t="b">
        <f>FALSE()</f>
        <v>0</v>
      </c>
      <c r="I73" s="3" t="b">
        <f>FALSE()</f>
        <v>0</v>
      </c>
      <c r="J73" s="3" t="b">
        <f>TRUE()</f>
        <v>1</v>
      </c>
      <c r="K73" s="4" t="s">
        <v>87</v>
      </c>
      <c r="L73" s="3">
        <v>100</v>
      </c>
      <c r="M73" s="5">
        <v>69</v>
      </c>
      <c r="N73" s="5">
        <v>0.7</v>
      </c>
      <c r="O73" s="5">
        <v>18</v>
      </c>
      <c r="P73" s="5">
        <v>15.5</v>
      </c>
      <c r="Q73" s="5">
        <v>2.41</v>
      </c>
      <c r="R73" s="5">
        <v>0.2</v>
      </c>
      <c r="S73" s="5">
        <v>0.02</v>
      </c>
      <c r="T73" s="5">
        <v>0.1</v>
      </c>
      <c r="U73" s="5">
        <v>0.06</v>
      </c>
      <c r="V73" s="5">
        <v>0</v>
      </c>
      <c r="W73" s="5">
        <v>0.9</v>
      </c>
      <c r="X73" s="5">
        <v>2</v>
      </c>
      <c r="Y73" s="5">
        <v>191</v>
      </c>
      <c r="Z73" s="5">
        <v>10</v>
      </c>
      <c r="AA73" s="5">
        <v>7</v>
      </c>
      <c r="AB73" s="5">
        <v>0.4</v>
      </c>
      <c r="AC73" s="5">
        <v>0.1</v>
      </c>
      <c r="AD73" s="5">
        <v>10.8</v>
      </c>
      <c r="AE73" s="5">
        <v>2</v>
      </c>
      <c r="AF73" s="5">
        <v>53</v>
      </c>
      <c r="AG73" s="5">
        <v>9.5</v>
      </c>
      <c r="AH73" s="4" t="s">
        <v>77</v>
      </c>
      <c r="AI73" s="4" t="s">
        <v>65</v>
      </c>
      <c r="AJ73" s="4" t="s">
        <v>87</v>
      </c>
    </row>
    <row r="74" spans="1:36" ht="27.75" customHeight="1" x14ac:dyDescent="0.2">
      <c r="A74" s="3">
        <v>382</v>
      </c>
      <c r="B74" s="4" t="s">
        <v>421</v>
      </c>
      <c r="C74" s="4" t="s">
        <v>308</v>
      </c>
      <c r="D74" s="4" t="s">
        <v>407</v>
      </c>
      <c r="E74" s="4" t="s">
        <v>322</v>
      </c>
      <c r="F74" s="4" t="s">
        <v>63</v>
      </c>
      <c r="G74" s="4" t="s">
        <v>64</v>
      </c>
      <c r="H74" s="3" t="b">
        <f>FALSE()</f>
        <v>0</v>
      </c>
      <c r="I74" s="3" t="b">
        <f>FALSE()</f>
        <v>0</v>
      </c>
      <c r="J74" s="3" t="b">
        <f>TRUE()</f>
        <v>1</v>
      </c>
      <c r="K74" s="4" t="s">
        <v>87</v>
      </c>
      <c r="L74" s="3">
        <v>100</v>
      </c>
      <c r="M74" s="5">
        <v>207</v>
      </c>
      <c r="N74" s="5">
        <v>1.96</v>
      </c>
      <c r="O74" s="5">
        <v>50.4</v>
      </c>
      <c r="P74" s="5">
        <v>43.4</v>
      </c>
      <c r="Q74" s="5">
        <v>6.75</v>
      </c>
      <c r="R74" s="5">
        <v>0.56000000000000005</v>
      </c>
      <c r="S74" s="5">
        <v>7.0000000000000007E-2</v>
      </c>
      <c r="T74" s="5">
        <v>0.27</v>
      </c>
      <c r="U74" s="5">
        <v>0.17</v>
      </c>
      <c r="V74" s="5">
        <v>0</v>
      </c>
      <c r="W74" s="5">
        <v>2.52</v>
      </c>
      <c r="X74" s="5">
        <v>2</v>
      </c>
      <c r="Y74" s="5">
        <v>534.79999999999995</v>
      </c>
      <c r="Z74" s="5">
        <v>28</v>
      </c>
      <c r="AA74" s="5">
        <v>19.600000000000001</v>
      </c>
      <c r="AB74" s="5">
        <v>1.1200000000000001</v>
      </c>
      <c r="AC74" s="5">
        <v>0.28000000000000003</v>
      </c>
      <c r="AD74" s="5">
        <v>30.2</v>
      </c>
      <c r="AE74" s="5">
        <v>5.6</v>
      </c>
      <c r="AF74" s="5">
        <v>53</v>
      </c>
      <c r="AG74" s="5">
        <v>26.7</v>
      </c>
      <c r="AH74" s="4" t="s">
        <v>66</v>
      </c>
      <c r="AI74" s="4" t="s">
        <v>65</v>
      </c>
      <c r="AJ74" s="4" t="s">
        <v>87</v>
      </c>
    </row>
    <row r="75" spans="1:36" ht="27.75" customHeight="1" x14ac:dyDescent="0.2">
      <c r="A75" s="3">
        <v>388</v>
      </c>
      <c r="B75" s="4" t="s">
        <v>1304</v>
      </c>
      <c r="C75" s="4" t="s">
        <v>308</v>
      </c>
      <c r="D75" s="4" t="s">
        <v>422</v>
      </c>
      <c r="E75" s="4" t="s">
        <v>310</v>
      </c>
      <c r="F75" s="4" t="s">
        <v>63</v>
      </c>
      <c r="G75" s="4" t="s">
        <v>64</v>
      </c>
      <c r="H75" s="3" t="b">
        <f>FALSE()</f>
        <v>0</v>
      </c>
      <c r="I75" s="3" t="b">
        <f>FALSE()</f>
        <v>0</v>
      </c>
      <c r="J75" s="3" t="b">
        <f>TRUE()</f>
        <v>1</v>
      </c>
      <c r="K75" s="4" t="s">
        <v>87</v>
      </c>
      <c r="L75" s="3">
        <v>100</v>
      </c>
      <c r="M75" s="5">
        <v>34</v>
      </c>
      <c r="N75" s="5">
        <v>0.8</v>
      </c>
      <c r="O75" s="5">
        <v>8.1999999999999993</v>
      </c>
      <c r="P75" s="5">
        <v>7.9</v>
      </c>
      <c r="Q75" s="5">
        <v>0.21</v>
      </c>
      <c r="R75" s="5">
        <v>0.2</v>
      </c>
      <c r="S75" s="5">
        <v>0.02</v>
      </c>
      <c r="T75" s="5">
        <v>0.1</v>
      </c>
      <c r="U75" s="5">
        <v>0.06</v>
      </c>
      <c r="V75" s="5">
        <v>0</v>
      </c>
      <c r="W75" s="5">
        <v>0.9</v>
      </c>
      <c r="X75" s="5">
        <v>16</v>
      </c>
      <c r="Y75" s="5">
        <v>267</v>
      </c>
      <c r="Z75" s="5">
        <v>9</v>
      </c>
      <c r="AA75" s="5">
        <v>12</v>
      </c>
      <c r="AB75" s="5">
        <v>0.2</v>
      </c>
      <c r="AC75" s="5">
        <v>0.2</v>
      </c>
      <c r="AD75" s="5">
        <v>36.700000000000003</v>
      </c>
      <c r="AE75" s="5">
        <v>21</v>
      </c>
      <c r="AF75" s="5">
        <v>65</v>
      </c>
      <c r="AG75" s="5">
        <v>5.3</v>
      </c>
      <c r="AH75" s="4" t="s">
        <v>77</v>
      </c>
      <c r="AI75" s="4" t="s">
        <v>65</v>
      </c>
      <c r="AJ75" s="4" t="s">
        <v>87</v>
      </c>
    </row>
    <row r="76" spans="1:36" ht="27.75" customHeight="1" x14ac:dyDescent="0.2">
      <c r="A76" s="3">
        <v>403</v>
      </c>
      <c r="B76" s="4" t="s">
        <v>1305</v>
      </c>
      <c r="C76" s="4" t="s">
        <v>308</v>
      </c>
      <c r="D76" s="4" t="s">
        <v>422</v>
      </c>
      <c r="E76" s="4" t="s">
        <v>310</v>
      </c>
      <c r="F76" s="4" t="s">
        <v>63</v>
      </c>
      <c r="G76" s="4" t="s">
        <v>64</v>
      </c>
      <c r="H76" s="3" t="b">
        <f>FALSE()</f>
        <v>0</v>
      </c>
      <c r="I76" s="3" t="b">
        <f>FALSE()</f>
        <v>0</v>
      </c>
      <c r="J76" s="3" t="b">
        <f>TRUE()</f>
        <v>1</v>
      </c>
      <c r="K76" s="4" t="s">
        <v>87</v>
      </c>
      <c r="L76" s="3">
        <v>100</v>
      </c>
      <c r="M76" s="5">
        <v>30</v>
      </c>
      <c r="N76" s="5">
        <v>0.6</v>
      </c>
      <c r="O76" s="5">
        <v>7.6</v>
      </c>
      <c r="P76" s="5">
        <v>6.2</v>
      </c>
      <c r="Q76" s="5">
        <v>1.36</v>
      </c>
      <c r="R76" s="5">
        <v>0.2</v>
      </c>
      <c r="S76" s="5">
        <v>0.02</v>
      </c>
      <c r="T76" s="5">
        <v>0.1</v>
      </c>
      <c r="U76" s="5">
        <v>0.06</v>
      </c>
      <c r="V76" s="5">
        <v>0</v>
      </c>
      <c r="W76" s="5">
        <v>0.4</v>
      </c>
      <c r="X76" s="5">
        <v>1</v>
      </c>
      <c r="Y76" s="5">
        <v>112</v>
      </c>
      <c r="Z76" s="5">
        <v>7</v>
      </c>
      <c r="AA76" s="5">
        <v>10</v>
      </c>
      <c r="AB76" s="5">
        <v>0.2</v>
      </c>
      <c r="AC76" s="5">
        <v>0.1</v>
      </c>
      <c r="AD76" s="5">
        <v>8.1</v>
      </c>
      <c r="AE76" s="5">
        <v>3</v>
      </c>
      <c r="AF76" s="5">
        <v>72</v>
      </c>
      <c r="AG76" s="5">
        <v>5.5</v>
      </c>
      <c r="AH76" s="4" t="s">
        <v>77</v>
      </c>
      <c r="AI76" s="4" t="s">
        <v>65</v>
      </c>
      <c r="AJ76" s="4" t="s">
        <v>87</v>
      </c>
    </row>
    <row r="77" spans="1:36" ht="27.75" customHeight="1" x14ac:dyDescent="0.2">
      <c r="A77" s="3">
        <v>418</v>
      </c>
      <c r="B77" s="4" t="s">
        <v>1306</v>
      </c>
      <c r="C77" s="4" t="s">
        <v>308</v>
      </c>
      <c r="D77" s="4" t="s">
        <v>423</v>
      </c>
      <c r="E77" s="4" t="s">
        <v>310</v>
      </c>
      <c r="F77" s="4" t="s">
        <v>63</v>
      </c>
      <c r="G77" s="4" t="s">
        <v>64</v>
      </c>
      <c r="H77" s="3" t="b">
        <f>FALSE()</f>
        <v>0</v>
      </c>
      <c r="I77" s="3" t="b">
        <f>FALSE()</f>
        <v>0</v>
      </c>
      <c r="J77" s="3" t="b">
        <f>TRUE()</f>
        <v>1</v>
      </c>
      <c r="K77" s="4" t="s">
        <v>87</v>
      </c>
      <c r="L77" s="3">
        <v>100</v>
      </c>
      <c r="M77" s="5">
        <v>282</v>
      </c>
      <c r="N77" s="5">
        <v>2.5</v>
      </c>
      <c r="O77" s="5">
        <v>75</v>
      </c>
      <c r="P77" s="5">
        <v>63</v>
      </c>
      <c r="Q77" s="5">
        <v>11.2</v>
      </c>
      <c r="R77" s="5">
        <v>0.4</v>
      </c>
      <c r="S77" s="5">
        <v>0.05</v>
      </c>
      <c r="T77" s="5">
        <v>0.19</v>
      </c>
      <c r="U77" s="5">
        <v>0.12</v>
      </c>
      <c r="V77" s="5">
        <v>0</v>
      </c>
      <c r="W77" s="5">
        <v>8</v>
      </c>
      <c r="X77" s="5">
        <v>2</v>
      </c>
      <c r="Y77" s="5">
        <v>656</v>
      </c>
      <c r="Z77" s="5">
        <v>39</v>
      </c>
      <c r="AA77" s="5">
        <v>43</v>
      </c>
      <c r="AB77" s="5">
        <v>1</v>
      </c>
      <c r="AC77" s="5">
        <v>0.3</v>
      </c>
      <c r="AD77" s="5">
        <v>0.4</v>
      </c>
      <c r="AE77" s="5">
        <v>15</v>
      </c>
      <c r="AF77" s="5">
        <v>42</v>
      </c>
      <c r="AG77" s="5">
        <v>31.5</v>
      </c>
      <c r="AH77" s="4" t="s">
        <v>77</v>
      </c>
      <c r="AI77" s="4" t="s">
        <v>87</v>
      </c>
      <c r="AJ77" s="4" t="s">
        <v>87</v>
      </c>
    </row>
    <row r="78" spans="1:36" ht="27.75" customHeight="1" x14ac:dyDescent="0.2">
      <c r="A78" s="3">
        <v>424</v>
      </c>
      <c r="B78" s="4" t="s">
        <v>1307</v>
      </c>
      <c r="C78" s="4" t="s">
        <v>308</v>
      </c>
      <c r="D78" s="4" t="s">
        <v>423</v>
      </c>
      <c r="E78" s="4" t="s">
        <v>318</v>
      </c>
      <c r="F78" s="4" t="s">
        <v>63</v>
      </c>
      <c r="G78" s="4" t="s">
        <v>64</v>
      </c>
      <c r="H78" s="3" t="b">
        <f>FALSE()</f>
        <v>0</v>
      </c>
      <c r="I78" s="3" t="b">
        <f>FALSE()</f>
        <v>0</v>
      </c>
      <c r="J78" s="3" t="b">
        <f>TRUE()</f>
        <v>1</v>
      </c>
      <c r="K78" s="4" t="s">
        <v>87</v>
      </c>
      <c r="L78" s="3">
        <v>100</v>
      </c>
      <c r="M78" s="5">
        <v>231.2</v>
      </c>
      <c r="N78" s="5">
        <v>2.12</v>
      </c>
      <c r="O78" s="5">
        <v>63.75</v>
      </c>
      <c r="P78" s="5">
        <v>53.55</v>
      </c>
      <c r="Q78" s="5">
        <v>9.52</v>
      </c>
      <c r="R78" s="5">
        <v>0.34</v>
      </c>
      <c r="S78" s="5">
        <v>0.04</v>
      </c>
      <c r="T78" s="5">
        <v>0.17</v>
      </c>
      <c r="U78" s="5">
        <v>0.11</v>
      </c>
      <c r="V78" s="5">
        <v>0</v>
      </c>
      <c r="W78" s="5">
        <v>6.8</v>
      </c>
      <c r="X78" s="5">
        <v>2</v>
      </c>
      <c r="Y78" s="5">
        <v>557.6</v>
      </c>
      <c r="Z78" s="5">
        <v>33.1</v>
      </c>
      <c r="AA78" s="5">
        <v>36.5</v>
      </c>
      <c r="AB78" s="5">
        <v>0.85</v>
      </c>
      <c r="AC78" s="5">
        <v>0.26</v>
      </c>
      <c r="AD78" s="5">
        <v>0.3</v>
      </c>
      <c r="AE78" s="5">
        <v>12.8</v>
      </c>
      <c r="AF78" s="5">
        <v>42</v>
      </c>
      <c r="AG78" s="5">
        <v>26.8</v>
      </c>
      <c r="AH78" s="4" t="s">
        <v>77</v>
      </c>
      <c r="AI78" s="4" t="s">
        <v>87</v>
      </c>
      <c r="AJ78" s="4" t="s">
        <v>87</v>
      </c>
    </row>
    <row r="79" spans="1:36" ht="27.75" customHeight="1" x14ac:dyDescent="0.2">
      <c r="A79" s="3">
        <v>433</v>
      </c>
      <c r="B79" s="4" t="s">
        <v>1308</v>
      </c>
      <c r="C79" s="4" t="s">
        <v>308</v>
      </c>
      <c r="D79" s="4" t="s">
        <v>423</v>
      </c>
      <c r="E79" s="4" t="s">
        <v>310</v>
      </c>
      <c r="F79" s="4" t="s">
        <v>63</v>
      </c>
      <c r="G79" s="4" t="s">
        <v>64</v>
      </c>
      <c r="H79" s="3" t="b">
        <f>FALSE()</f>
        <v>0</v>
      </c>
      <c r="I79" s="3" t="b">
        <f>FALSE()</f>
        <v>0</v>
      </c>
      <c r="J79" s="3" t="b">
        <f>TRUE()</f>
        <v>1</v>
      </c>
      <c r="K79" s="4" t="s">
        <v>87</v>
      </c>
      <c r="L79" s="3">
        <v>100</v>
      </c>
      <c r="M79" s="5">
        <v>249</v>
      </c>
      <c r="N79" s="5">
        <v>3.3</v>
      </c>
      <c r="O79" s="5">
        <v>64</v>
      </c>
      <c r="P79" s="5">
        <v>48</v>
      </c>
      <c r="Q79" s="5">
        <v>15.02</v>
      </c>
      <c r="R79" s="5">
        <v>0.9</v>
      </c>
      <c r="S79" s="5">
        <v>0.11</v>
      </c>
      <c r="T79" s="5">
        <v>0.43</v>
      </c>
      <c r="U79" s="5">
        <v>0.28000000000000003</v>
      </c>
      <c r="V79" s="5">
        <v>0</v>
      </c>
      <c r="W79" s="5">
        <v>9.8000000000000007</v>
      </c>
      <c r="X79" s="5">
        <v>10</v>
      </c>
      <c r="Y79" s="5">
        <v>680</v>
      </c>
      <c r="Z79" s="5">
        <v>162</v>
      </c>
      <c r="AA79" s="5">
        <v>68</v>
      </c>
      <c r="AB79" s="5">
        <v>2</v>
      </c>
      <c r="AC79" s="5">
        <v>0.5</v>
      </c>
      <c r="AD79" s="5">
        <v>1.2</v>
      </c>
      <c r="AE79" s="5">
        <v>9</v>
      </c>
      <c r="AF79" s="5">
        <v>61</v>
      </c>
      <c r="AG79" s="5">
        <v>39</v>
      </c>
      <c r="AH79" s="4" t="s">
        <v>77</v>
      </c>
      <c r="AI79" s="4" t="s">
        <v>126</v>
      </c>
      <c r="AJ79" s="4" t="s">
        <v>87</v>
      </c>
    </row>
    <row r="80" spans="1:36" ht="27.75" customHeight="1" x14ac:dyDescent="0.2">
      <c r="A80" s="3">
        <v>442</v>
      </c>
      <c r="B80" s="4" t="s">
        <v>424</v>
      </c>
      <c r="C80" s="4" t="s">
        <v>308</v>
      </c>
      <c r="D80" s="4" t="s">
        <v>423</v>
      </c>
      <c r="E80" s="4" t="s">
        <v>322</v>
      </c>
      <c r="F80" s="4" t="s">
        <v>63</v>
      </c>
      <c r="G80" s="4" t="s">
        <v>64</v>
      </c>
      <c r="H80" s="3" t="b">
        <f>FALSE()</f>
        <v>0</v>
      </c>
      <c r="I80" s="3" t="b">
        <f>FALSE()</f>
        <v>0</v>
      </c>
      <c r="J80" s="3" t="b">
        <f>TRUE()</f>
        <v>1</v>
      </c>
      <c r="K80" s="4" t="s">
        <v>87</v>
      </c>
      <c r="L80" s="3">
        <v>100</v>
      </c>
      <c r="M80" s="5">
        <v>747</v>
      </c>
      <c r="N80" s="5">
        <v>9.24</v>
      </c>
      <c r="O80" s="5">
        <v>179.2</v>
      </c>
      <c r="P80" s="5">
        <v>134.4</v>
      </c>
      <c r="Q80" s="5">
        <v>42.06</v>
      </c>
      <c r="R80" s="5">
        <v>2.52</v>
      </c>
      <c r="S80" s="5">
        <v>0.3</v>
      </c>
      <c r="T80" s="5">
        <v>1.22</v>
      </c>
      <c r="U80" s="5">
        <v>0.78</v>
      </c>
      <c r="V80" s="5">
        <v>0</v>
      </c>
      <c r="W80" s="5">
        <v>27.44</v>
      </c>
      <c r="X80" s="5">
        <v>10</v>
      </c>
      <c r="Y80" s="5">
        <v>1904</v>
      </c>
      <c r="Z80" s="5">
        <v>453.6</v>
      </c>
      <c r="AA80" s="5">
        <v>190.4</v>
      </c>
      <c r="AB80" s="5">
        <v>5.6</v>
      </c>
      <c r="AC80" s="5">
        <v>1.4</v>
      </c>
      <c r="AD80" s="5">
        <v>3.4</v>
      </c>
      <c r="AE80" s="5">
        <v>25.2</v>
      </c>
      <c r="AF80" s="5">
        <v>61</v>
      </c>
      <c r="AG80" s="5">
        <v>109.3</v>
      </c>
      <c r="AH80" s="4" t="s">
        <v>66</v>
      </c>
      <c r="AI80" s="4" t="s">
        <v>126</v>
      </c>
      <c r="AJ80" s="4" t="s">
        <v>87</v>
      </c>
    </row>
    <row r="81" spans="1:36" ht="27.75" customHeight="1" x14ac:dyDescent="0.2">
      <c r="A81" s="3">
        <v>448</v>
      </c>
      <c r="B81" s="4" t="s">
        <v>1309</v>
      </c>
      <c r="C81" s="4" t="s">
        <v>425</v>
      </c>
      <c r="D81" s="4" t="s">
        <v>426</v>
      </c>
      <c r="E81" s="4" t="s">
        <v>310</v>
      </c>
      <c r="F81" s="4" t="s">
        <v>63</v>
      </c>
      <c r="G81" s="4" t="s">
        <v>64</v>
      </c>
      <c r="H81" s="3" t="b">
        <f>FALSE()</f>
        <v>0</v>
      </c>
      <c r="I81" s="3" t="b">
        <f>FALSE()</f>
        <v>0</v>
      </c>
      <c r="J81" s="3" t="b">
        <f>TRUE()</f>
        <v>1</v>
      </c>
      <c r="K81" s="4" t="s">
        <v>87</v>
      </c>
      <c r="L81" s="3">
        <v>100</v>
      </c>
      <c r="M81" s="5">
        <v>34</v>
      </c>
      <c r="N81" s="5">
        <v>2.8</v>
      </c>
      <c r="O81" s="5">
        <v>6.6</v>
      </c>
      <c r="P81" s="5">
        <v>1.7</v>
      </c>
      <c r="Q81" s="5">
        <v>4.6399999999999997</v>
      </c>
      <c r="R81" s="5">
        <v>0.4</v>
      </c>
      <c r="S81" s="5">
        <v>0.05</v>
      </c>
      <c r="T81" s="5">
        <v>0.19</v>
      </c>
      <c r="U81" s="5">
        <v>0.12</v>
      </c>
      <c r="V81" s="5">
        <v>0.1</v>
      </c>
      <c r="W81" s="5">
        <v>2.6</v>
      </c>
      <c r="X81" s="5">
        <v>33</v>
      </c>
      <c r="Y81" s="5">
        <v>316</v>
      </c>
      <c r="Z81" s="5">
        <v>47</v>
      </c>
      <c r="AA81" s="5">
        <v>21</v>
      </c>
      <c r="AB81" s="5">
        <v>0.7</v>
      </c>
      <c r="AC81" s="5">
        <v>0.4</v>
      </c>
      <c r="AD81" s="5">
        <v>89.2</v>
      </c>
      <c r="AE81" s="5">
        <v>63</v>
      </c>
      <c r="AF81" s="5">
        <v>15</v>
      </c>
      <c r="AG81" s="5">
        <v>1</v>
      </c>
      <c r="AH81" s="4" t="s">
        <v>66</v>
      </c>
      <c r="AI81" s="4" t="s">
        <v>65</v>
      </c>
      <c r="AJ81" s="4" t="s">
        <v>87</v>
      </c>
    </row>
    <row r="82" spans="1:36" ht="27.75" customHeight="1" x14ac:dyDescent="0.2">
      <c r="A82" s="3">
        <v>451</v>
      </c>
      <c r="B82" s="4" t="s">
        <v>1310</v>
      </c>
      <c r="C82" s="4" t="s">
        <v>425</v>
      </c>
      <c r="D82" s="4" t="s">
        <v>426</v>
      </c>
      <c r="E82" s="4" t="s">
        <v>258</v>
      </c>
      <c r="F82" s="4" t="s">
        <v>63</v>
      </c>
      <c r="G82" s="4" t="s">
        <v>64</v>
      </c>
      <c r="H82" s="3" t="b">
        <f>FALSE()</f>
        <v>0</v>
      </c>
      <c r="I82" s="3" t="b">
        <f>FALSE()</f>
        <v>0</v>
      </c>
      <c r="J82" s="3" t="b">
        <f>TRUE()</f>
        <v>1</v>
      </c>
      <c r="K82" s="4" t="s">
        <v>87</v>
      </c>
      <c r="L82" s="3">
        <v>100</v>
      </c>
      <c r="M82" s="5">
        <v>27.9</v>
      </c>
      <c r="N82" s="5">
        <v>2.38</v>
      </c>
      <c r="O82" s="5">
        <v>5.61</v>
      </c>
      <c r="P82" s="5">
        <v>1.44</v>
      </c>
      <c r="Q82" s="5">
        <v>3.95</v>
      </c>
      <c r="R82" s="5">
        <v>0.34</v>
      </c>
      <c r="S82" s="5">
        <v>0.04</v>
      </c>
      <c r="T82" s="5">
        <v>0.17</v>
      </c>
      <c r="U82" s="5">
        <v>0.11</v>
      </c>
      <c r="V82" s="5">
        <v>0.09</v>
      </c>
      <c r="W82" s="5">
        <v>2.21</v>
      </c>
      <c r="X82" s="5">
        <v>33</v>
      </c>
      <c r="Y82" s="5">
        <v>268.60000000000002</v>
      </c>
      <c r="Z82" s="5">
        <v>39.9</v>
      </c>
      <c r="AA82" s="5">
        <v>17.8</v>
      </c>
      <c r="AB82" s="5">
        <v>0.59</v>
      </c>
      <c r="AC82" s="5">
        <v>0.34</v>
      </c>
      <c r="AD82" s="5">
        <v>75.8</v>
      </c>
      <c r="AE82" s="5">
        <v>53.5</v>
      </c>
      <c r="AF82" s="5">
        <v>15</v>
      </c>
      <c r="AG82" s="5">
        <v>0.8</v>
      </c>
      <c r="AH82" s="4" t="s">
        <v>77</v>
      </c>
      <c r="AI82" s="4" t="s">
        <v>65</v>
      </c>
      <c r="AJ82" s="4" t="s">
        <v>87</v>
      </c>
    </row>
    <row r="83" spans="1:36" ht="27.75" customHeight="1" x14ac:dyDescent="0.2">
      <c r="A83" s="3">
        <v>463</v>
      </c>
      <c r="B83" s="4" t="s">
        <v>429</v>
      </c>
      <c r="C83" s="4" t="s">
        <v>425</v>
      </c>
      <c r="D83" s="4" t="s">
        <v>430</v>
      </c>
      <c r="E83" s="4" t="s">
        <v>310</v>
      </c>
      <c r="F83" s="4" t="s">
        <v>63</v>
      </c>
      <c r="G83" s="4" t="s">
        <v>64</v>
      </c>
      <c r="H83" s="3" t="b">
        <f>FALSE()</f>
        <v>0</v>
      </c>
      <c r="I83" s="3" t="b">
        <f>FALSE()</f>
        <v>0</v>
      </c>
      <c r="J83" s="3" t="b">
        <f>TRUE()</f>
        <v>1</v>
      </c>
      <c r="K83" s="4" t="s">
        <v>87</v>
      </c>
      <c r="L83" s="3">
        <v>100</v>
      </c>
      <c r="M83" s="5">
        <v>23</v>
      </c>
      <c r="N83" s="5">
        <v>2.9</v>
      </c>
      <c r="O83" s="5">
        <v>3.6</v>
      </c>
      <c r="P83" s="5">
        <v>0.4</v>
      </c>
      <c r="Q83" s="5">
        <v>2.98</v>
      </c>
      <c r="R83" s="5">
        <v>0.4</v>
      </c>
      <c r="S83" s="5">
        <v>0.05</v>
      </c>
      <c r="T83" s="5">
        <v>0.19</v>
      </c>
      <c r="U83" s="5">
        <v>0.12</v>
      </c>
      <c r="V83" s="5">
        <v>0.1</v>
      </c>
      <c r="W83" s="5">
        <v>2.2000000000000002</v>
      </c>
      <c r="X83" s="5">
        <v>79</v>
      </c>
      <c r="Y83" s="5">
        <v>558</v>
      </c>
      <c r="Z83" s="5">
        <v>99</v>
      </c>
      <c r="AA83" s="5">
        <v>79</v>
      </c>
      <c r="AB83" s="5">
        <v>2.7</v>
      </c>
      <c r="AC83" s="5">
        <v>0.5</v>
      </c>
      <c r="AD83" s="5">
        <v>28.1</v>
      </c>
      <c r="AE83" s="5">
        <v>194</v>
      </c>
      <c r="AF83" s="5">
        <v>15</v>
      </c>
      <c r="AG83" s="5">
        <v>0.5</v>
      </c>
      <c r="AH83" s="4" t="s">
        <v>66</v>
      </c>
      <c r="AI83" s="4" t="s">
        <v>65</v>
      </c>
      <c r="AJ83" s="4" t="s">
        <v>87</v>
      </c>
    </row>
    <row r="84" spans="1:36" ht="27.75" customHeight="1" x14ac:dyDescent="0.2">
      <c r="A84" s="3">
        <v>466</v>
      </c>
      <c r="B84" s="4" t="s">
        <v>431</v>
      </c>
      <c r="C84" s="4" t="s">
        <v>425</v>
      </c>
      <c r="D84" s="4" t="s">
        <v>430</v>
      </c>
      <c r="E84" s="4" t="s">
        <v>258</v>
      </c>
      <c r="F84" s="4" t="s">
        <v>63</v>
      </c>
      <c r="G84" s="4" t="s">
        <v>64</v>
      </c>
      <c r="H84" s="3" t="b">
        <f>FALSE()</f>
        <v>0</v>
      </c>
      <c r="I84" s="3" t="b">
        <f>FALSE()</f>
        <v>0</v>
      </c>
      <c r="J84" s="3" t="b">
        <f>TRUE()</f>
        <v>1</v>
      </c>
      <c r="K84" s="4" t="s">
        <v>87</v>
      </c>
      <c r="L84" s="3">
        <v>100</v>
      </c>
      <c r="M84" s="5">
        <v>18.899999999999999</v>
      </c>
      <c r="N84" s="5">
        <v>2.46</v>
      </c>
      <c r="O84" s="5">
        <v>3.06</v>
      </c>
      <c r="P84" s="5">
        <v>0.34</v>
      </c>
      <c r="Q84" s="5">
        <v>2.5299999999999998</v>
      </c>
      <c r="R84" s="5">
        <v>0.34</v>
      </c>
      <c r="S84" s="5">
        <v>0.04</v>
      </c>
      <c r="T84" s="5">
        <v>0.17</v>
      </c>
      <c r="U84" s="5">
        <v>0.11</v>
      </c>
      <c r="V84" s="5">
        <v>0.09</v>
      </c>
      <c r="W84" s="5">
        <v>1.87</v>
      </c>
      <c r="X84" s="5">
        <v>79</v>
      </c>
      <c r="Y84" s="5">
        <v>474.3</v>
      </c>
      <c r="Z84" s="5">
        <v>84.1</v>
      </c>
      <c r="AA84" s="5">
        <v>67.099999999999994</v>
      </c>
      <c r="AB84" s="5">
        <v>2.29</v>
      </c>
      <c r="AC84" s="5">
        <v>0.42</v>
      </c>
      <c r="AD84" s="5">
        <v>23.9</v>
      </c>
      <c r="AE84" s="5">
        <v>164.9</v>
      </c>
      <c r="AF84" s="5">
        <v>15</v>
      </c>
      <c r="AG84" s="5">
        <v>0.5</v>
      </c>
      <c r="AH84" s="4" t="s">
        <v>77</v>
      </c>
      <c r="AI84" s="4" t="s">
        <v>65</v>
      </c>
      <c r="AJ84" s="4" t="s">
        <v>87</v>
      </c>
    </row>
    <row r="85" spans="1:36" ht="27.75" customHeight="1" x14ac:dyDescent="0.2">
      <c r="A85" s="3">
        <v>478</v>
      </c>
      <c r="B85" s="4" t="s">
        <v>432</v>
      </c>
      <c r="C85" s="4" t="s">
        <v>425</v>
      </c>
      <c r="D85" s="4" t="s">
        <v>430</v>
      </c>
      <c r="E85" s="4" t="s">
        <v>310</v>
      </c>
      <c r="F85" s="4" t="s">
        <v>63</v>
      </c>
      <c r="G85" s="4" t="s">
        <v>64</v>
      </c>
      <c r="H85" s="3" t="b">
        <f>FALSE()</f>
        <v>0</v>
      </c>
      <c r="I85" s="3" t="b">
        <f>FALSE()</f>
        <v>0</v>
      </c>
      <c r="J85" s="3" t="b">
        <f>TRUE()</f>
        <v>1</v>
      </c>
      <c r="K85" s="4" t="s">
        <v>87</v>
      </c>
      <c r="L85" s="3">
        <v>100</v>
      </c>
      <c r="M85" s="5">
        <v>19</v>
      </c>
      <c r="N85" s="5">
        <v>1.8</v>
      </c>
      <c r="O85" s="5">
        <v>3.7</v>
      </c>
      <c r="P85" s="5">
        <v>1.1000000000000001</v>
      </c>
      <c r="Q85" s="5">
        <v>2.44</v>
      </c>
      <c r="R85" s="5">
        <v>0.2</v>
      </c>
      <c r="S85" s="5">
        <v>0.02</v>
      </c>
      <c r="T85" s="5">
        <v>0.1</v>
      </c>
      <c r="U85" s="5">
        <v>0.06</v>
      </c>
      <c r="V85" s="5">
        <v>0.1</v>
      </c>
      <c r="W85" s="5">
        <v>1.6</v>
      </c>
      <c r="X85" s="5">
        <v>213</v>
      </c>
      <c r="Y85" s="5">
        <v>379</v>
      </c>
      <c r="Z85" s="5">
        <v>51</v>
      </c>
      <c r="AA85" s="5">
        <v>81</v>
      </c>
      <c r="AB85" s="5">
        <v>1.8</v>
      </c>
      <c r="AC85" s="5">
        <v>0.4</v>
      </c>
      <c r="AD85" s="5">
        <v>30</v>
      </c>
      <c r="AE85" s="5">
        <v>14</v>
      </c>
      <c r="AF85" s="5">
        <v>15</v>
      </c>
      <c r="AG85" s="5">
        <v>0.6</v>
      </c>
      <c r="AH85" s="4" t="s">
        <v>66</v>
      </c>
      <c r="AI85" s="4" t="s">
        <v>65</v>
      </c>
      <c r="AJ85" s="4" t="s">
        <v>87</v>
      </c>
    </row>
    <row r="86" spans="1:36" ht="27.75" customHeight="1" x14ac:dyDescent="0.2">
      <c r="A86" s="3">
        <v>481</v>
      </c>
      <c r="B86" s="4" t="s">
        <v>433</v>
      </c>
      <c r="C86" s="4" t="s">
        <v>425</v>
      </c>
      <c r="D86" s="4" t="s">
        <v>430</v>
      </c>
      <c r="E86" s="4" t="s">
        <v>258</v>
      </c>
      <c r="F86" s="4" t="s">
        <v>63</v>
      </c>
      <c r="G86" s="4" t="s">
        <v>64</v>
      </c>
      <c r="H86" s="3" t="b">
        <f>FALSE()</f>
        <v>0</v>
      </c>
      <c r="I86" s="3" t="b">
        <f>FALSE()</f>
        <v>0</v>
      </c>
      <c r="J86" s="3" t="b">
        <f>TRUE()</f>
        <v>1</v>
      </c>
      <c r="K86" s="4" t="s">
        <v>87</v>
      </c>
      <c r="L86" s="3">
        <v>100</v>
      </c>
      <c r="M86" s="5">
        <v>15.6</v>
      </c>
      <c r="N86" s="5">
        <v>1.53</v>
      </c>
      <c r="O86" s="5">
        <v>3.15</v>
      </c>
      <c r="P86" s="5">
        <v>0.94</v>
      </c>
      <c r="Q86" s="5">
        <v>2.0699999999999998</v>
      </c>
      <c r="R86" s="5">
        <v>0.17</v>
      </c>
      <c r="S86" s="5">
        <v>0.02</v>
      </c>
      <c r="T86" s="5">
        <v>0.08</v>
      </c>
      <c r="U86" s="5">
        <v>0.05</v>
      </c>
      <c r="V86" s="5">
        <v>0.09</v>
      </c>
      <c r="W86" s="5">
        <v>1.36</v>
      </c>
      <c r="X86" s="5">
        <v>213</v>
      </c>
      <c r="Y86" s="5">
        <v>322.10000000000002</v>
      </c>
      <c r="Z86" s="5">
        <v>43.4</v>
      </c>
      <c r="AA86" s="5">
        <v>68.8</v>
      </c>
      <c r="AB86" s="5">
        <v>1.53</v>
      </c>
      <c r="AC86" s="5">
        <v>0.34</v>
      </c>
      <c r="AD86" s="5">
        <v>25.5</v>
      </c>
      <c r="AE86" s="5">
        <v>11.9</v>
      </c>
      <c r="AF86" s="5">
        <v>15</v>
      </c>
      <c r="AG86" s="5">
        <v>0.5</v>
      </c>
      <c r="AH86" s="4" t="s">
        <v>77</v>
      </c>
      <c r="AI86" s="4" t="s">
        <v>65</v>
      </c>
      <c r="AJ86" s="4" t="s">
        <v>87</v>
      </c>
    </row>
    <row r="87" spans="1:36" ht="27.75" customHeight="1" x14ac:dyDescent="0.2">
      <c r="A87" s="3">
        <v>493</v>
      </c>
      <c r="B87" s="4" t="s">
        <v>434</v>
      </c>
      <c r="C87" s="4" t="s">
        <v>425</v>
      </c>
      <c r="D87" s="4" t="s">
        <v>430</v>
      </c>
      <c r="E87" s="4" t="s">
        <v>310</v>
      </c>
      <c r="F87" s="4" t="s">
        <v>63</v>
      </c>
      <c r="G87" s="4" t="s">
        <v>64</v>
      </c>
      <c r="H87" s="3" t="b">
        <f>FALSE()</f>
        <v>0</v>
      </c>
      <c r="I87" s="3" t="b">
        <f>FALSE()</f>
        <v>0</v>
      </c>
      <c r="J87" s="3" t="b">
        <f>TRUE()</f>
        <v>1</v>
      </c>
      <c r="K87" s="4" t="s">
        <v>87</v>
      </c>
      <c r="L87" s="3">
        <v>100</v>
      </c>
      <c r="M87" s="5">
        <v>25</v>
      </c>
      <c r="N87" s="5">
        <v>2.6</v>
      </c>
      <c r="O87" s="5">
        <v>3.7</v>
      </c>
      <c r="P87" s="5">
        <v>2.1</v>
      </c>
      <c r="Q87" s="5">
        <v>1.44</v>
      </c>
      <c r="R87" s="5">
        <v>0.7</v>
      </c>
      <c r="S87" s="5">
        <v>0.08</v>
      </c>
      <c r="T87" s="5">
        <v>0.34</v>
      </c>
      <c r="U87" s="5">
        <v>0.22</v>
      </c>
      <c r="V87" s="5">
        <v>0.2</v>
      </c>
      <c r="W87" s="5">
        <v>1.6</v>
      </c>
      <c r="X87" s="5">
        <v>27</v>
      </c>
      <c r="Y87" s="5">
        <v>369</v>
      </c>
      <c r="Z87" s="5">
        <v>160</v>
      </c>
      <c r="AA87" s="5">
        <v>47</v>
      </c>
      <c r="AB87" s="5">
        <v>1.5</v>
      </c>
      <c r="AC87" s="5">
        <v>0.5</v>
      </c>
      <c r="AD87" s="5">
        <v>15</v>
      </c>
      <c r="AE87" s="5">
        <v>97</v>
      </c>
      <c r="AF87" s="5">
        <v>15</v>
      </c>
      <c r="AG87" s="5">
        <v>0.6</v>
      </c>
      <c r="AH87" s="4" t="s">
        <v>66</v>
      </c>
      <c r="AI87" s="4" t="s">
        <v>65</v>
      </c>
      <c r="AJ87" s="4" t="s">
        <v>87</v>
      </c>
    </row>
    <row r="88" spans="1:36" ht="27.75" customHeight="1" x14ac:dyDescent="0.2">
      <c r="A88" s="3">
        <v>508</v>
      </c>
      <c r="B88" s="4" t="s">
        <v>435</v>
      </c>
      <c r="C88" s="4" t="s">
        <v>425</v>
      </c>
      <c r="D88" s="4" t="s">
        <v>430</v>
      </c>
      <c r="E88" s="4" t="s">
        <v>310</v>
      </c>
      <c r="F88" s="4" t="s">
        <v>63</v>
      </c>
      <c r="G88" s="4" t="s">
        <v>64</v>
      </c>
      <c r="H88" s="3" t="b">
        <f>FALSE()</f>
        <v>0</v>
      </c>
      <c r="I88" s="3" t="b">
        <f>FALSE()</f>
        <v>0</v>
      </c>
      <c r="J88" s="3" t="b">
        <f>TRUE()</f>
        <v>1</v>
      </c>
      <c r="K88" s="4" t="s">
        <v>87</v>
      </c>
      <c r="L88" s="3">
        <v>100</v>
      </c>
      <c r="M88" s="5">
        <v>17</v>
      </c>
      <c r="N88" s="5">
        <v>1.2</v>
      </c>
      <c r="O88" s="5">
        <v>3.3</v>
      </c>
      <c r="P88" s="5">
        <v>1.2</v>
      </c>
      <c r="Q88" s="5">
        <v>1.89</v>
      </c>
      <c r="R88" s="5">
        <v>0.3</v>
      </c>
      <c r="S88" s="5">
        <v>0.04</v>
      </c>
      <c r="T88" s="5">
        <v>0.14000000000000001</v>
      </c>
      <c r="U88" s="5">
        <v>0.09</v>
      </c>
      <c r="V88" s="5">
        <v>0.1</v>
      </c>
      <c r="W88" s="5">
        <v>2.1</v>
      </c>
      <c r="X88" s="5">
        <v>8</v>
      </c>
      <c r="Y88" s="5">
        <v>247</v>
      </c>
      <c r="Z88" s="5">
        <v>33</v>
      </c>
      <c r="AA88" s="5">
        <v>14</v>
      </c>
      <c r="AB88" s="5">
        <v>1</v>
      </c>
      <c r="AC88" s="5">
        <v>0.2</v>
      </c>
      <c r="AD88" s="5">
        <v>4</v>
      </c>
      <c r="AE88" s="5">
        <v>136</v>
      </c>
      <c r="AF88" s="5">
        <v>15</v>
      </c>
      <c r="AG88" s="5">
        <v>0.5</v>
      </c>
      <c r="AH88" s="4" t="s">
        <v>66</v>
      </c>
      <c r="AI88" s="4" t="s">
        <v>65</v>
      </c>
      <c r="AJ88" s="4" t="s">
        <v>87</v>
      </c>
    </row>
    <row r="89" spans="1:36" ht="27.75" customHeight="1" x14ac:dyDescent="0.2">
      <c r="A89" s="3">
        <v>523</v>
      </c>
      <c r="B89" s="4" t="s">
        <v>1311</v>
      </c>
      <c r="C89" s="4" t="s">
        <v>425</v>
      </c>
      <c r="D89" s="4" t="s">
        <v>436</v>
      </c>
      <c r="E89" s="4" t="s">
        <v>310</v>
      </c>
      <c r="F89" s="4" t="s">
        <v>63</v>
      </c>
      <c r="G89" s="4" t="s">
        <v>64</v>
      </c>
      <c r="H89" s="3" t="b">
        <f>FALSE()</f>
        <v>0</v>
      </c>
      <c r="I89" s="3" t="b">
        <f>FALSE()</f>
        <v>0</v>
      </c>
      <c r="J89" s="3" t="b">
        <f>TRUE()</f>
        <v>1</v>
      </c>
      <c r="K89" s="4" t="s">
        <v>87</v>
      </c>
      <c r="L89" s="3">
        <v>100</v>
      </c>
      <c r="M89" s="5">
        <v>18</v>
      </c>
      <c r="N89" s="5">
        <v>0.9</v>
      </c>
      <c r="O89" s="5">
        <v>3.9</v>
      </c>
      <c r="P89" s="5">
        <v>2.6</v>
      </c>
      <c r="Q89" s="5">
        <v>1.18</v>
      </c>
      <c r="R89" s="5">
        <v>0.2</v>
      </c>
      <c r="S89" s="5">
        <v>0.02</v>
      </c>
      <c r="T89" s="5">
        <v>0.1</v>
      </c>
      <c r="U89" s="5">
        <v>0.06</v>
      </c>
      <c r="V89" s="5">
        <v>0</v>
      </c>
      <c r="W89" s="5">
        <v>1.2</v>
      </c>
      <c r="X89" s="5">
        <v>5</v>
      </c>
      <c r="Y89" s="5">
        <v>237</v>
      </c>
      <c r="Z89" s="5">
        <v>10</v>
      </c>
      <c r="AA89" s="5">
        <v>11</v>
      </c>
      <c r="AB89" s="5">
        <v>0.3</v>
      </c>
      <c r="AC89" s="5">
        <v>0.2</v>
      </c>
      <c r="AD89" s="5">
        <v>13.7</v>
      </c>
      <c r="AE89" s="5">
        <v>15</v>
      </c>
      <c r="AF89" s="5">
        <v>15</v>
      </c>
      <c r="AG89" s="5">
        <v>0.6</v>
      </c>
      <c r="AH89" s="4" t="s">
        <v>66</v>
      </c>
      <c r="AI89" s="4" t="s">
        <v>65</v>
      </c>
      <c r="AJ89" s="4" t="s">
        <v>87</v>
      </c>
    </row>
    <row r="90" spans="1:36" ht="27.75" customHeight="1" x14ac:dyDescent="0.2">
      <c r="A90" s="3">
        <v>526</v>
      </c>
      <c r="B90" s="4" t="s">
        <v>1312</v>
      </c>
      <c r="C90" s="4" t="s">
        <v>425</v>
      </c>
      <c r="D90" s="4" t="s">
        <v>436</v>
      </c>
      <c r="E90" s="4" t="s">
        <v>258</v>
      </c>
      <c r="F90" s="4" t="s">
        <v>63</v>
      </c>
      <c r="G90" s="4" t="s">
        <v>64</v>
      </c>
      <c r="H90" s="3" t="b">
        <f>FALSE()</f>
        <v>0</v>
      </c>
      <c r="I90" s="3" t="b">
        <f>FALSE()</f>
        <v>0</v>
      </c>
      <c r="J90" s="3" t="b">
        <f>TRUE()</f>
        <v>1</v>
      </c>
      <c r="K90" s="4" t="s">
        <v>87</v>
      </c>
      <c r="L90" s="3">
        <v>100</v>
      </c>
      <c r="M90" s="5">
        <v>14.8</v>
      </c>
      <c r="N90" s="5">
        <v>0.77</v>
      </c>
      <c r="O90" s="5">
        <v>3.31</v>
      </c>
      <c r="P90" s="5">
        <v>2.21</v>
      </c>
      <c r="Q90" s="5">
        <v>1</v>
      </c>
      <c r="R90" s="5">
        <v>0.17</v>
      </c>
      <c r="S90" s="5">
        <v>0.02</v>
      </c>
      <c r="T90" s="5">
        <v>0.08</v>
      </c>
      <c r="U90" s="5">
        <v>0.05</v>
      </c>
      <c r="V90" s="5">
        <v>0</v>
      </c>
      <c r="W90" s="5">
        <v>1.02</v>
      </c>
      <c r="X90" s="5">
        <v>5</v>
      </c>
      <c r="Y90" s="5">
        <v>201.4</v>
      </c>
      <c r="Z90" s="5">
        <v>8.5</v>
      </c>
      <c r="AA90" s="5">
        <v>9.3000000000000007</v>
      </c>
      <c r="AB90" s="5">
        <v>0.26</v>
      </c>
      <c r="AC90" s="5">
        <v>0.17</v>
      </c>
      <c r="AD90" s="5">
        <v>11.6</v>
      </c>
      <c r="AE90" s="5">
        <v>12.8</v>
      </c>
      <c r="AF90" s="5">
        <v>15</v>
      </c>
      <c r="AG90" s="5">
        <v>0.5</v>
      </c>
      <c r="AH90" s="4" t="s">
        <v>77</v>
      </c>
      <c r="AI90" s="4" t="s">
        <v>65</v>
      </c>
      <c r="AJ90" s="4" t="s">
        <v>87</v>
      </c>
    </row>
    <row r="91" spans="1:36" ht="27.75" customHeight="1" x14ac:dyDescent="0.2">
      <c r="A91" s="3">
        <v>538</v>
      </c>
      <c r="B91" s="4" t="s">
        <v>437</v>
      </c>
      <c r="C91" s="4" t="s">
        <v>425</v>
      </c>
      <c r="D91" s="4" t="s">
        <v>438</v>
      </c>
      <c r="E91" s="4" t="s">
        <v>310</v>
      </c>
      <c r="F91" s="4" t="s">
        <v>63</v>
      </c>
      <c r="G91" s="4" t="s">
        <v>64</v>
      </c>
      <c r="H91" s="3" t="b">
        <f>FALSE()</f>
        <v>0</v>
      </c>
      <c r="I91" s="3" t="b">
        <f>FALSE()</f>
        <v>0</v>
      </c>
      <c r="J91" s="3" t="b">
        <f>TRUE()</f>
        <v>1</v>
      </c>
      <c r="K91" s="4" t="s">
        <v>87</v>
      </c>
      <c r="L91" s="3">
        <v>100</v>
      </c>
      <c r="M91" s="5">
        <v>41</v>
      </c>
      <c r="N91" s="5">
        <v>0.9</v>
      </c>
      <c r="O91" s="5">
        <v>9.6</v>
      </c>
      <c r="P91" s="5">
        <v>4.7</v>
      </c>
      <c r="Q91" s="5">
        <v>4.62</v>
      </c>
      <c r="R91" s="5">
        <v>0.2</v>
      </c>
      <c r="S91" s="5">
        <v>0.02</v>
      </c>
      <c r="T91" s="5">
        <v>0.1</v>
      </c>
      <c r="U91" s="5">
        <v>0.06</v>
      </c>
      <c r="V91" s="5">
        <v>0</v>
      </c>
      <c r="W91" s="5">
        <v>2.8</v>
      </c>
      <c r="X91" s="5">
        <v>69</v>
      </c>
      <c r="Y91" s="5">
        <v>320</v>
      </c>
      <c r="Z91" s="5">
        <v>33</v>
      </c>
      <c r="AA91" s="5">
        <v>12</v>
      </c>
      <c r="AB91" s="5">
        <v>0.3</v>
      </c>
      <c r="AC91" s="5">
        <v>0.2</v>
      </c>
      <c r="AD91" s="5">
        <v>5.9</v>
      </c>
      <c r="AE91" s="5">
        <v>19</v>
      </c>
      <c r="AF91" s="5">
        <v>39</v>
      </c>
      <c r="AG91" s="5">
        <v>3.7</v>
      </c>
      <c r="AH91" s="4" t="s">
        <v>66</v>
      </c>
      <c r="AI91" s="4" t="s">
        <v>65</v>
      </c>
      <c r="AJ91" s="4" t="s">
        <v>87</v>
      </c>
    </row>
    <row r="92" spans="1:36" ht="27.75" customHeight="1" x14ac:dyDescent="0.2">
      <c r="A92" s="3">
        <v>541</v>
      </c>
      <c r="B92" s="4" t="s">
        <v>439</v>
      </c>
      <c r="C92" s="4" t="s">
        <v>425</v>
      </c>
      <c r="D92" s="4" t="s">
        <v>438</v>
      </c>
      <c r="E92" s="4" t="s">
        <v>258</v>
      </c>
      <c r="F92" s="4" t="s">
        <v>63</v>
      </c>
      <c r="G92" s="4" t="s">
        <v>64</v>
      </c>
      <c r="H92" s="3" t="b">
        <f>FALSE()</f>
        <v>0</v>
      </c>
      <c r="I92" s="3" t="b">
        <f>FALSE()</f>
        <v>0</v>
      </c>
      <c r="J92" s="3" t="b">
        <f>TRUE()</f>
        <v>1</v>
      </c>
      <c r="K92" s="4" t="s">
        <v>87</v>
      </c>
      <c r="L92" s="3">
        <v>100</v>
      </c>
      <c r="M92" s="5">
        <v>33.6</v>
      </c>
      <c r="N92" s="5">
        <v>0.77</v>
      </c>
      <c r="O92" s="5">
        <v>8.16</v>
      </c>
      <c r="P92" s="5">
        <v>4</v>
      </c>
      <c r="Q92" s="5">
        <v>3.92</v>
      </c>
      <c r="R92" s="5">
        <v>0.17</v>
      </c>
      <c r="S92" s="5">
        <v>0.02</v>
      </c>
      <c r="T92" s="5">
        <v>0.08</v>
      </c>
      <c r="U92" s="5">
        <v>0.05</v>
      </c>
      <c r="V92" s="5">
        <v>0</v>
      </c>
      <c r="W92" s="5">
        <v>2.38</v>
      </c>
      <c r="X92" s="5">
        <v>69</v>
      </c>
      <c r="Y92" s="5">
        <v>272</v>
      </c>
      <c r="Z92" s="5">
        <v>28.1</v>
      </c>
      <c r="AA92" s="5">
        <v>10.199999999999999</v>
      </c>
      <c r="AB92" s="5">
        <v>0.26</v>
      </c>
      <c r="AC92" s="5">
        <v>0.17</v>
      </c>
      <c r="AD92" s="5">
        <v>5</v>
      </c>
      <c r="AE92" s="5">
        <v>16.100000000000001</v>
      </c>
      <c r="AF92" s="5">
        <v>39</v>
      </c>
      <c r="AG92" s="5">
        <v>3.2</v>
      </c>
      <c r="AH92" s="4" t="s">
        <v>77</v>
      </c>
      <c r="AI92" s="4" t="s">
        <v>65</v>
      </c>
      <c r="AJ92" s="4" t="s">
        <v>87</v>
      </c>
    </row>
    <row r="93" spans="1:36" ht="27.75" customHeight="1" x14ac:dyDescent="0.2">
      <c r="A93" s="3">
        <v>553</v>
      </c>
      <c r="B93" s="4" t="s">
        <v>1313</v>
      </c>
      <c r="C93" s="4" t="s">
        <v>425</v>
      </c>
      <c r="D93" s="4" t="s">
        <v>436</v>
      </c>
      <c r="E93" s="4" t="s">
        <v>310</v>
      </c>
      <c r="F93" s="4" t="s">
        <v>63</v>
      </c>
      <c r="G93" s="4" t="s">
        <v>64</v>
      </c>
      <c r="H93" s="3" t="b">
        <f>FALSE()</f>
        <v>0</v>
      </c>
      <c r="I93" s="3" t="b">
        <f>FALSE()</f>
        <v>0</v>
      </c>
      <c r="J93" s="3" t="b">
        <f>TRUE()</f>
        <v>1</v>
      </c>
      <c r="K93" s="4" t="s">
        <v>87</v>
      </c>
      <c r="L93" s="3">
        <v>100</v>
      </c>
      <c r="M93" s="5">
        <v>17</v>
      </c>
      <c r="N93" s="5">
        <v>1.2</v>
      </c>
      <c r="O93" s="5">
        <v>3.1</v>
      </c>
      <c r="P93" s="5">
        <v>2.5</v>
      </c>
      <c r="Q93" s="5">
        <v>0.5</v>
      </c>
      <c r="R93" s="5">
        <v>0.3</v>
      </c>
      <c r="S93" s="5">
        <v>0.04</v>
      </c>
      <c r="T93" s="5">
        <v>0.14000000000000001</v>
      </c>
      <c r="U93" s="5">
        <v>0.09</v>
      </c>
      <c r="V93" s="5">
        <v>0</v>
      </c>
      <c r="W93" s="5">
        <v>1</v>
      </c>
      <c r="X93" s="5">
        <v>8</v>
      </c>
      <c r="Y93" s="5">
        <v>261</v>
      </c>
      <c r="Z93" s="5">
        <v>16</v>
      </c>
      <c r="AA93" s="5">
        <v>18</v>
      </c>
      <c r="AB93" s="5">
        <v>0.4</v>
      </c>
      <c r="AC93" s="5">
        <v>0.3</v>
      </c>
      <c r="AD93" s="5">
        <v>17.899999999999999</v>
      </c>
      <c r="AE93" s="5">
        <v>24</v>
      </c>
      <c r="AF93" s="5">
        <v>15</v>
      </c>
      <c r="AG93" s="5">
        <v>0.5</v>
      </c>
      <c r="AH93" s="4" t="s">
        <v>66</v>
      </c>
      <c r="AI93" s="4" t="s">
        <v>65</v>
      </c>
      <c r="AJ93" s="4" t="s">
        <v>87</v>
      </c>
    </row>
    <row r="94" spans="1:36" ht="27.75" customHeight="1" x14ac:dyDescent="0.2">
      <c r="A94" s="3">
        <v>556</v>
      </c>
      <c r="B94" s="4" t="s">
        <v>1314</v>
      </c>
      <c r="C94" s="4" t="s">
        <v>425</v>
      </c>
      <c r="D94" s="4" t="s">
        <v>436</v>
      </c>
      <c r="E94" s="4" t="s">
        <v>258</v>
      </c>
      <c r="F94" s="4" t="s">
        <v>63</v>
      </c>
      <c r="G94" s="4" t="s">
        <v>64</v>
      </c>
      <c r="H94" s="3" t="b">
        <f>FALSE()</f>
        <v>0</v>
      </c>
      <c r="I94" s="3" t="b">
        <f>FALSE()</f>
        <v>0</v>
      </c>
      <c r="J94" s="3" t="b">
        <f>TRUE()</f>
        <v>1</v>
      </c>
      <c r="K94" s="4" t="s">
        <v>87</v>
      </c>
      <c r="L94" s="3">
        <v>100</v>
      </c>
      <c r="M94" s="5">
        <v>13.9</v>
      </c>
      <c r="N94" s="5">
        <v>1.02</v>
      </c>
      <c r="O94" s="5">
        <v>2.63</v>
      </c>
      <c r="P94" s="5">
        <v>2.12</v>
      </c>
      <c r="Q94" s="5">
        <v>0.42</v>
      </c>
      <c r="R94" s="5">
        <v>0.26</v>
      </c>
      <c r="S94" s="5">
        <v>0.03</v>
      </c>
      <c r="T94" s="5">
        <v>0.13</v>
      </c>
      <c r="U94" s="5">
        <v>0.08</v>
      </c>
      <c r="V94" s="5">
        <v>0</v>
      </c>
      <c r="W94" s="5">
        <v>0.85</v>
      </c>
      <c r="X94" s="5">
        <v>8</v>
      </c>
      <c r="Y94" s="5">
        <v>221.8</v>
      </c>
      <c r="Z94" s="5">
        <v>13.6</v>
      </c>
      <c r="AA94" s="5">
        <v>15.3</v>
      </c>
      <c r="AB94" s="5">
        <v>0.34</v>
      </c>
      <c r="AC94" s="5">
        <v>0.26</v>
      </c>
      <c r="AD94" s="5">
        <v>15.2</v>
      </c>
      <c r="AE94" s="5">
        <v>20.399999999999999</v>
      </c>
      <c r="AF94" s="5">
        <v>15</v>
      </c>
      <c r="AG94" s="5">
        <v>0.4</v>
      </c>
      <c r="AH94" s="4" t="s">
        <v>77</v>
      </c>
      <c r="AI94" s="4" t="s">
        <v>65</v>
      </c>
      <c r="AJ94" s="4" t="s">
        <v>87</v>
      </c>
    </row>
    <row r="95" spans="1:36" ht="27.75" customHeight="1" x14ac:dyDescent="0.2">
      <c r="A95" s="3">
        <v>568</v>
      </c>
      <c r="B95" s="4" t="s">
        <v>440</v>
      </c>
      <c r="C95" s="4" t="s">
        <v>425</v>
      </c>
      <c r="D95" s="4" t="s">
        <v>436</v>
      </c>
      <c r="E95" s="4" t="s">
        <v>310</v>
      </c>
      <c r="F95" s="4" t="s">
        <v>63</v>
      </c>
      <c r="G95" s="4" t="s">
        <v>64</v>
      </c>
      <c r="H95" s="3" t="b">
        <f>FALSE()</f>
        <v>0</v>
      </c>
      <c r="I95" s="3" t="b">
        <f>FALSE()</f>
        <v>0</v>
      </c>
      <c r="J95" s="3" t="b">
        <f>TRUE()</f>
        <v>1</v>
      </c>
      <c r="K95" s="4" t="s">
        <v>87</v>
      </c>
      <c r="L95" s="3">
        <v>100</v>
      </c>
      <c r="M95" s="5">
        <v>25</v>
      </c>
      <c r="N95" s="5">
        <v>1</v>
      </c>
      <c r="O95" s="5">
        <v>5.9</v>
      </c>
      <c r="P95" s="5">
        <v>3.5</v>
      </c>
      <c r="Q95" s="5">
        <v>2.1</v>
      </c>
      <c r="R95" s="5">
        <v>0.2</v>
      </c>
      <c r="S95" s="5">
        <v>0.02</v>
      </c>
      <c r="T95" s="5">
        <v>0.1</v>
      </c>
      <c r="U95" s="5">
        <v>0.06</v>
      </c>
      <c r="V95" s="5">
        <v>0</v>
      </c>
      <c r="W95" s="5">
        <v>3</v>
      </c>
      <c r="X95" s="5">
        <v>2</v>
      </c>
      <c r="Y95" s="5">
        <v>229</v>
      </c>
      <c r="Z95" s="5">
        <v>9</v>
      </c>
      <c r="AA95" s="5">
        <v>14</v>
      </c>
      <c r="AB95" s="5">
        <v>0.2</v>
      </c>
      <c r="AC95" s="5">
        <v>0.2</v>
      </c>
      <c r="AD95" s="5">
        <v>2.2000000000000002</v>
      </c>
      <c r="AE95" s="5">
        <v>22</v>
      </c>
      <c r="AF95" s="5">
        <v>15</v>
      </c>
      <c r="AG95" s="5">
        <v>0.9</v>
      </c>
      <c r="AH95" s="4" t="s">
        <v>66</v>
      </c>
      <c r="AI95" s="4" t="s">
        <v>65</v>
      </c>
      <c r="AJ95" s="4" t="s">
        <v>87</v>
      </c>
    </row>
    <row r="96" spans="1:36" ht="27.75" customHeight="1" x14ac:dyDescent="0.2">
      <c r="A96" s="3">
        <v>571</v>
      </c>
      <c r="B96" s="4" t="s">
        <v>441</v>
      </c>
      <c r="C96" s="4" t="s">
        <v>425</v>
      </c>
      <c r="D96" s="4" t="s">
        <v>436</v>
      </c>
      <c r="E96" s="4" t="s">
        <v>258</v>
      </c>
      <c r="F96" s="4" t="s">
        <v>63</v>
      </c>
      <c r="G96" s="4" t="s">
        <v>64</v>
      </c>
      <c r="H96" s="3" t="b">
        <f>FALSE()</f>
        <v>0</v>
      </c>
      <c r="I96" s="3" t="b">
        <f>FALSE()</f>
        <v>0</v>
      </c>
      <c r="J96" s="3" t="b">
        <f>TRUE()</f>
        <v>1</v>
      </c>
      <c r="K96" s="4" t="s">
        <v>87</v>
      </c>
      <c r="L96" s="3">
        <v>100</v>
      </c>
      <c r="M96" s="5">
        <v>20.5</v>
      </c>
      <c r="N96" s="5">
        <v>0.85</v>
      </c>
      <c r="O96" s="5">
        <v>5.0199999999999996</v>
      </c>
      <c r="P96" s="5">
        <v>2.98</v>
      </c>
      <c r="Q96" s="5">
        <v>1.78</v>
      </c>
      <c r="R96" s="5">
        <v>0.17</v>
      </c>
      <c r="S96" s="5">
        <v>0.02</v>
      </c>
      <c r="T96" s="5">
        <v>0.08</v>
      </c>
      <c r="U96" s="5">
        <v>0.05</v>
      </c>
      <c r="V96" s="5">
        <v>0</v>
      </c>
      <c r="W96" s="5">
        <v>2.5499999999999998</v>
      </c>
      <c r="X96" s="5">
        <v>2</v>
      </c>
      <c r="Y96" s="5">
        <v>194.7</v>
      </c>
      <c r="Z96" s="5">
        <v>7.6</v>
      </c>
      <c r="AA96" s="5">
        <v>11.9</v>
      </c>
      <c r="AB96" s="5">
        <v>0.17</v>
      </c>
      <c r="AC96" s="5">
        <v>0.17</v>
      </c>
      <c r="AD96" s="5">
        <v>1.9</v>
      </c>
      <c r="AE96" s="5">
        <v>18.7</v>
      </c>
      <c r="AF96" s="5">
        <v>15</v>
      </c>
      <c r="AG96" s="5">
        <v>0.8</v>
      </c>
      <c r="AH96" s="4" t="s">
        <v>77</v>
      </c>
      <c r="AI96" s="4" t="s">
        <v>65</v>
      </c>
      <c r="AJ96" s="4" t="s">
        <v>87</v>
      </c>
    </row>
    <row r="97" spans="1:36" ht="27.75" customHeight="1" x14ac:dyDescent="0.2">
      <c r="A97" s="3">
        <v>583</v>
      </c>
      <c r="B97" s="4" t="s">
        <v>1315</v>
      </c>
      <c r="C97" s="4" t="s">
        <v>425</v>
      </c>
      <c r="D97" s="4" t="s">
        <v>436</v>
      </c>
      <c r="E97" s="4" t="s">
        <v>310</v>
      </c>
      <c r="F97" s="4" t="s">
        <v>63</v>
      </c>
      <c r="G97" s="4" t="s">
        <v>64</v>
      </c>
      <c r="H97" s="3" t="b">
        <f>FALSE()</f>
        <v>0</v>
      </c>
      <c r="I97" s="3" t="b">
        <f>FALSE()</f>
        <v>0</v>
      </c>
      <c r="J97" s="3" t="b">
        <f>TRUE()</f>
        <v>1</v>
      </c>
      <c r="K97" s="4" t="s">
        <v>87</v>
      </c>
      <c r="L97" s="3">
        <v>100</v>
      </c>
      <c r="M97" s="5">
        <v>31</v>
      </c>
      <c r="N97" s="5">
        <v>1</v>
      </c>
      <c r="O97" s="5">
        <v>6</v>
      </c>
      <c r="P97" s="5">
        <v>4.2</v>
      </c>
      <c r="Q97" s="5">
        <v>1.59</v>
      </c>
      <c r="R97" s="5">
        <v>0.3</v>
      </c>
      <c r="S97" s="5">
        <v>0.04</v>
      </c>
      <c r="T97" s="5">
        <v>0.14000000000000001</v>
      </c>
      <c r="U97" s="5">
        <v>0.09</v>
      </c>
      <c r="V97" s="5">
        <v>0</v>
      </c>
      <c r="W97" s="5">
        <v>2.1</v>
      </c>
      <c r="X97" s="5">
        <v>4</v>
      </c>
      <c r="Y97" s="5">
        <v>211</v>
      </c>
      <c r="Z97" s="5">
        <v>7</v>
      </c>
      <c r="AA97" s="5">
        <v>12</v>
      </c>
      <c r="AB97" s="5">
        <v>0.4</v>
      </c>
      <c r="AC97" s="5">
        <v>0.3</v>
      </c>
      <c r="AD97" s="5">
        <v>127.7</v>
      </c>
      <c r="AE97" s="5">
        <v>46</v>
      </c>
      <c r="AF97" s="5">
        <v>15</v>
      </c>
      <c r="AG97" s="5">
        <v>0.9</v>
      </c>
      <c r="AH97" s="4" t="s">
        <v>66</v>
      </c>
      <c r="AI97" s="4" t="s">
        <v>65</v>
      </c>
      <c r="AJ97" s="4" t="s">
        <v>87</v>
      </c>
    </row>
    <row r="98" spans="1:36" ht="27.75" customHeight="1" x14ac:dyDescent="0.2">
      <c r="A98" s="3">
        <v>586</v>
      </c>
      <c r="B98" s="4" t="s">
        <v>1316</v>
      </c>
      <c r="C98" s="4" t="s">
        <v>425</v>
      </c>
      <c r="D98" s="4" t="s">
        <v>436</v>
      </c>
      <c r="E98" s="4" t="s">
        <v>258</v>
      </c>
      <c r="F98" s="4" t="s">
        <v>63</v>
      </c>
      <c r="G98" s="4" t="s">
        <v>64</v>
      </c>
      <c r="H98" s="3" t="b">
        <f>FALSE()</f>
        <v>0</v>
      </c>
      <c r="I98" s="3" t="b">
        <f>FALSE()</f>
        <v>0</v>
      </c>
      <c r="J98" s="3" t="b">
        <f>TRUE()</f>
        <v>1</v>
      </c>
      <c r="K98" s="4" t="s">
        <v>87</v>
      </c>
      <c r="L98" s="3">
        <v>100</v>
      </c>
      <c r="M98" s="5">
        <v>25.4</v>
      </c>
      <c r="N98" s="5">
        <v>0.85</v>
      </c>
      <c r="O98" s="5">
        <v>5.0999999999999996</v>
      </c>
      <c r="P98" s="5">
        <v>3.57</v>
      </c>
      <c r="Q98" s="5">
        <v>1.35</v>
      </c>
      <c r="R98" s="5">
        <v>0.26</v>
      </c>
      <c r="S98" s="5">
        <v>0.03</v>
      </c>
      <c r="T98" s="5">
        <v>0.13</v>
      </c>
      <c r="U98" s="5">
        <v>0.08</v>
      </c>
      <c r="V98" s="5">
        <v>0</v>
      </c>
      <c r="W98" s="5">
        <v>1.78</v>
      </c>
      <c r="X98" s="5">
        <v>4</v>
      </c>
      <c r="Y98" s="5">
        <v>179.3</v>
      </c>
      <c r="Z98" s="5">
        <v>6</v>
      </c>
      <c r="AA98" s="5">
        <v>10.199999999999999</v>
      </c>
      <c r="AB98" s="5">
        <v>0.34</v>
      </c>
      <c r="AC98" s="5">
        <v>0.26</v>
      </c>
      <c r="AD98" s="5">
        <v>108.5</v>
      </c>
      <c r="AE98" s="5">
        <v>39.1</v>
      </c>
      <c r="AF98" s="5">
        <v>15</v>
      </c>
      <c r="AG98" s="5">
        <v>0.8</v>
      </c>
      <c r="AH98" s="4" t="s">
        <v>77</v>
      </c>
      <c r="AI98" s="4" t="s">
        <v>65</v>
      </c>
      <c r="AJ98" s="4" t="s">
        <v>87</v>
      </c>
    </row>
    <row r="99" spans="1:36" ht="27.75" customHeight="1" x14ac:dyDescent="0.2">
      <c r="A99" s="3">
        <v>592</v>
      </c>
      <c r="B99" s="4" t="s">
        <v>1317</v>
      </c>
      <c r="C99" s="4" t="s">
        <v>425</v>
      </c>
      <c r="D99" s="4" t="s">
        <v>436</v>
      </c>
      <c r="E99" s="4" t="s">
        <v>428</v>
      </c>
      <c r="F99" s="4" t="s">
        <v>63</v>
      </c>
      <c r="G99" s="4" t="s">
        <v>64</v>
      </c>
      <c r="H99" s="3" t="b">
        <f>FALSE()</f>
        <v>0</v>
      </c>
      <c r="I99" s="3" t="b">
        <f>FALSE()</f>
        <v>0</v>
      </c>
      <c r="J99" s="3" t="b">
        <f>TRUE()</f>
        <v>1</v>
      </c>
      <c r="K99" s="4" t="s">
        <v>87</v>
      </c>
      <c r="L99" s="3">
        <v>100</v>
      </c>
      <c r="M99" s="5">
        <v>37.200000000000003</v>
      </c>
      <c r="N99" s="5">
        <v>0.92</v>
      </c>
      <c r="O99" s="5">
        <v>5.52</v>
      </c>
      <c r="P99" s="5">
        <v>3.86</v>
      </c>
      <c r="Q99" s="5">
        <v>1.47</v>
      </c>
      <c r="R99" s="5">
        <v>0.28000000000000003</v>
      </c>
      <c r="S99" s="5">
        <v>0.03</v>
      </c>
      <c r="T99" s="5">
        <v>0.14000000000000001</v>
      </c>
      <c r="U99" s="5">
        <v>0.09</v>
      </c>
      <c r="V99" s="5">
        <v>0</v>
      </c>
      <c r="W99" s="5">
        <v>1.93</v>
      </c>
      <c r="X99" s="5">
        <v>4</v>
      </c>
      <c r="Y99" s="5">
        <v>194.1</v>
      </c>
      <c r="Z99" s="5">
        <v>6.4</v>
      </c>
      <c r="AA99" s="5">
        <v>11</v>
      </c>
      <c r="AB99" s="5">
        <v>0.37</v>
      </c>
      <c r="AC99" s="5">
        <v>0.28000000000000003</v>
      </c>
      <c r="AD99" s="5">
        <v>117.5</v>
      </c>
      <c r="AE99" s="5">
        <v>42.3</v>
      </c>
      <c r="AF99" s="5">
        <v>15</v>
      </c>
      <c r="AG99" s="5">
        <v>0.8</v>
      </c>
      <c r="AH99" s="4" t="s">
        <v>66</v>
      </c>
      <c r="AI99" s="4" t="s">
        <v>65</v>
      </c>
      <c r="AJ99" s="4" t="s">
        <v>87</v>
      </c>
    </row>
    <row r="100" spans="1:36" ht="27.75" customHeight="1" x14ac:dyDescent="0.2">
      <c r="A100" s="3">
        <v>598</v>
      </c>
      <c r="B100" s="4" t="s">
        <v>442</v>
      </c>
      <c r="C100" s="4" t="s">
        <v>425</v>
      </c>
      <c r="D100" s="4" t="s">
        <v>443</v>
      </c>
      <c r="E100" s="4" t="s">
        <v>310</v>
      </c>
      <c r="F100" s="4" t="s">
        <v>63</v>
      </c>
      <c r="G100" s="4" t="s">
        <v>64</v>
      </c>
      <c r="H100" s="3" t="b">
        <f>FALSE()</f>
        <v>0</v>
      </c>
      <c r="I100" s="3" t="b">
        <f>FALSE()</f>
        <v>0</v>
      </c>
      <c r="J100" s="3" t="b">
        <f>TRUE()</f>
        <v>1</v>
      </c>
      <c r="K100" s="4" t="s">
        <v>87</v>
      </c>
      <c r="L100" s="3">
        <v>100</v>
      </c>
      <c r="M100" s="5">
        <v>40</v>
      </c>
      <c r="N100" s="5">
        <v>1.1000000000000001</v>
      </c>
      <c r="O100" s="5">
        <v>9.3000000000000007</v>
      </c>
      <c r="P100" s="5">
        <v>4.2</v>
      </c>
      <c r="Q100" s="5">
        <v>4.93</v>
      </c>
      <c r="R100" s="5">
        <v>0.1</v>
      </c>
      <c r="S100" s="5">
        <v>0.01</v>
      </c>
      <c r="T100" s="5">
        <v>0.05</v>
      </c>
      <c r="U100" s="5">
        <v>0.03</v>
      </c>
      <c r="V100" s="5">
        <v>0</v>
      </c>
      <c r="W100" s="5">
        <v>1.7</v>
      </c>
      <c r="X100" s="5">
        <v>4</v>
      </c>
      <c r="Y100" s="5">
        <v>146</v>
      </c>
      <c r="Z100" s="5">
        <v>23</v>
      </c>
      <c r="AA100" s="5">
        <v>10</v>
      </c>
      <c r="AB100" s="5">
        <v>0.2</v>
      </c>
      <c r="AC100" s="5">
        <v>0.2</v>
      </c>
      <c r="AD100" s="5">
        <v>7.4</v>
      </c>
      <c r="AE100" s="5">
        <v>19</v>
      </c>
      <c r="AF100" s="5">
        <v>10</v>
      </c>
      <c r="AG100" s="5">
        <v>0.9</v>
      </c>
      <c r="AH100" s="4" t="s">
        <v>66</v>
      </c>
      <c r="AI100" s="4" t="s">
        <v>65</v>
      </c>
      <c r="AJ100" s="4" t="s">
        <v>87</v>
      </c>
    </row>
    <row r="101" spans="1:36" ht="27.75" customHeight="1" x14ac:dyDescent="0.2">
      <c r="A101" s="3">
        <v>604</v>
      </c>
      <c r="B101" s="4" t="s">
        <v>444</v>
      </c>
      <c r="C101" s="4" t="s">
        <v>425</v>
      </c>
      <c r="D101" s="4" t="s">
        <v>443</v>
      </c>
      <c r="E101" s="4" t="s">
        <v>427</v>
      </c>
      <c r="F101" s="4" t="s">
        <v>63</v>
      </c>
      <c r="G101" s="4" t="s">
        <v>64</v>
      </c>
      <c r="H101" s="3" t="b">
        <f>FALSE()</f>
        <v>0</v>
      </c>
      <c r="I101" s="3" t="b">
        <f>FALSE()</f>
        <v>0</v>
      </c>
      <c r="J101" s="3" t="b">
        <f>TRUE()</f>
        <v>1</v>
      </c>
      <c r="K101" s="4" t="s">
        <v>87</v>
      </c>
      <c r="L101" s="3">
        <v>100</v>
      </c>
      <c r="M101" s="5">
        <v>54</v>
      </c>
      <c r="N101" s="5">
        <v>0.99</v>
      </c>
      <c r="O101" s="5">
        <v>8.3699999999999992</v>
      </c>
      <c r="P101" s="5">
        <v>3.78</v>
      </c>
      <c r="Q101" s="5">
        <v>4.4400000000000004</v>
      </c>
      <c r="R101" s="5">
        <v>0.09</v>
      </c>
      <c r="S101" s="5">
        <v>0.01</v>
      </c>
      <c r="T101" s="5">
        <v>0.04</v>
      </c>
      <c r="U101" s="5">
        <v>0.03</v>
      </c>
      <c r="V101" s="5">
        <v>0</v>
      </c>
      <c r="W101" s="5">
        <v>1.53</v>
      </c>
      <c r="X101" s="5">
        <v>4</v>
      </c>
      <c r="Y101" s="5">
        <v>131.4</v>
      </c>
      <c r="Z101" s="5">
        <v>20.7</v>
      </c>
      <c r="AA101" s="5">
        <v>9</v>
      </c>
      <c r="AB101" s="5">
        <v>0.18</v>
      </c>
      <c r="AC101" s="5">
        <v>0.18</v>
      </c>
      <c r="AD101" s="5">
        <v>4.3</v>
      </c>
      <c r="AE101" s="5">
        <v>12.8</v>
      </c>
      <c r="AF101" s="5">
        <v>10</v>
      </c>
      <c r="AG101" s="5">
        <v>0.8</v>
      </c>
      <c r="AH101" s="4" t="s">
        <v>66</v>
      </c>
      <c r="AI101" s="4" t="s">
        <v>65</v>
      </c>
      <c r="AJ101" s="4" t="s">
        <v>87</v>
      </c>
    </row>
    <row r="102" spans="1:36" ht="27.75" customHeight="1" x14ac:dyDescent="0.2">
      <c r="A102" s="3">
        <v>613</v>
      </c>
      <c r="B102" s="4" t="s">
        <v>1318</v>
      </c>
      <c r="C102" s="4" t="s">
        <v>425</v>
      </c>
      <c r="D102" s="4" t="s">
        <v>443</v>
      </c>
      <c r="E102" s="4" t="s">
        <v>310</v>
      </c>
      <c r="F102" s="4" t="s">
        <v>63</v>
      </c>
      <c r="G102" s="4" t="s">
        <v>64</v>
      </c>
      <c r="H102" s="3" t="b">
        <f>FALSE()</f>
        <v>0</v>
      </c>
      <c r="I102" s="3" t="b">
        <f>FALSE()</f>
        <v>0</v>
      </c>
      <c r="J102" s="3" t="b">
        <f>TRUE()</f>
        <v>1</v>
      </c>
      <c r="K102" s="4" t="s">
        <v>87</v>
      </c>
      <c r="L102" s="3">
        <v>100</v>
      </c>
      <c r="M102" s="5">
        <v>149</v>
      </c>
      <c r="N102" s="5">
        <v>6.4</v>
      </c>
      <c r="O102" s="5">
        <v>33</v>
      </c>
      <c r="P102" s="5">
        <v>1</v>
      </c>
      <c r="Q102" s="5">
        <v>31.79</v>
      </c>
      <c r="R102" s="5">
        <v>0.5</v>
      </c>
      <c r="S102" s="5">
        <v>0.06</v>
      </c>
      <c r="T102" s="5">
        <v>0.24</v>
      </c>
      <c r="U102" s="5">
        <v>0.15</v>
      </c>
      <c r="V102" s="5">
        <v>0</v>
      </c>
      <c r="W102" s="5">
        <v>2.1</v>
      </c>
      <c r="X102" s="5">
        <v>17</v>
      </c>
      <c r="Y102" s="5">
        <v>401</v>
      </c>
      <c r="Z102" s="5">
        <v>181</v>
      </c>
      <c r="AA102" s="5">
        <v>25</v>
      </c>
      <c r="AB102" s="5">
        <v>1.7</v>
      </c>
      <c r="AC102" s="5">
        <v>1.2</v>
      </c>
      <c r="AD102" s="5">
        <v>31.2</v>
      </c>
      <c r="AE102" s="5">
        <v>3</v>
      </c>
      <c r="AF102" s="5">
        <v>10</v>
      </c>
      <c r="AG102" s="5">
        <v>3.3</v>
      </c>
      <c r="AH102" s="4" t="s">
        <v>66</v>
      </c>
      <c r="AI102" s="4" t="s">
        <v>65</v>
      </c>
      <c r="AJ102" s="4" t="s">
        <v>87</v>
      </c>
    </row>
    <row r="103" spans="1:36" ht="27.75" customHeight="1" x14ac:dyDescent="0.2">
      <c r="A103" s="3">
        <v>628</v>
      </c>
      <c r="B103" s="4" t="s">
        <v>445</v>
      </c>
      <c r="C103" s="4" t="s">
        <v>446</v>
      </c>
      <c r="D103" s="4" t="s">
        <v>447</v>
      </c>
      <c r="E103" s="4" t="s">
        <v>62</v>
      </c>
      <c r="F103" s="4" t="s">
        <v>63</v>
      </c>
      <c r="G103" s="4" t="s">
        <v>64</v>
      </c>
      <c r="H103" s="3" t="b">
        <f>FALSE()</f>
        <v>0</v>
      </c>
      <c r="I103" s="3" t="b">
        <f>FALSE()</f>
        <v>0</v>
      </c>
      <c r="J103" s="3" t="b">
        <f>TRUE()</f>
        <v>1</v>
      </c>
      <c r="K103" s="4" t="s">
        <v>87</v>
      </c>
      <c r="L103" s="3">
        <v>100</v>
      </c>
      <c r="M103" s="5">
        <v>22</v>
      </c>
      <c r="N103" s="5">
        <v>3.1</v>
      </c>
      <c r="O103" s="5">
        <v>3.3</v>
      </c>
      <c r="P103" s="5">
        <v>2</v>
      </c>
      <c r="Q103" s="5">
        <v>1.2</v>
      </c>
      <c r="R103" s="5">
        <v>0.3</v>
      </c>
      <c r="S103" s="5">
        <v>0.04</v>
      </c>
      <c r="T103" s="5">
        <v>0.14000000000000001</v>
      </c>
      <c r="U103" s="5">
        <v>0.09</v>
      </c>
      <c r="V103" s="5">
        <v>0</v>
      </c>
      <c r="W103" s="5">
        <v>1</v>
      </c>
      <c r="X103" s="5">
        <v>5</v>
      </c>
      <c r="Y103" s="5">
        <v>318</v>
      </c>
      <c r="Z103" s="5">
        <v>3</v>
      </c>
      <c r="AA103" s="5">
        <v>9</v>
      </c>
      <c r="AB103" s="5">
        <v>0.5</v>
      </c>
      <c r="AC103" s="5">
        <v>0.5</v>
      </c>
      <c r="AD103" s="5">
        <v>2.1</v>
      </c>
      <c r="AE103" s="5">
        <v>17</v>
      </c>
      <c r="AF103" s="5">
        <v>10</v>
      </c>
      <c r="AG103" s="5">
        <v>0.3</v>
      </c>
      <c r="AH103" s="4" t="s">
        <v>66</v>
      </c>
      <c r="AI103" s="4" t="s">
        <v>65</v>
      </c>
      <c r="AJ103" s="4" t="s">
        <v>87</v>
      </c>
    </row>
    <row r="104" spans="1:36" ht="27.75" customHeight="1" x14ac:dyDescent="0.2">
      <c r="A104" s="3">
        <v>631</v>
      </c>
      <c r="B104" s="4" t="s">
        <v>448</v>
      </c>
      <c r="C104" s="4" t="s">
        <v>446</v>
      </c>
      <c r="D104" s="4" t="s">
        <v>447</v>
      </c>
      <c r="E104" s="4" t="s">
        <v>449</v>
      </c>
      <c r="F104" s="4" t="s">
        <v>63</v>
      </c>
      <c r="G104" s="4" t="s">
        <v>64</v>
      </c>
      <c r="H104" s="3" t="b">
        <f>FALSE()</f>
        <v>0</v>
      </c>
      <c r="I104" s="3" t="b">
        <f>FALSE()</f>
        <v>0</v>
      </c>
      <c r="J104" s="3" t="b">
        <f>TRUE()</f>
        <v>1</v>
      </c>
      <c r="K104" s="4" t="s">
        <v>87</v>
      </c>
      <c r="L104" s="3">
        <v>100</v>
      </c>
      <c r="M104" s="5">
        <v>35.200000000000003</v>
      </c>
      <c r="N104" s="5">
        <v>2.48</v>
      </c>
      <c r="O104" s="5">
        <v>2.64</v>
      </c>
      <c r="P104" s="5">
        <v>1.6</v>
      </c>
      <c r="Q104" s="5">
        <v>0.96</v>
      </c>
      <c r="R104" s="5">
        <v>0.24</v>
      </c>
      <c r="S104" s="5">
        <v>0.03</v>
      </c>
      <c r="T104" s="5">
        <v>0.12</v>
      </c>
      <c r="U104" s="5">
        <v>7.0000000000000007E-2</v>
      </c>
      <c r="V104" s="5">
        <v>0</v>
      </c>
      <c r="W104" s="5">
        <v>0.8</v>
      </c>
      <c r="X104" s="5">
        <v>5</v>
      </c>
      <c r="Y104" s="5">
        <v>254.4</v>
      </c>
      <c r="Z104" s="5">
        <v>2.4</v>
      </c>
      <c r="AA104" s="5">
        <v>7.2</v>
      </c>
      <c r="AB104" s="5">
        <v>0.4</v>
      </c>
      <c r="AC104" s="5">
        <v>0.4</v>
      </c>
      <c r="AD104" s="5">
        <v>1.7</v>
      </c>
      <c r="AE104" s="5">
        <v>13.6</v>
      </c>
      <c r="AF104" s="5">
        <v>10</v>
      </c>
      <c r="AG104" s="5">
        <v>0.3</v>
      </c>
      <c r="AH104" s="4" t="s">
        <v>66</v>
      </c>
      <c r="AI104" s="4" t="s">
        <v>65</v>
      </c>
      <c r="AJ104" s="4" t="s">
        <v>87</v>
      </c>
    </row>
    <row r="105" spans="1:36" ht="27.75" customHeight="1" x14ac:dyDescent="0.2">
      <c r="A105" s="3">
        <v>637</v>
      </c>
      <c r="B105" s="4" t="s">
        <v>450</v>
      </c>
      <c r="C105" s="4" t="s">
        <v>425</v>
      </c>
      <c r="D105" s="4" t="s">
        <v>438</v>
      </c>
      <c r="E105" s="4" t="s">
        <v>310</v>
      </c>
      <c r="F105" s="4" t="s">
        <v>63</v>
      </c>
      <c r="G105" s="4" t="s">
        <v>64</v>
      </c>
      <c r="H105" s="3" t="b">
        <f>FALSE()</f>
        <v>0</v>
      </c>
      <c r="I105" s="3" t="b">
        <f>FALSE()</f>
        <v>0</v>
      </c>
      <c r="J105" s="3" t="b">
        <f>TRUE()</f>
        <v>1</v>
      </c>
      <c r="K105" s="4" t="s">
        <v>87</v>
      </c>
      <c r="L105" s="3">
        <v>100</v>
      </c>
      <c r="M105" s="5">
        <v>43</v>
      </c>
      <c r="N105" s="5">
        <v>1.6</v>
      </c>
      <c r="O105" s="5">
        <v>9.6</v>
      </c>
      <c r="P105" s="5">
        <v>6.8</v>
      </c>
      <c r="Q105" s="5">
        <v>2.52</v>
      </c>
      <c r="R105" s="5">
        <v>0.2</v>
      </c>
      <c r="S105" s="5">
        <v>0.02</v>
      </c>
      <c r="T105" s="5">
        <v>0.1</v>
      </c>
      <c r="U105" s="5">
        <v>0.06</v>
      </c>
      <c r="V105" s="5">
        <v>0</v>
      </c>
      <c r="W105" s="5">
        <v>2.8</v>
      </c>
      <c r="X105" s="5">
        <v>78</v>
      </c>
      <c r="Y105" s="5">
        <v>325</v>
      </c>
      <c r="Z105" s="5">
        <v>16</v>
      </c>
      <c r="AA105" s="5">
        <v>23</v>
      </c>
      <c r="AB105" s="5">
        <v>0.8</v>
      </c>
      <c r="AC105" s="5">
        <v>0.4</v>
      </c>
      <c r="AD105" s="5">
        <v>4.9000000000000004</v>
      </c>
      <c r="AE105" s="5">
        <v>109</v>
      </c>
      <c r="AF105" s="5">
        <v>64</v>
      </c>
      <c r="AG105" s="5">
        <v>6.1</v>
      </c>
      <c r="AH105" s="4" t="s">
        <v>66</v>
      </c>
      <c r="AI105" s="4" t="s">
        <v>65</v>
      </c>
      <c r="AJ105" s="4" t="s">
        <v>87</v>
      </c>
    </row>
    <row r="106" spans="1:36" ht="27.75" customHeight="1" x14ac:dyDescent="0.2">
      <c r="A106" s="3">
        <v>640</v>
      </c>
      <c r="B106" s="4" t="s">
        <v>451</v>
      </c>
      <c r="C106" s="4" t="s">
        <v>425</v>
      </c>
      <c r="D106" s="4" t="s">
        <v>438</v>
      </c>
      <c r="E106" s="4" t="s">
        <v>258</v>
      </c>
      <c r="F106" s="4" t="s">
        <v>63</v>
      </c>
      <c r="G106" s="4" t="s">
        <v>64</v>
      </c>
      <c r="H106" s="3" t="b">
        <f>FALSE()</f>
        <v>0</v>
      </c>
      <c r="I106" s="3" t="b">
        <f>FALSE()</f>
        <v>0</v>
      </c>
      <c r="J106" s="3" t="b">
        <f>TRUE()</f>
        <v>1</v>
      </c>
      <c r="K106" s="4" t="s">
        <v>87</v>
      </c>
      <c r="L106" s="3">
        <v>100</v>
      </c>
      <c r="M106" s="5">
        <v>35.299999999999997</v>
      </c>
      <c r="N106" s="5">
        <v>1.36</v>
      </c>
      <c r="O106" s="5">
        <v>8.16</v>
      </c>
      <c r="P106" s="5">
        <v>5.78</v>
      </c>
      <c r="Q106" s="5">
        <v>2.14</v>
      </c>
      <c r="R106" s="5">
        <v>0.17</v>
      </c>
      <c r="S106" s="5">
        <v>0.02</v>
      </c>
      <c r="T106" s="5">
        <v>0.08</v>
      </c>
      <c r="U106" s="5">
        <v>0.05</v>
      </c>
      <c r="V106" s="5">
        <v>0</v>
      </c>
      <c r="W106" s="5">
        <v>2.38</v>
      </c>
      <c r="X106" s="5">
        <v>78</v>
      </c>
      <c r="Y106" s="5">
        <v>276.2</v>
      </c>
      <c r="Z106" s="5">
        <v>13.6</v>
      </c>
      <c r="AA106" s="5">
        <v>19.600000000000001</v>
      </c>
      <c r="AB106" s="5">
        <v>0.68</v>
      </c>
      <c r="AC106" s="5">
        <v>0.34</v>
      </c>
      <c r="AD106" s="5">
        <v>4.2</v>
      </c>
      <c r="AE106" s="5">
        <v>92.6</v>
      </c>
      <c r="AF106" s="5">
        <v>64</v>
      </c>
      <c r="AG106" s="5">
        <v>5.2</v>
      </c>
      <c r="AH106" s="4" t="s">
        <v>77</v>
      </c>
      <c r="AI106" s="4" t="s">
        <v>65</v>
      </c>
      <c r="AJ106" s="4" t="s">
        <v>87</v>
      </c>
    </row>
    <row r="107" spans="1:36" ht="27.75" customHeight="1" x14ac:dyDescent="0.2">
      <c r="A107" s="3">
        <v>652</v>
      </c>
      <c r="B107" s="4" t="s">
        <v>1319</v>
      </c>
      <c r="C107" s="4" t="s">
        <v>425</v>
      </c>
      <c r="D107" s="4" t="s">
        <v>436</v>
      </c>
      <c r="E107" s="4" t="s">
        <v>310</v>
      </c>
      <c r="F107" s="4" t="s">
        <v>63</v>
      </c>
      <c r="G107" s="4" t="s">
        <v>64</v>
      </c>
      <c r="H107" s="3" t="b">
        <f>FALSE()</f>
        <v>0</v>
      </c>
      <c r="I107" s="3" t="b">
        <f>FALSE()</f>
        <v>0</v>
      </c>
      <c r="J107" s="3" t="b">
        <f>TRUE()</f>
        <v>1</v>
      </c>
      <c r="K107" s="4" t="s">
        <v>87</v>
      </c>
      <c r="L107" s="3">
        <v>100</v>
      </c>
      <c r="M107" s="5">
        <v>15</v>
      </c>
      <c r="N107" s="5">
        <v>0.7</v>
      </c>
      <c r="O107" s="5">
        <v>3.6</v>
      </c>
      <c r="P107" s="5">
        <v>1.7</v>
      </c>
      <c r="Q107" s="5">
        <v>1.85</v>
      </c>
      <c r="R107" s="5">
        <v>0.1</v>
      </c>
      <c r="S107" s="5">
        <v>0.01</v>
      </c>
      <c r="T107" s="5">
        <v>0.05</v>
      </c>
      <c r="U107" s="5">
        <v>0.03</v>
      </c>
      <c r="V107" s="5">
        <v>0</v>
      </c>
      <c r="W107" s="5">
        <v>0.5</v>
      </c>
      <c r="X107" s="5">
        <v>2</v>
      </c>
      <c r="Y107" s="5">
        <v>147</v>
      </c>
      <c r="Z107" s="5">
        <v>16</v>
      </c>
      <c r="AA107" s="5">
        <v>13</v>
      </c>
      <c r="AB107" s="5">
        <v>0.3</v>
      </c>
      <c r="AC107" s="5">
        <v>0.2</v>
      </c>
      <c r="AD107" s="5">
        <v>2.8</v>
      </c>
      <c r="AE107" s="5">
        <v>7</v>
      </c>
      <c r="AF107" s="5">
        <v>15</v>
      </c>
      <c r="AG107" s="5">
        <v>0.5</v>
      </c>
      <c r="AH107" s="4" t="s">
        <v>66</v>
      </c>
      <c r="AI107" s="4" t="s">
        <v>65</v>
      </c>
      <c r="AJ107" s="4" t="s">
        <v>87</v>
      </c>
    </row>
    <row r="108" spans="1:36" ht="27.75" customHeight="1" x14ac:dyDescent="0.2">
      <c r="A108" s="3">
        <v>667</v>
      </c>
      <c r="B108" s="4" t="s">
        <v>452</v>
      </c>
      <c r="C108" s="4" t="s">
        <v>425</v>
      </c>
      <c r="D108" s="4" t="s">
        <v>426</v>
      </c>
      <c r="E108" s="4" t="s">
        <v>310</v>
      </c>
      <c r="F108" s="4" t="s">
        <v>63</v>
      </c>
      <c r="G108" s="4" t="s">
        <v>64</v>
      </c>
      <c r="H108" s="3" t="b">
        <f>FALSE()</f>
        <v>0</v>
      </c>
      <c r="I108" s="3" t="b">
        <f>FALSE()</f>
        <v>0</v>
      </c>
      <c r="J108" s="3" t="b">
        <f>TRUE()</f>
        <v>1</v>
      </c>
      <c r="K108" s="4" t="s">
        <v>87</v>
      </c>
      <c r="L108" s="3">
        <v>100</v>
      </c>
      <c r="M108" s="5">
        <v>25</v>
      </c>
      <c r="N108" s="5">
        <v>1.9</v>
      </c>
      <c r="O108" s="5">
        <v>5</v>
      </c>
      <c r="P108" s="5">
        <v>1.9</v>
      </c>
      <c r="Q108" s="5">
        <v>2.9</v>
      </c>
      <c r="R108" s="5">
        <v>0.3</v>
      </c>
      <c r="S108" s="5">
        <v>0.04</v>
      </c>
      <c r="T108" s="5">
        <v>0.14000000000000001</v>
      </c>
      <c r="U108" s="5">
        <v>0.09</v>
      </c>
      <c r="V108" s="5">
        <v>0</v>
      </c>
      <c r="W108" s="5">
        <v>2</v>
      </c>
      <c r="X108" s="5">
        <v>30</v>
      </c>
      <c r="Y108" s="5">
        <v>299</v>
      </c>
      <c r="Z108" s="5">
        <v>22</v>
      </c>
      <c r="AA108" s="5">
        <v>15</v>
      </c>
      <c r="AB108" s="5">
        <v>0.4</v>
      </c>
      <c r="AC108" s="5">
        <v>0.3</v>
      </c>
      <c r="AD108" s="5">
        <v>48.2</v>
      </c>
      <c r="AE108" s="5">
        <v>57</v>
      </c>
      <c r="AF108" s="5">
        <v>15</v>
      </c>
      <c r="AG108" s="5">
        <v>0.8</v>
      </c>
      <c r="AH108" s="4" t="s">
        <v>66</v>
      </c>
      <c r="AI108" s="4" t="s">
        <v>65</v>
      </c>
      <c r="AJ108" s="4" t="s">
        <v>87</v>
      </c>
    </row>
    <row r="109" spans="1:36" ht="27.75" customHeight="1" x14ac:dyDescent="0.2">
      <c r="A109" s="3">
        <v>670</v>
      </c>
      <c r="B109" s="4" t="s">
        <v>453</v>
      </c>
      <c r="C109" s="4" t="s">
        <v>425</v>
      </c>
      <c r="D109" s="4" t="s">
        <v>426</v>
      </c>
      <c r="E109" s="4" t="s">
        <v>258</v>
      </c>
      <c r="F109" s="4" t="s">
        <v>63</v>
      </c>
      <c r="G109" s="4" t="s">
        <v>64</v>
      </c>
      <c r="H109" s="3" t="b">
        <f>FALSE()</f>
        <v>0</v>
      </c>
      <c r="I109" s="3" t="b">
        <f>FALSE()</f>
        <v>0</v>
      </c>
      <c r="J109" s="3" t="b">
        <f>TRUE()</f>
        <v>1</v>
      </c>
      <c r="K109" s="4" t="s">
        <v>87</v>
      </c>
      <c r="L109" s="3">
        <v>100</v>
      </c>
      <c r="M109" s="5">
        <v>20.5</v>
      </c>
      <c r="N109" s="5">
        <v>1.61</v>
      </c>
      <c r="O109" s="5">
        <v>4.25</v>
      </c>
      <c r="P109" s="5">
        <v>1.61</v>
      </c>
      <c r="Q109" s="5">
        <v>2.4700000000000002</v>
      </c>
      <c r="R109" s="5">
        <v>0.26</v>
      </c>
      <c r="S109" s="5">
        <v>0.03</v>
      </c>
      <c r="T109" s="5">
        <v>0.13</v>
      </c>
      <c r="U109" s="5">
        <v>0.08</v>
      </c>
      <c r="V109" s="5">
        <v>0</v>
      </c>
      <c r="W109" s="5">
        <v>1.7</v>
      </c>
      <c r="X109" s="5">
        <v>30</v>
      </c>
      <c r="Y109" s="5">
        <v>254.2</v>
      </c>
      <c r="Z109" s="5">
        <v>18.7</v>
      </c>
      <c r="AA109" s="5">
        <v>12.8</v>
      </c>
      <c r="AB109" s="5">
        <v>0.34</v>
      </c>
      <c r="AC109" s="5">
        <v>0.26</v>
      </c>
      <c r="AD109" s="5">
        <v>41</v>
      </c>
      <c r="AE109" s="5">
        <v>48.4</v>
      </c>
      <c r="AF109" s="5">
        <v>15</v>
      </c>
      <c r="AG109" s="5">
        <v>0.6</v>
      </c>
      <c r="AH109" s="4" t="s">
        <v>77</v>
      </c>
      <c r="AI109" s="4" t="s">
        <v>65</v>
      </c>
      <c r="AJ109" s="4" t="s">
        <v>87</v>
      </c>
    </row>
    <row r="110" spans="1:36" ht="27.75" customHeight="1" x14ac:dyDescent="0.2">
      <c r="A110" s="3">
        <v>682</v>
      </c>
      <c r="B110" s="4" t="s">
        <v>454</v>
      </c>
      <c r="C110" s="4" t="s">
        <v>455</v>
      </c>
      <c r="D110" s="4" t="s">
        <v>456</v>
      </c>
      <c r="E110" s="4" t="s">
        <v>310</v>
      </c>
      <c r="F110" s="4" t="s">
        <v>63</v>
      </c>
      <c r="G110" s="4" t="s">
        <v>64</v>
      </c>
      <c r="H110" s="3" t="b">
        <f>FALSE()</f>
        <v>0</v>
      </c>
      <c r="I110" s="3" t="b">
        <f>FALSE()</f>
        <v>0</v>
      </c>
      <c r="J110" s="3" t="b">
        <f>FALSE()</f>
        <v>0</v>
      </c>
      <c r="K110" s="4" t="s">
        <v>65</v>
      </c>
      <c r="L110" s="3">
        <v>100</v>
      </c>
      <c r="M110" s="5">
        <v>120</v>
      </c>
      <c r="N110" s="5">
        <v>22.5</v>
      </c>
      <c r="O110" s="5">
        <v>0</v>
      </c>
      <c r="P110" s="5">
        <v>0</v>
      </c>
      <c r="Q110" s="5">
        <v>0</v>
      </c>
      <c r="R110" s="5">
        <v>2.6</v>
      </c>
      <c r="S110" s="5">
        <v>0.73</v>
      </c>
      <c r="T110" s="5">
        <v>1.03</v>
      </c>
      <c r="U110" s="5">
        <v>0.65</v>
      </c>
      <c r="V110" s="5">
        <v>0.05</v>
      </c>
      <c r="W110" s="5">
        <v>0</v>
      </c>
      <c r="X110" s="5">
        <v>70</v>
      </c>
      <c r="Y110" s="5">
        <v>256</v>
      </c>
      <c r="Z110" s="5">
        <v>11</v>
      </c>
      <c r="AA110" s="5">
        <v>28</v>
      </c>
      <c r="AB110" s="5">
        <v>0.7</v>
      </c>
      <c r="AC110" s="5">
        <v>0.7</v>
      </c>
      <c r="AD110" s="5">
        <v>0</v>
      </c>
      <c r="AE110" s="5">
        <v>4</v>
      </c>
      <c r="AF110" s="5">
        <v>0</v>
      </c>
      <c r="AG110" s="5">
        <v>0</v>
      </c>
      <c r="AH110" s="4" t="s">
        <v>66</v>
      </c>
      <c r="AI110" s="4" t="s">
        <v>65</v>
      </c>
      <c r="AJ110" s="4" t="s">
        <v>65</v>
      </c>
    </row>
    <row r="111" spans="1:36" ht="27.75" customHeight="1" x14ac:dyDescent="0.2">
      <c r="A111" s="3">
        <v>685</v>
      </c>
      <c r="B111" s="4" t="s">
        <v>457</v>
      </c>
      <c r="C111" s="4" t="s">
        <v>455</v>
      </c>
      <c r="D111" s="4" t="s">
        <v>456</v>
      </c>
      <c r="E111" s="4" t="s">
        <v>458</v>
      </c>
      <c r="F111" s="4" t="s">
        <v>63</v>
      </c>
      <c r="G111" s="4" t="s">
        <v>64</v>
      </c>
      <c r="H111" s="3" t="b">
        <f>FALSE()</f>
        <v>0</v>
      </c>
      <c r="I111" s="3" t="b">
        <f>FALSE()</f>
        <v>0</v>
      </c>
      <c r="J111" s="3" t="b">
        <f>FALSE()</f>
        <v>0</v>
      </c>
      <c r="K111" s="4" t="s">
        <v>65</v>
      </c>
      <c r="L111" s="3">
        <v>100</v>
      </c>
      <c r="M111" s="5">
        <v>162</v>
      </c>
      <c r="N111" s="5">
        <v>28.12</v>
      </c>
      <c r="O111" s="5">
        <v>0</v>
      </c>
      <c r="P111" s="5">
        <v>0</v>
      </c>
      <c r="Q111" s="5">
        <v>0</v>
      </c>
      <c r="R111" s="5">
        <v>3.25</v>
      </c>
      <c r="S111" s="5">
        <v>0.91</v>
      </c>
      <c r="T111" s="5">
        <v>1.29</v>
      </c>
      <c r="U111" s="5">
        <v>0.82</v>
      </c>
      <c r="V111" s="5">
        <v>0.06</v>
      </c>
      <c r="W111" s="5">
        <v>0</v>
      </c>
      <c r="X111" s="5">
        <v>70</v>
      </c>
      <c r="Y111" s="5">
        <v>320</v>
      </c>
      <c r="Z111" s="5">
        <v>13.8</v>
      </c>
      <c r="AA111" s="5">
        <v>35</v>
      </c>
      <c r="AB111" s="5">
        <v>0.88</v>
      </c>
      <c r="AC111" s="5">
        <v>0.88</v>
      </c>
      <c r="AD111" s="5">
        <v>0</v>
      </c>
      <c r="AE111" s="5">
        <v>5</v>
      </c>
      <c r="AF111" s="5">
        <v>0</v>
      </c>
      <c r="AG111" s="5">
        <v>0</v>
      </c>
      <c r="AH111" s="4" t="s">
        <v>77</v>
      </c>
      <c r="AI111" s="4" t="s">
        <v>65</v>
      </c>
      <c r="AJ111" s="4" t="s">
        <v>65</v>
      </c>
    </row>
    <row r="112" spans="1:36" ht="27.75" customHeight="1" x14ac:dyDescent="0.2">
      <c r="A112" s="3">
        <v>694</v>
      </c>
      <c r="B112" s="4" t="s">
        <v>460</v>
      </c>
      <c r="C112" s="4" t="s">
        <v>455</v>
      </c>
      <c r="D112" s="4" t="s">
        <v>456</v>
      </c>
      <c r="E112" s="4" t="s">
        <v>310</v>
      </c>
      <c r="F112" s="4" t="s">
        <v>63</v>
      </c>
      <c r="G112" s="4" t="s">
        <v>64</v>
      </c>
      <c r="H112" s="3" t="b">
        <f>FALSE()</f>
        <v>0</v>
      </c>
      <c r="I112" s="3" t="b">
        <f>FALSE()</f>
        <v>0</v>
      </c>
      <c r="J112" s="3" t="b">
        <f>FALSE()</f>
        <v>0</v>
      </c>
      <c r="K112" s="4" t="s">
        <v>65</v>
      </c>
      <c r="L112" s="3">
        <v>100</v>
      </c>
      <c r="M112" s="5">
        <v>177</v>
      </c>
      <c r="N112" s="5">
        <v>18</v>
      </c>
      <c r="O112" s="5">
        <v>0</v>
      </c>
      <c r="P112" s="5">
        <v>0</v>
      </c>
      <c r="Q112" s="5">
        <v>0</v>
      </c>
      <c r="R112" s="5">
        <v>11</v>
      </c>
      <c r="S112" s="5">
        <v>3.08</v>
      </c>
      <c r="T112" s="5">
        <v>4.3600000000000003</v>
      </c>
      <c r="U112" s="5">
        <v>2.77</v>
      </c>
      <c r="V112" s="5">
        <v>0.1</v>
      </c>
      <c r="W112" s="5">
        <v>0</v>
      </c>
      <c r="X112" s="5">
        <v>80</v>
      </c>
      <c r="Y112" s="5">
        <v>220</v>
      </c>
      <c r="Z112" s="5">
        <v>11</v>
      </c>
      <c r="AA112" s="5">
        <v>20</v>
      </c>
      <c r="AB112" s="5">
        <v>0.9</v>
      </c>
      <c r="AC112" s="5">
        <v>1.8</v>
      </c>
      <c r="AD112" s="5">
        <v>0</v>
      </c>
      <c r="AE112" s="5">
        <v>5</v>
      </c>
      <c r="AF112" s="5">
        <v>0</v>
      </c>
      <c r="AG112" s="5">
        <v>0</v>
      </c>
      <c r="AH112" s="4" t="s">
        <v>66</v>
      </c>
      <c r="AI112" s="4" t="s">
        <v>65</v>
      </c>
      <c r="AJ112" s="4" t="s">
        <v>65</v>
      </c>
    </row>
    <row r="113" spans="1:36" ht="27.75" customHeight="1" x14ac:dyDescent="0.2">
      <c r="A113" s="3">
        <v>697</v>
      </c>
      <c r="B113" s="4" t="s">
        <v>461</v>
      </c>
      <c r="C113" s="4" t="s">
        <v>455</v>
      </c>
      <c r="D113" s="4" t="s">
        <v>456</v>
      </c>
      <c r="E113" s="4" t="s">
        <v>458</v>
      </c>
      <c r="F113" s="4" t="s">
        <v>63</v>
      </c>
      <c r="G113" s="4" t="s">
        <v>64</v>
      </c>
      <c r="H113" s="3" t="b">
        <f>FALSE()</f>
        <v>0</v>
      </c>
      <c r="I113" s="3" t="b">
        <f>FALSE()</f>
        <v>0</v>
      </c>
      <c r="J113" s="3" t="b">
        <f>FALSE()</f>
        <v>0</v>
      </c>
      <c r="K113" s="4" t="s">
        <v>65</v>
      </c>
      <c r="L113" s="3">
        <v>100</v>
      </c>
      <c r="M113" s="5">
        <v>239</v>
      </c>
      <c r="N113" s="5">
        <v>22.5</v>
      </c>
      <c r="O113" s="5">
        <v>0</v>
      </c>
      <c r="P113" s="5">
        <v>0</v>
      </c>
      <c r="Q113" s="5">
        <v>0</v>
      </c>
      <c r="R113" s="5">
        <v>14.85</v>
      </c>
      <c r="S113" s="5">
        <v>4.16</v>
      </c>
      <c r="T113" s="5">
        <v>5.88</v>
      </c>
      <c r="U113" s="5">
        <v>3.74</v>
      </c>
      <c r="V113" s="5">
        <v>0.12</v>
      </c>
      <c r="W113" s="5">
        <v>0</v>
      </c>
      <c r="X113" s="5">
        <v>80</v>
      </c>
      <c r="Y113" s="5">
        <v>275</v>
      </c>
      <c r="Z113" s="5">
        <v>13.8</v>
      </c>
      <c r="AA113" s="5">
        <v>25</v>
      </c>
      <c r="AB113" s="5">
        <v>1.1200000000000001</v>
      </c>
      <c r="AC113" s="5">
        <v>2.25</v>
      </c>
      <c r="AD113" s="5">
        <v>0</v>
      </c>
      <c r="AE113" s="5">
        <v>6.2</v>
      </c>
      <c r="AF113" s="5">
        <v>0</v>
      </c>
      <c r="AG113" s="5">
        <v>0</v>
      </c>
      <c r="AH113" s="4" t="s">
        <v>77</v>
      </c>
      <c r="AI113" s="4" t="s">
        <v>65</v>
      </c>
      <c r="AJ113" s="4" t="s">
        <v>65</v>
      </c>
    </row>
    <row r="114" spans="1:36" ht="27.75" customHeight="1" x14ac:dyDescent="0.2">
      <c r="A114" s="3">
        <v>706</v>
      </c>
      <c r="B114" s="4" t="s">
        <v>462</v>
      </c>
      <c r="C114" s="4" t="s">
        <v>455</v>
      </c>
      <c r="D114" s="4" t="s">
        <v>456</v>
      </c>
      <c r="E114" s="4" t="s">
        <v>310</v>
      </c>
      <c r="F114" s="4" t="s">
        <v>63</v>
      </c>
      <c r="G114" s="4" t="s">
        <v>64</v>
      </c>
      <c r="H114" s="3" t="b">
        <f>FALSE()</f>
        <v>0</v>
      </c>
      <c r="I114" s="3" t="b">
        <f>FALSE()</f>
        <v>0</v>
      </c>
      <c r="J114" s="3" t="b">
        <f>FALSE()</f>
        <v>0</v>
      </c>
      <c r="K114" s="4" t="s">
        <v>65</v>
      </c>
      <c r="L114" s="3">
        <v>100</v>
      </c>
      <c r="M114" s="5">
        <v>114</v>
      </c>
      <c r="N114" s="5">
        <v>24</v>
      </c>
      <c r="O114" s="5">
        <v>0</v>
      </c>
      <c r="P114" s="5">
        <v>0</v>
      </c>
      <c r="Q114" s="5">
        <v>0</v>
      </c>
      <c r="R114" s="5">
        <v>1.5</v>
      </c>
      <c r="S114" s="5">
        <v>0.42</v>
      </c>
      <c r="T114" s="5">
        <v>0.59</v>
      </c>
      <c r="U114" s="5">
        <v>0.38</v>
      </c>
      <c r="V114" s="5">
        <v>0.05</v>
      </c>
      <c r="W114" s="5">
        <v>0</v>
      </c>
      <c r="X114" s="5">
        <v>60</v>
      </c>
      <c r="Y114" s="5">
        <v>250</v>
      </c>
      <c r="Z114" s="5">
        <v>10</v>
      </c>
      <c r="AA114" s="5">
        <v>28</v>
      </c>
      <c r="AB114" s="5">
        <v>0.7</v>
      </c>
      <c r="AC114" s="5">
        <v>1.2</v>
      </c>
      <c r="AD114" s="5">
        <v>0</v>
      </c>
      <c r="AE114" s="5">
        <v>6</v>
      </c>
      <c r="AF114" s="5">
        <v>0</v>
      </c>
      <c r="AG114" s="5">
        <v>0</v>
      </c>
      <c r="AH114" s="4" t="s">
        <v>66</v>
      </c>
      <c r="AI114" s="4" t="s">
        <v>65</v>
      </c>
      <c r="AJ114" s="4" t="s">
        <v>65</v>
      </c>
    </row>
    <row r="115" spans="1:36" ht="27.75" customHeight="1" x14ac:dyDescent="0.2">
      <c r="A115" s="3">
        <v>709</v>
      </c>
      <c r="B115" s="4" t="s">
        <v>463</v>
      </c>
      <c r="C115" s="4" t="s">
        <v>455</v>
      </c>
      <c r="D115" s="4" t="s">
        <v>456</v>
      </c>
      <c r="E115" s="4" t="s">
        <v>458</v>
      </c>
      <c r="F115" s="4" t="s">
        <v>63</v>
      </c>
      <c r="G115" s="4" t="s">
        <v>64</v>
      </c>
      <c r="H115" s="3" t="b">
        <f>FALSE()</f>
        <v>0</v>
      </c>
      <c r="I115" s="3" t="b">
        <f>FALSE()</f>
        <v>0</v>
      </c>
      <c r="J115" s="3" t="b">
        <f>FALSE()</f>
        <v>0</v>
      </c>
      <c r="K115" s="4" t="s">
        <v>65</v>
      </c>
      <c r="L115" s="3">
        <v>100</v>
      </c>
      <c r="M115" s="5">
        <v>153.9</v>
      </c>
      <c r="N115" s="5">
        <v>30</v>
      </c>
      <c r="O115" s="5">
        <v>0</v>
      </c>
      <c r="P115" s="5">
        <v>0</v>
      </c>
      <c r="Q115" s="5">
        <v>0</v>
      </c>
      <c r="R115" s="5">
        <v>1.88</v>
      </c>
      <c r="S115" s="5">
        <v>0.53</v>
      </c>
      <c r="T115" s="5">
        <v>0.74</v>
      </c>
      <c r="U115" s="5">
        <v>0.47</v>
      </c>
      <c r="V115" s="5">
        <v>0.06</v>
      </c>
      <c r="W115" s="5">
        <v>0</v>
      </c>
      <c r="X115" s="5">
        <v>60</v>
      </c>
      <c r="Y115" s="5">
        <v>312.5</v>
      </c>
      <c r="Z115" s="5">
        <v>12.5</v>
      </c>
      <c r="AA115" s="5">
        <v>35</v>
      </c>
      <c r="AB115" s="5">
        <v>0.88</v>
      </c>
      <c r="AC115" s="5">
        <v>1.5</v>
      </c>
      <c r="AD115" s="5">
        <v>0</v>
      </c>
      <c r="AE115" s="5">
        <v>7.5</v>
      </c>
      <c r="AF115" s="5">
        <v>0</v>
      </c>
      <c r="AG115" s="5">
        <v>0</v>
      </c>
      <c r="AH115" s="4" t="s">
        <v>77</v>
      </c>
      <c r="AI115" s="4" t="s">
        <v>65</v>
      </c>
      <c r="AJ115" s="4" t="s">
        <v>65</v>
      </c>
    </row>
    <row r="116" spans="1:36" ht="27.75" customHeight="1" x14ac:dyDescent="0.2">
      <c r="A116" s="3">
        <v>718</v>
      </c>
      <c r="B116" s="4" t="s">
        <v>464</v>
      </c>
      <c r="C116" s="4" t="s">
        <v>455</v>
      </c>
      <c r="D116" s="4" t="s">
        <v>465</v>
      </c>
      <c r="E116" s="4" t="s">
        <v>310</v>
      </c>
      <c r="F116" s="4" t="s">
        <v>63</v>
      </c>
      <c r="G116" s="4" t="s">
        <v>64</v>
      </c>
      <c r="H116" s="3" t="b">
        <f>FALSE()</f>
        <v>0</v>
      </c>
      <c r="I116" s="3" t="b">
        <f>FALSE()</f>
        <v>0</v>
      </c>
      <c r="J116" s="3" t="b">
        <f>FALSE()</f>
        <v>0</v>
      </c>
      <c r="K116" s="4" t="s">
        <v>65</v>
      </c>
      <c r="L116" s="3">
        <v>100</v>
      </c>
      <c r="M116" s="5">
        <v>137</v>
      </c>
      <c r="N116" s="5">
        <v>21</v>
      </c>
      <c r="O116" s="5">
        <v>0</v>
      </c>
      <c r="P116" s="5">
        <v>0</v>
      </c>
      <c r="Q116" s="5">
        <v>0</v>
      </c>
      <c r="R116" s="5">
        <v>5</v>
      </c>
      <c r="S116" s="5">
        <v>1.4</v>
      </c>
      <c r="T116" s="5">
        <v>1.98</v>
      </c>
      <c r="U116" s="5">
        <v>1.26</v>
      </c>
      <c r="V116" s="5">
        <v>0.05</v>
      </c>
      <c r="W116" s="5">
        <v>0</v>
      </c>
      <c r="X116" s="5">
        <v>65</v>
      </c>
      <c r="Y116" s="5">
        <v>318</v>
      </c>
      <c r="Z116" s="5">
        <v>8</v>
      </c>
      <c r="AA116" s="5">
        <v>22</v>
      </c>
      <c r="AB116" s="5">
        <v>2.2999999999999998</v>
      </c>
      <c r="AC116" s="5">
        <v>4.5</v>
      </c>
      <c r="AD116" s="5">
        <v>0</v>
      </c>
      <c r="AE116" s="5">
        <v>9</v>
      </c>
      <c r="AF116" s="5">
        <v>0</v>
      </c>
      <c r="AG116" s="5">
        <v>0</v>
      </c>
      <c r="AH116" s="4" t="s">
        <v>66</v>
      </c>
      <c r="AI116" s="4" t="s">
        <v>65</v>
      </c>
      <c r="AJ116" s="4" t="s">
        <v>65</v>
      </c>
    </row>
    <row r="117" spans="1:36" ht="27.75" customHeight="1" x14ac:dyDescent="0.2">
      <c r="A117" s="3">
        <v>721</v>
      </c>
      <c r="B117" s="4" t="s">
        <v>466</v>
      </c>
      <c r="C117" s="4" t="s">
        <v>455</v>
      </c>
      <c r="D117" s="4" t="s">
        <v>465</v>
      </c>
      <c r="E117" s="4" t="s">
        <v>458</v>
      </c>
      <c r="F117" s="4" t="s">
        <v>63</v>
      </c>
      <c r="G117" s="4" t="s">
        <v>64</v>
      </c>
      <c r="H117" s="3" t="b">
        <f>FALSE()</f>
        <v>0</v>
      </c>
      <c r="I117" s="3" t="b">
        <f>FALSE()</f>
        <v>0</v>
      </c>
      <c r="J117" s="3" t="b">
        <f>FALSE()</f>
        <v>0</v>
      </c>
      <c r="K117" s="4" t="s">
        <v>65</v>
      </c>
      <c r="L117" s="3">
        <v>100</v>
      </c>
      <c r="M117" s="5">
        <v>185</v>
      </c>
      <c r="N117" s="5">
        <v>26.25</v>
      </c>
      <c r="O117" s="5">
        <v>0</v>
      </c>
      <c r="P117" s="5">
        <v>0</v>
      </c>
      <c r="Q117" s="5">
        <v>0</v>
      </c>
      <c r="R117" s="5">
        <v>6.75</v>
      </c>
      <c r="S117" s="5">
        <v>1.89</v>
      </c>
      <c r="T117" s="5">
        <v>2.67</v>
      </c>
      <c r="U117" s="5">
        <v>1.7</v>
      </c>
      <c r="V117" s="5">
        <v>0.06</v>
      </c>
      <c r="W117" s="5">
        <v>0</v>
      </c>
      <c r="X117" s="5">
        <v>65</v>
      </c>
      <c r="Y117" s="5">
        <v>397.5</v>
      </c>
      <c r="Z117" s="5">
        <v>10</v>
      </c>
      <c r="AA117" s="5">
        <v>27.5</v>
      </c>
      <c r="AB117" s="5">
        <v>2.88</v>
      </c>
      <c r="AC117" s="5">
        <v>5.62</v>
      </c>
      <c r="AD117" s="5">
        <v>0</v>
      </c>
      <c r="AE117" s="5">
        <v>11.2</v>
      </c>
      <c r="AF117" s="5">
        <v>0</v>
      </c>
      <c r="AG117" s="5">
        <v>0</v>
      </c>
      <c r="AH117" s="4" t="s">
        <v>77</v>
      </c>
      <c r="AI117" s="4" t="s">
        <v>65</v>
      </c>
      <c r="AJ117" s="4" t="s">
        <v>65</v>
      </c>
    </row>
    <row r="118" spans="1:36" ht="27.75" customHeight="1" x14ac:dyDescent="0.2">
      <c r="A118" s="3">
        <v>727</v>
      </c>
      <c r="B118" s="4" t="s">
        <v>467</v>
      </c>
      <c r="C118" s="4" t="s">
        <v>455</v>
      </c>
      <c r="D118" s="4" t="s">
        <v>465</v>
      </c>
      <c r="E118" s="4" t="s">
        <v>459</v>
      </c>
      <c r="F118" s="4" t="s">
        <v>63</v>
      </c>
      <c r="G118" s="4" t="s">
        <v>64</v>
      </c>
      <c r="H118" s="3" t="b">
        <f>FALSE()</f>
        <v>0</v>
      </c>
      <c r="I118" s="3" t="b">
        <f>FALSE()</f>
        <v>0</v>
      </c>
      <c r="J118" s="3" t="b">
        <f>FALSE()</f>
        <v>0</v>
      </c>
      <c r="K118" s="4" t="s">
        <v>65</v>
      </c>
      <c r="L118" s="3">
        <v>100</v>
      </c>
      <c r="M118" s="5">
        <v>164.4</v>
      </c>
      <c r="N118" s="5">
        <v>22.05</v>
      </c>
      <c r="O118" s="5">
        <v>0</v>
      </c>
      <c r="P118" s="5">
        <v>0</v>
      </c>
      <c r="Q118" s="5">
        <v>0</v>
      </c>
      <c r="R118" s="5">
        <v>6</v>
      </c>
      <c r="S118" s="5">
        <v>1.68</v>
      </c>
      <c r="T118" s="5">
        <v>2.38</v>
      </c>
      <c r="U118" s="5">
        <v>1.51</v>
      </c>
      <c r="V118" s="5">
        <v>0.05</v>
      </c>
      <c r="W118" s="5">
        <v>0</v>
      </c>
      <c r="X118" s="5">
        <v>65</v>
      </c>
      <c r="Y118" s="5">
        <v>333.9</v>
      </c>
      <c r="Z118" s="5">
        <v>8.4</v>
      </c>
      <c r="AA118" s="5">
        <v>23.1</v>
      </c>
      <c r="AB118" s="5">
        <v>2.42</v>
      </c>
      <c r="AC118" s="5">
        <v>4.7300000000000004</v>
      </c>
      <c r="AD118" s="5">
        <v>0</v>
      </c>
      <c r="AE118" s="5">
        <v>9.5</v>
      </c>
      <c r="AF118" s="5">
        <v>0</v>
      </c>
      <c r="AG118" s="5">
        <v>0</v>
      </c>
      <c r="AH118" s="4" t="s">
        <v>66</v>
      </c>
      <c r="AI118" s="4" t="s">
        <v>65</v>
      </c>
      <c r="AJ118" s="4" t="s">
        <v>65</v>
      </c>
    </row>
    <row r="119" spans="1:36" ht="27.75" customHeight="1" x14ac:dyDescent="0.2">
      <c r="A119" s="3">
        <v>730</v>
      </c>
      <c r="B119" s="4" t="s">
        <v>468</v>
      </c>
      <c r="C119" s="4" t="s">
        <v>455</v>
      </c>
      <c r="D119" s="4" t="s">
        <v>469</v>
      </c>
      <c r="E119" s="4" t="s">
        <v>310</v>
      </c>
      <c r="F119" s="4" t="s">
        <v>63</v>
      </c>
      <c r="G119" s="4" t="s">
        <v>64</v>
      </c>
      <c r="H119" s="3" t="b">
        <f>FALSE()</f>
        <v>0</v>
      </c>
      <c r="I119" s="3" t="b">
        <f>FALSE()</f>
        <v>0</v>
      </c>
      <c r="J119" s="3" t="b">
        <f>FALSE()</f>
        <v>0</v>
      </c>
      <c r="K119" s="4" t="s">
        <v>65</v>
      </c>
      <c r="L119" s="3">
        <v>100</v>
      </c>
      <c r="M119" s="5">
        <v>143</v>
      </c>
      <c r="N119" s="5">
        <v>21.5</v>
      </c>
      <c r="O119" s="5">
        <v>0</v>
      </c>
      <c r="P119" s="5">
        <v>0</v>
      </c>
      <c r="Q119" s="5">
        <v>0</v>
      </c>
      <c r="R119" s="5">
        <v>5.5</v>
      </c>
      <c r="S119" s="5">
        <v>1.54</v>
      </c>
      <c r="T119" s="5">
        <v>2.1800000000000002</v>
      </c>
      <c r="U119" s="5">
        <v>1.39</v>
      </c>
      <c r="V119" s="5">
        <v>0.05</v>
      </c>
      <c r="W119" s="5">
        <v>0</v>
      </c>
      <c r="X119" s="5">
        <v>62</v>
      </c>
      <c r="Y119" s="5">
        <v>340</v>
      </c>
      <c r="Z119" s="5">
        <v>7</v>
      </c>
      <c r="AA119" s="5">
        <v>25</v>
      </c>
      <c r="AB119" s="5">
        <v>0.8</v>
      </c>
      <c r="AC119" s="5">
        <v>2.2000000000000002</v>
      </c>
      <c r="AD119" s="5">
        <v>0</v>
      </c>
      <c r="AE119" s="5">
        <v>5</v>
      </c>
      <c r="AF119" s="5">
        <v>0</v>
      </c>
      <c r="AG119" s="5">
        <v>0</v>
      </c>
      <c r="AH119" s="4" t="s">
        <v>66</v>
      </c>
      <c r="AI119" s="4" t="s">
        <v>65</v>
      </c>
      <c r="AJ119" s="4" t="s">
        <v>65</v>
      </c>
    </row>
    <row r="120" spans="1:36" ht="27.75" customHeight="1" x14ac:dyDescent="0.2">
      <c r="A120" s="3">
        <v>733</v>
      </c>
      <c r="B120" s="4" t="s">
        <v>470</v>
      </c>
      <c r="C120" s="4" t="s">
        <v>455</v>
      </c>
      <c r="D120" s="4" t="s">
        <v>469</v>
      </c>
      <c r="E120" s="4" t="s">
        <v>458</v>
      </c>
      <c r="F120" s="4" t="s">
        <v>63</v>
      </c>
      <c r="G120" s="4" t="s">
        <v>64</v>
      </c>
      <c r="H120" s="3" t="b">
        <f>FALSE()</f>
        <v>0</v>
      </c>
      <c r="I120" s="3" t="b">
        <f>FALSE()</f>
        <v>0</v>
      </c>
      <c r="J120" s="3" t="b">
        <f>FALSE()</f>
        <v>0</v>
      </c>
      <c r="K120" s="4" t="s">
        <v>65</v>
      </c>
      <c r="L120" s="3">
        <v>100</v>
      </c>
      <c r="M120" s="5">
        <v>193.1</v>
      </c>
      <c r="N120" s="5">
        <v>26.88</v>
      </c>
      <c r="O120" s="5">
        <v>0</v>
      </c>
      <c r="P120" s="5">
        <v>0</v>
      </c>
      <c r="Q120" s="5">
        <v>0</v>
      </c>
      <c r="R120" s="5">
        <v>7.43</v>
      </c>
      <c r="S120" s="5">
        <v>2.08</v>
      </c>
      <c r="T120" s="5">
        <v>2.94</v>
      </c>
      <c r="U120" s="5">
        <v>1.87</v>
      </c>
      <c r="V120" s="5">
        <v>0.06</v>
      </c>
      <c r="W120" s="5">
        <v>0</v>
      </c>
      <c r="X120" s="5">
        <v>62</v>
      </c>
      <c r="Y120" s="5">
        <v>425</v>
      </c>
      <c r="Z120" s="5">
        <v>8.8000000000000007</v>
      </c>
      <c r="AA120" s="5">
        <v>31.2</v>
      </c>
      <c r="AB120" s="5">
        <v>1</v>
      </c>
      <c r="AC120" s="5">
        <v>2.75</v>
      </c>
      <c r="AD120" s="5">
        <v>0</v>
      </c>
      <c r="AE120" s="5">
        <v>6.2</v>
      </c>
      <c r="AF120" s="5">
        <v>0</v>
      </c>
      <c r="AG120" s="5">
        <v>0</v>
      </c>
      <c r="AH120" s="4" t="s">
        <v>77</v>
      </c>
      <c r="AI120" s="4" t="s">
        <v>65</v>
      </c>
      <c r="AJ120" s="4" t="s">
        <v>65</v>
      </c>
    </row>
    <row r="121" spans="1:36" ht="27.75" customHeight="1" x14ac:dyDescent="0.2">
      <c r="A121" s="3">
        <v>736</v>
      </c>
      <c r="B121" s="4" t="s">
        <v>471</v>
      </c>
      <c r="C121" s="4" t="s">
        <v>455</v>
      </c>
      <c r="D121" s="4" t="s">
        <v>469</v>
      </c>
      <c r="E121" s="4" t="s">
        <v>428</v>
      </c>
      <c r="F121" s="4" t="s">
        <v>63</v>
      </c>
      <c r="G121" s="4" t="s">
        <v>64</v>
      </c>
      <c r="H121" s="3" t="b">
        <f>FALSE()</f>
        <v>0</v>
      </c>
      <c r="I121" s="3" t="b">
        <f>FALSE()</f>
        <v>0</v>
      </c>
      <c r="J121" s="3" t="b">
        <f>FALSE()</f>
        <v>0</v>
      </c>
      <c r="K121" s="4" t="s">
        <v>65</v>
      </c>
      <c r="L121" s="3">
        <v>100</v>
      </c>
      <c r="M121" s="5">
        <v>207.3</v>
      </c>
      <c r="N121" s="5">
        <v>27.95</v>
      </c>
      <c r="O121" s="5">
        <v>0</v>
      </c>
      <c r="P121" s="5">
        <v>0</v>
      </c>
      <c r="Q121" s="5">
        <v>0</v>
      </c>
      <c r="R121" s="5">
        <v>7.97</v>
      </c>
      <c r="S121" s="5">
        <v>2.23</v>
      </c>
      <c r="T121" s="5">
        <v>3.16</v>
      </c>
      <c r="U121" s="5">
        <v>2.0099999999999998</v>
      </c>
      <c r="V121" s="5">
        <v>7.0000000000000007E-2</v>
      </c>
      <c r="W121" s="5">
        <v>0</v>
      </c>
      <c r="X121" s="5">
        <v>62</v>
      </c>
      <c r="Y121" s="5">
        <v>442</v>
      </c>
      <c r="Z121" s="5">
        <v>9.1</v>
      </c>
      <c r="AA121" s="5">
        <v>32.5</v>
      </c>
      <c r="AB121" s="5">
        <v>1.04</v>
      </c>
      <c r="AC121" s="5">
        <v>2.86</v>
      </c>
      <c r="AD121" s="5">
        <v>0</v>
      </c>
      <c r="AE121" s="5">
        <v>6.5</v>
      </c>
      <c r="AF121" s="5">
        <v>0</v>
      </c>
      <c r="AG121" s="5">
        <v>0</v>
      </c>
      <c r="AH121" s="4" t="s">
        <v>66</v>
      </c>
      <c r="AI121" s="4" t="s">
        <v>65</v>
      </c>
      <c r="AJ121" s="4" t="s">
        <v>65</v>
      </c>
    </row>
    <row r="122" spans="1:36" ht="27.75" customHeight="1" x14ac:dyDescent="0.2">
      <c r="A122" s="3">
        <v>745</v>
      </c>
      <c r="B122" s="4" t="s">
        <v>474</v>
      </c>
      <c r="C122" s="4" t="s">
        <v>472</v>
      </c>
      <c r="D122" s="4" t="s">
        <v>469</v>
      </c>
      <c r="E122" s="4" t="s">
        <v>475</v>
      </c>
      <c r="F122" s="4" t="s">
        <v>63</v>
      </c>
      <c r="G122" s="4" t="s">
        <v>473</v>
      </c>
      <c r="H122" s="3" t="b">
        <f>FALSE()</f>
        <v>0</v>
      </c>
      <c r="I122" s="3" t="b">
        <f>FALSE()</f>
        <v>0</v>
      </c>
      <c r="J122" s="3" t="b">
        <f>FALSE()</f>
        <v>0</v>
      </c>
      <c r="K122" s="4" t="s">
        <v>65</v>
      </c>
      <c r="L122" s="3">
        <v>100</v>
      </c>
      <c r="M122" s="5">
        <v>145</v>
      </c>
      <c r="N122" s="5">
        <v>20</v>
      </c>
      <c r="O122" s="5">
        <v>1</v>
      </c>
      <c r="P122" s="5">
        <v>1</v>
      </c>
      <c r="Q122" s="5">
        <v>0</v>
      </c>
      <c r="R122" s="5">
        <v>6</v>
      </c>
      <c r="S122" s="5">
        <v>1.68</v>
      </c>
      <c r="T122" s="5">
        <v>2.38</v>
      </c>
      <c r="U122" s="5">
        <v>1.51</v>
      </c>
      <c r="V122" s="5">
        <v>0</v>
      </c>
      <c r="W122" s="5">
        <v>0</v>
      </c>
      <c r="X122" s="5">
        <v>1100</v>
      </c>
      <c r="Y122" s="5">
        <v>260</v>
      </c>
      <c r="Z122" s="5">
        <v>8</v>
      </c>
      <c r="AA122" s="5">
        <v>20</v>
      </c>
      <c r="AB122" s="5">
        <v>1</v>
      </c>
      <c r="AC122" s="5">
        <v>2</v>
      </c>
      <c r="AD122" s="5">
        <v>0</v>
      </c>
      <c r="AE122" s="5">
        <v>3</v>
      </c>
      <c r="AF122" s="5">
        <v>0</v>
      </c>
      <c r="AG122" s="5">
        <v>0</v>
      </c>
      <c r="AH122" s="4" t="s">
        <v>77</v>
      </c>
      <c r="AI122" s="4" t="s">
        <v>65</v>
      </c>
      <c r="AJ122" s="4" t="s">
        <v>65</v>
      </c>
    </row>
    <row r="123" spans="1:36" ht="27.75" customHeight="1" x14ac:dyDescent="0.2">
      <c r="A123" s="3">
        <v>751</v>
      </c>
      <c r="B123" s="4" t="s">
        <v>476</v>
      </c>
      <c r="C123" s="4" t="s">
        <v>472</v>
      </c>
      <c r="D123" s="4" t="s">
        <v>469</v>
      </c>
      <c r="E123" s="4" t="s">
        <v>475</v>
      </c>
      <c r="F123" s="4" t="s">
        <v>63</v>
      </c>
      <c r="G123" s="4" t="s">
        <v>473</v>
      </c>
      <c r="H123" s="3" t="b">
        <f>FALSE()</f>
        <v>0</v>
      </c>
      <c r="I123" s="3" t="b">
        <f>FALSE()</f>
        <v>0</v>
      </c>
      <c r="J123" s="3" t="b">
        <f>FALSE()</f>
        <v>0</v>
      </c>
      <c r="K123" s="4" t="s">
        <v>65</v>
      </c>
      <c r="L123" s="3">
        <v>100</v>
      </c>
      <c r="M123" s="5">
        <v>240</v>
      </c>
      <c r="N123" s="5">
        <v>31</v>
      </c>
      <c r="O123" s="5">
        <v>0</v>
      </c>
      <c r="P123" s="5">
        <v>0</v>
      </c>
      <c r="Q123" s="5">
        <v>0</v>
      </c>
      <c r="R123" s="5">
        <v>12</v>
      </c>
      <c r="S123" s="5">
        <v>3.36</v>
      </c>
      <c r="T123" s="5">
        <v>4.75</v>
      </c>
      <c r="U123" s="5">
        <v>3.02</v>
      </c>
      <c r="V123" s="5">
        <v>0</v>
      </c>
      <c r="W123" s="5">
        <v>0</v>
      </c>
      <c r="X123" s="5">
        <v>2000</v>
      </c>
      <c r="Y123" s="5">
        <v>300</v>
      </c>
      <c r="Z123" s="5">
        <v>12</v>
      </c>
      <c r="AA123" s="5">
        <v>24</v>
      </c>
      <c r="AB123" s="5">
        <v>2</v>
      </c>
      <c r="AC123" s="5">
        <v>2.8</v>
      </c>
      <c r="AD123" s="5">
        <v>0</v>
      </c>
      <c r="AE123" s="5">
        <v>4</v>
      </c>
      <c r="AF123" s="5">
        <v>0</v>
      </c>
      <c r="AG123" s="5">
        <v>0</v>
      </c>
      <c r="AH123" s="4" t="s">
        <v>77</v>
      </c>
      <c r="AI123" s="4" t="s">
        <v>65</v>
      </c>
      <c r="AJ123" s="4" t="s">
        <v>65</v>
      </c>
    </row>
    <row r="124" spans="1:36" ht="27.75" customHeight="1" x14ac:dyDescent="0.2">
      <c r="A124" s="3">
        <v>754</v>
      </c>
      <c r="B124" s="4" t="s">
        <v>477</v>
      </c>
      <c r="C124" s="4" t="s">
        <v>478</v>
      </c>
      <c r="D124" s="4" t="s">
        <v>479</v>
      </c>
      <c r="E124" s="4" t="s">
        <v>62</v>
      </c>
      <c r="F124" s="4" t="s">
        <v>63</v>
      </c>
      <c r="G124" s="4" t="s">
        <v>64</v>
      </c>
      <c r="H124" s="3" t="b">
        <f>FALSE()</f>
        <v>0</v>
      </c>
      <c r="I124" s="3" t="b">
        <f>FALSE()</f>
        <v>0</v>
      </c>
      <c r="J124" s="3" t="b">
        <f>FALSE()</f>
        <v>0</v>
      </c>
      <c r="K124" s="4" t="s">
        <v>65</v>
      </c>
      <c r="L124" s="3">
        <v>100</v>
      </c>
      <c r="M124" s="5">
        <v>155</v>
      </c>
      <c r="N124" s="5">
        <v>13</v>
      </c>
      <c r="O124" s="5">
        <v>1.1000000000000001</v>
      </c>
      <c r="P124" s="5">
        <v>1.1000000000000001</v>
      </c>
      <c r="Q124" s="5">
        <v>0</v>
      </c>
      <c r="R124" s="5">
        <v>11</v>
      </c>
      <c r="S124" s="5">
        <v>3.08</v>
      </c>
      <c r="T124" s="5">
        <v>4.3600000000000003</v>
      </c>
      <c r="U124" s="5">
        <v>2.77</v>
      </c>
      <c r="V124" s="5">
        <v>0.1</v>
      </c>
      <c r="W124" s="5">
        <v>0</v>
      </c>
      <c r="X124" s="5">
        <v>124</v>
      </c>
      <c r="Y124" s="5">
        <v>126</v>
      </c>
      <c r="Z124" s="5">
        <v>50</v>
      </c>
      <c r="AA124" s="5">
        <v>10</v>
      </c>
      <c r="AB124" s="5">
        <v>1.2</v>
      </c>
      <c r="AC124" s="5">
        <v>1.3</v>
      </c>
      <c r="AD124" s="5">
        <v>0</v>
      </c>
      <c r="AE124" s="5">
        <v>47</v>
      </c>
      <c r="AF124" s="5">
        <v>0</v>
      </c>
      <c r="AG124" s="5">
        <v>0</v>
      </c>
      <c r="AH124" s="4" t="s">
        <v>77</v>
      </c>
      <c r="AI124" s="4" t="s">
        <v>65</v>
      </c>
      <c r="AJ124" s="4" t="s">
        <v>65</v>
      </c>
    </row>
    <row r="125" spans="1:36" ht="27.75" customHeight="1" x14ac:dyDescent="0.2">
      <c r="A125" s="3">
        <v>757</v>
      </c>
      <c r="B125" s="4" t="s">
        <v>480</v>
      </c>
      <c r="C125" s="4" t="s">
        <v>478</v>
      </c>
      <c r="D125" s="4" t="s">
        <v>479</v>
      </c>
      <c r="E125" s="4" t="s">
        <v>76</v>
      </c>
      <c r="F125" s="4" t="s">
        <v>63</v>
      </c>
      <c r="G125" s="4" t="s">
        <v>64</v>
      </c>
      <c r="H125" s="3" t="b">
        <f>FALSE()</f>
        <v>0</v>
      </c>
      <c r="I125" s="3" t="b">
        <f>FALSE()</f>
        <v>0</v>
      </c>
      <c r="J125" s="3" t="b">
        <f>FALSE()</f>
        <v>0</v>
      </c>
      <c r="K125" s="4" t="s">
        <v>65</v>
      </c>
      <c r="L125" s="3">
        <v>100</v>
      </c>
      <c r="M125" s="5">
        <v>155</v>
      </c>
      <c r="N125" s="5">
        <v>13</v>
      </c>
      <c r="O125" s="5">
        <v>1.1000000000000001</v>
      </c>
      <c r="P125" s="5">
        <v>1.1000000000000001</v>
      </c>
      <c r="Q125" s="5">
        <v>0</v>
      </c>
      <c r="R125" s="5">
        <v>11</v>
      </c>
      <c r="S125" s="5">
        <v>3.08</v>
      </c>
      <c r="T125" s="5">
        <v>4.3600000000000003</v>
      </c>
      <c r="U125" s="5">
        <v>2.77</v>
      </c>
      <c r="V125" s="5">
        <v>0.1</v>
      </c>
      <c r="W125" s="5">
        <v>0</v>
      </c>
      <c r="X125" s="5">
        <v>124</v>
      </c>
      <c r="Y125" s="5">
        <v>126</v>
      </c>
      <c r="Z125" s="5">
        <v>50</v>
      </c>
      <c r="AA125" s="5">
        <v>10</v>
      </c>
      <c r="AB125" s="5">
        <v>1.2</v>
      </c>
      <c r="AC125" s="5">
        <v>1.3</v>
      </c>
      <c r="AD125" s="5">
        <v>0</v>
      </c>
      <c r="AE125" s="5">
        <v>35.200000000000003</v>
      </c>
      <c r="AF125" s="5">
        <v>0</v>
      </c>
      <c r="AG125" s="5">
        <v>0</v>
      </c>
      <c r="AH125" s="4" t="s">
        <v>77</v>
      </c>
      <c r="AI125" s="4" t="s">
        <v>65</v>
      </c>
      <c r="AJ125" s="4" t="s">
        <v>65</v>
      </c>
    </row>
    <row r="126" spans="1:36" ht="27.75" customHeight="1" x14ac:dyDescent="0.2">
      <c r="A126" s="3">
        <v>760</v>
      </c>
      <c r="B126" s="4" t="s">
        <v>481</v>
      </c>
      <c r="C126" s="4" t="s">
        <v>478</v>
      </c>
      <c r="D126" s="4" t="s">
        <v>479</v>
      </c>
      <c r="E126" s="4" t="s">
        <v>482</v>
      </c>
      <c r="F126" s="4" t="s">
        <v>63</v>
      </c>
      <c r="G126" s="4" t="s">
        <v>64</v>
      </c>
      <c r="H126" s="3" t="b">
        <f>FALSE()</f>
        <v>0</v>
      </c>
      <c r="I126" s="3" t="b">
        <f>FALSE()</f>
        <v>0</v>
      </c>
      <c r="J126" s="3" t="b">
        <f>FALSE()</f>
        <v>0</v>
      </c>
      <c r="K126" s="4" t="s">
        <v>65</v>
      </c>
      <c r="L126" s="3">
        <v>100</v>
      </c>
      <c r="M126" s="5">
        <v>193.8</v>
      </c>
      <c r="N126" s="5">
        <v>13</v>
      </c>
      <c r="O126" s="5">
        <v>1.1000000000000001</v>
      </c>
      <c r="P126" s="5">
        <v>1.1000000000000001</v>
      </c>
      <c r="Q126" s="5">
        <v>0</v>
      </c>
      <c r="R126" s="5">
        <v>13.75</v>
      </c>
      <c r="S126" s="5">
        <v>3.85</v>
      </c>
      <c r="T126" s="5">
        <v>5.45</v>
      </c>
      <c r="U126" s="5">
        <v>3.46</v>
      </c>
      <c r="V126" s="5">
        <v>0.1</v>
      </c>
      <c r="W126" s="5">
        <v>0</v>
      </c>
      <c r="X126" s="5">
        <v>124</v>
      </c>
      <c r="Y126" s="5">
        <v>126</v>
      </c>
      <c r="Z126" s="5">
        <v>50</v>
      </c>
      <c r="AA126" s="5">
        <v>10</v>
      </c>
      <c r="AB126" s="5">
        <v>1.2</v>
      </c>
      <c r="AC126" s="5">
        <v>1.3</v>
      </c>
      <c r="AD126" s="5">
        <v>0</v>
      </c>
      <c r="AE126" s="5">
        <v>47</v>
      </c>
      <c r="AF126" s="5">
        <v>0</v>
      </c>
      <c r="AG126" s="5">
        <v>0</v>
      </c>
      <c r="AH126" s="4" t="s">
        <v>77</v>
      </c>
      <c r="AI126" s="4" t="s">
        <v>65</v>
      </c>
      <c r="AJ126" s="4" t="s">
        <v>65</v>
      </c>
    </row>
    <row r="127" spans="1:36" ht="27.75" customHeight="1" x14ac:dyDescent="0.2">
      <c r="A127" s="3">
        <v>766</v>
      </c>
      <c r="B127" s="4" t="s">
        <v>483</v>
      </c>
      <c r="C127" s="4" t="s">
        <v>478</v>
      </c>
      <c r="D127" s="4" t="s">
        <v>479</v>
      </c>
      <c r="E127" s="4" t="s">
        <v>62</v>
      </c>
      <c r="F127" s="4" t="s">
        <v>63</v>
      </c>
      <c r="G127" s="4" t="s">
        <v>64</v>
      </c>
      <c r="H127" s="3" t="b">
        <f>FALSE()</f>
        <v>0</v>
      </c>
      <c r="I127" s="3" t="b">
        <f>FALSE()</f>
        <v>0</v>
      </c>
      <c r="J127" s="3" t="b">
        <f>FALSE()</f>
        <v>0</v>
      </c>
      <c r="K127" s="4" t="s">
        <v>65</v>
      </c>
      <c r="L127" s="3">
        <v>100</v>
      </c>
      <c r="M127" s="5">
        <v>52</v>
      </c>
      <c r="N127" s="5">
        <v>10.9</v>
      </c>
      <c r="O127" s="5">
        <v>0.7</v>
      </c>
      <c r="P127" s="5">
        <v>0.7</v>
      </c>
      <c r="Q127" s="5">
        <v>0</v>
      </c>
      <c r="R127" s="5">
        <v>0.2</v>
      </c>
      <c r="S127" s="5">
        <v>0.06</v>
      </c>
      <c r="T127" s="5">
        <v>0.08</v>
      </c>
      <c r="U127" s="5">
        <v>0.05</v>
      </c>
      <c r="V127" s="5">
        <v>0</v>
      </c>
      <c r="W127" s="5">
        <v>0</v>
      </c>
      <c r="X127" s="5">
        <v>166</v>
      </c>
      <c r="Y127" s="5">
        <v>163</v>
      </c>
      <c r="Z127" s="5">
        <v>7</v>
      </c>
      <c r="AA127" s="5">
        <v>11</v>
      </c>
      <c r="AB127" s="5">
        <v>0.1</v>
      </c>
      <c r="AC127" s="5">
        <v>0</v>
      </c>
      <c r="AD127" s="5">
        <v>0</v>
      </c>
      <c r="AE127" s="5">
        <v>4</v>
      </c>
      <c r="AF127" s="5">
        <v>0</v>
      </c>
      <c r="AG127" s="5">
        <v>0</v>
      </c>
      <c r="AH127" s="4" t="s">
        <v>77</v>
      </c>
      <c r="AI127" s="4" t="s">
        <v>65</v>
      </c>
      <c r="AJ127" s="4" t="s">
        <v>65</v>
      </c>
    </row>
    <row r="128" spans="1:36" ht="27.75" customHeight="1" x14ac:dyDescent="0.2">
      <c r="A128" s="3">
        <v>778</v>
      </c>
      <c r="B128" s="4" t="s">
        <v>484</v>
      </c>
      <c r="C128" s="4" t="s">
        <v>485</v>
      </c>
      <c r="D128" s="4" t="s">
        <v>486</v>
      </c>
      <c r="E128" s="4" t="s">
        <v>62</v>
      </c>
      <c r="F128" s="4" t="s">
        <v>63</v>
      </c>
      <c r="G128" s="4" t="s">
        <v>64</v>
      </c>
      <c r="H128" s="3" t="b">
        <f>FALSE()</f>
        <v>0</v>
      </c>
      <c r="I128" s="3" t="b">
        <f>FALSE()</f>
        <v>0</v>
      </c>
      <c r="J128" s="3" t="b">
        <f>FALSE()</f>
        <v>0</v>
      </c>
      <c r="K128" s="4" t="s">
        <v>65</v>
      </c>
      <c r="L128" s="3">
        <v>100</v>
      </c>
      <c r="M128" s="5">
        <v>208</v>
      </c>
      <c r="N128" s="5">
        <v>20</v>
      </c>
      <c r="O128" s="5">
        <v>0</v>
      </c>
      <c r="P128" s="5">
        <v>0</v>
      </c>
      <c r="Q128" s="5">
        <v>0</v>
      </c>
      <c r="R128" s="5">
        <v>13</v>
      </c>
      <c r="S128" s="5">
        <v>1.56</v>
      </c>
      <c r="T128" s="5">
        <v>6.29</v>
      </c>
      <c r="U128" s="5">
        <v>4</v>
      </c>
      <c r="V128" s="5">
        <v>2.2999999999999998</v>
      </c>
      <c r="W128" s="5">
        <v>0</v>
      </c>
      <c r="X128" s="5">
        <v>59</v>
      </c>
      <c r="Y128" s="5">
        <v>363</v>
      </c>
      <c r="Z128" s="5">
        <v>9</v>
      </c>
      <c r="AA128" s="5">
        <v>27</v>
      </c>
      <c r="AB128" s="5">
        <v>0.3</v>
      </c>
      <c r="AC128" s="5">
        <v>0.6</v>
      </c>
      <c r="AD128" s="5">
        <v>0</v>
      </c>
      <c r="AE128" s="5">
        <v>25</v>
      </c>
      <c r="AF128" s="5">
        <v>0</v>
      </c>
      <c r="AG128" s="5">
        <v>0</v>
      </c>
      <c r="AH128" s="4" t="s">
        <v>66</v>
      </c>
      <c r="AI128" s="4" t="s">
        <v>65</v>
      </c>
      <c r="AJ128" s="4" t="s">
        <v>65</v>
      </c>
    </row>
    <row r="129" spans="1:36" ht="27.75" customHeight="1" x14ac:dyDescent="0.2">
      <c r="A129" s="3">
        <v>781</v>
      </c>
      <c r="B129" s="4" t="s">
        <v>487</v>
      </c>
      <c r="C129" s="4" t="s">
        <v>485</v>
      </c>
      <c r="D129" s="4" t="s">
        <v>486</v>
      </c>
      <c r="E129" s="4" t="s">
        <v>458</v>
      </c>
      <c r="F129" s="4" t="s">
        <v>63</v>
      </c>
      <c r="G129" s="4" t="s">
        <v>64</v>
      </c>
      <c r="H129" s="3" t="b">
        <f>FALSE()</f>
        <v>0</v>
      </c>
      <c r="I129" s="3" t="b">
        <f>FALSE()</f>
        <v>0</v>
      </c>
      <c r="J129" s="3" t="b">
        <f>FALSE()</f>
        <v>0</v>
      </c>
      <c r="K129" s="4" t="s">
        <v>65</v>
      </c>
      <c r="L129" s="3">
        <v>100</v>
      </c>
      <c r="M129" s="5">
        <v>260</v>
      </c>
      <c r="N129" s="5">
        <v>23</v>
      </c>
      <c r="O129" s="5">
        <v>0</v>
      </c>
      <c r="P129" s="5">
        <v>0</v>
      </c>
      <c r="Q129" s="5">
        <v>0</v>
      </c>
      <c r="R129" s="5">
        <v>16.25</v>
      </c>
      <c r="S129" s="5">
        <v>1.95</v>
      </c>
      <c r="T129" s="5">
        <v>7.87</v>
      </c>
      <c r="U129" s="5">
        <v>5</v>
      </c>
      <c r="V129" s="5">
        <v>2.64</v>
      </c>
      <c r="W129" s="5">
        <v>0</v>
      </c>
      <c r="X129" s="5">
        <v>59</v>
      </c>
      <c r="Y129" s="5">
        <v>417.4</v>
      </c>
      <c r="Z129" s="5">
        <v>10.3</v>
      </c>
      <c r="AA129" s="5">
        <v>31</v>
      </c>
      <c r="AB129" s="5">
        <v>0.34</v>
      </c>
      <c r="AC129" s="5">
        <v>0.69</v>
      </c>
      <c r="AD129" s="5">
        <v>0</v>
      </c>
      <c r="AE129" s="5">
        <v>28.7</v>
      </c>
      <c r="AF129" s="5">
        <v>0</v>
      </c>
      <c r="AG129" s="5">
        <v>0</v>
      </c>
      <c r="AH129" s="4" t="s">
        <v>77</v>
      </c>
      <c r="AI129" s="4" t="s">
        <v>65</v>
      </c>
      <c r="AJ129" s="4" t="s">
        <v>65</v>
      </c>
    </row>
    <row r="130" spans="1:36" ht="27.75" customHeight="1" x14ac:dyDescent="0.2">
      <c r="A130" s="3">
        <v>787</v>
      </c>
      <c r="B130" s="4" t="s">
        <v>489</v>
      </c>
      <c r="C130" s="4" t="s">
        <v>485</v>
      </c>
      <c r="D130" s="4" t="s">
        <v>486</v>
      </c>
      <c r="E130" s="4" t="s">
        <v>490</v>
      </c>
      <c r="F130" s="4" t="s">
        <v>63</v>
      </c>
      <c r="G130" s="4" t="s">
        <v>64</v>
      </c>
      <c r="H130" s="3" t="b">
        <f>FALSE()</f>
        <v>0</v>
      </c>
      <c r="I130" s="3" t="b">
        <f>FALSE()</f>
        <v>0</v>
      </c>
      <c r="J130" s="3" t="b">
        <f>FALSE()</f>
        <v>0</v>
      </c>
      <c r="K130" s="4" t="s">
        <v>65</v>
      </c>
      <c r="L130" s="3">
        <v>100</v>
      </c>
      <c r="M130" s="5">
        <v>239.2</v>
      </c>
      <c r="N130" s="5">
        <v>22</v>
      </c>
      <c r="O130" s="5">
        <v>0</v>
      </c>
      <c r="P130" s="5">
        <v>0</v>
      </c>
      <c r="Q130" s="5">
        <v>0</v>
      </c>
      <c r="R130" s="5">
        <v>14.95</v>
      </c>
      <c r="S130" s="5">
        <v>1.79</v>
      </c>
      <c r="T130" s="5">
        <v>7.24</v>
      </c>
      <c r="U130" s="5">
        <v>4.6100000000000003</v>
      </c>
      <c r="V130" s="5">
        <v>2.5299999999999998</v>
      </c>
      <c r="W130" s="5">
        <v>0</v>
      </c>
      <c r="X130" s="5">
        <v>94.4</v>
      </c>
      <c r="Y130" s="5">
        <v>399.3</v>
      </c>
      <c r="Z130" s="5">
        <v>9.9</v>
      </c>
      <c r="AA130" s="5">
        <v>29.7</v>
      </c>
      <c r="AB130" s="5">
        <v>0.33</v>
      </c>
      <c r="AC130" s="5">
        <v>0.66</v>
      </c>
      <c r="AD130" s="5">
        <v>0</v>
      </c>
      <c r="AE130" s="5">
        <v>27.5</v>
      </c>
      <c r="AF130" s="5">
        <v>0</v>
      </c>
      <c r="AG130" s="5">
        <v>0</v>
      </c>
      <c r="AH130" s="4" t="s">
        <v>77</v>
      </c>
      <c r="AI130" s="4" t="s">
        <v>65</v>
      </c>
      <c r="AJ130" s="4" t="s">
        <v>65</v>
      </c>
    </row>
    <row r="131" spans="1:36" ht="27.75" customHeight="1" x14ac:dyDescent="0.2">
      <c r="A131" s="3">
        <v>790</v>
      </c>
      <c r="B131" s="4" t="s">
        <v>491</v>
      </c>
      <c r="C131" s="4" t="s">
        <v>485</v>
      </c>
      <c r="D131" s="4" t="s">
        <v>486</v>
      </c>
      <c r="E131" s="4" t="s">
        <v>492</v>
      </c>
      <c r="F131" s="4" t="s">
        <v>63</v>
      </c>
      <c r="G131" s="4" t="s">
        <v>64</v>
      </c>
      <c r="H131" s="3" t="b">
        <f>FALSE()</f>
        <v>0</v>
      </c>
      <c r="I131" s="3" t="b">
        <f>FALSE()</f>
        <v>0</v>
      </c>
      <c r="J131" s="3" t="b">
        <f>FALSE()</f>
        <v>0</v>
      </c>
      <c r="K131" s="4" t="s">
        <v>65</v>
      </c>
      <c r="L131" s="3">
        <v>100</v>
      </c>
      <c r="M131" s="5">
        <v>395.2</v>
      </c>
      <c r="N131" s="5">
        <v>21</v>
      </c>
      <c r="O131" s="5">
        <v>0</v>
      </c>
      <c r="P131" s="5">
        <v>0</v>
      </c>
      <c r="Q131" s="5">
        <v>0</v>
      </c>
      <c r="R131" s="5">
        <v>24.7</v>
      </c>
      <c r="S131" s="5">
        <v>2.96</v>
      </c>
      <c r="T131" s="5">
        <v>11.96</v>
      </c>
      <c r="U131" s="5">
        <v>7.61</v>
      </c>
      <c r="V131" s="5">
        <v>2.42</v>
      </c>
      <c r="W131" s="5">
        <v>0</v>
      </c>
      <c r="X131" s="5">
        <v>94.4</v>
      </c>
      <c r="Y131" s="5">
        <v>381.2</v>
      </c>
      <c r="Z131" s="5">
        <v>9.5</v>
      </c>
      <c r="AA131" s="5">
        <v>28.4</v>
      </c>
      <c r="AB131" s="5">
        <v>0.32</v>
      </c>
      <c r="AC131" s="5">
        <v>0.63</v>
      </c>
      <c r="AD131" s="5">
        <v>0</v>
      </c>
      <c r="AE131" s="5">
        <v>26.2</v>
      </c>
      <c r="AF131" s="5">
        <v>0</v>
      </c>
      <c r="AG131" s="5">
        <v>0</v>
      </c>
      <c r="AH131" s="4" t="s">
        <v>66</v>
      </c>
      <c r="AI131" s="4" t="s">
        <v>65</v>
      </c>
      <c r="AJ131" s="4" t="s">
        <v>65</v>
      </c>
    </row>
    <row r="132" spans="1:36" ht="27.75" customHeight="1" x14ac:dyDescent="0.2">
      <c r="A132" s="3">
        <v>793</v>
      </c>
      <c r="B132" s="4" t="s">
        <v>493</v>
      </c>
      <c r="C132" s="4" t="s">
        <v>485</v>
      </c>
      <c r="D132" s="4" t="s">
        <v>486</v>
      </c>
      <c r="E132" s="4" t="s">
        <v>62</v>
      </c>
      <c r="F132" s="4" t="s">
        <v>63</v>
      </c>
      <c r="G132" s="4" t="s">
        <v>494</v>
      </c>
      <c r="H132" s="3" t="b">
        <f>FALSE()</f>
        <v>0</v>
      </c>
      <c r="I132" s="3" t="b">
        <f>FALSE()</f>
        <v>0</v>
      </c>
      <c r="J132" s="3" t="b">
        <f>FALSE()</f>
        <v>0</v>
      </c>
      <c r="K132" s="4" t="s">
        <v>65</v>
      </c>
      <c r="L132" s="3">
        <v>100</v>
      </c>
      <c r="M132" s="5">
        <v>116</v>
      </c>
      <c r="N132" s="5">
        <v>26</v>
      </c>
      <c r="O132" s="5">
        <v>0</v>
      </c>
      <c r="P132" s="5">
        <v>0</v>
      </c>
      <c r="Q132" s="5">
        <v>0</v>
      </c>
      <c r="R132" s="5">
        <v>1</v>
      </c>
      <c r="S132" s="5">
        <v>0.12</v>
      </c>
      <c r="T132" s="5">
        <v>0.48</v>
      </c>
      <c r="U132" s="5">
        <v>0.31</v>
      </c>
      <c r="V132" s="5">
        <v>0.6</v>
      </c>
      <c r="W132" s="5">
        <v>0</v>
      </c>
      <c r="X132" s="5">
        <v>350</v>
      </c>
      <c r="Y132" s="5">
        <v>230</v>
      </c>
      <c r="Z132" s="5">
        <v>8</v>
      </c>
      <c r="AA132" s="5">
        <v>30</v>
      </c>
      <c r="AB132" s="5">
        <v>1</v>
      </c>
      <c r="AC132" s="5">
        <v>0.8</v>
      </c>
      <c r="AD132" s="5">
        <v>0</v>
      </c>
      <c r="AE132" s="5">
        <v>2</v>
      </c>
      <c r="AF132" s="5">
        <v>0</v>
      </c>
      <c r="AG132" s="5">
        <v>0</v>
      </c>
      <c r="AH132" s="4" t="s">
        <v>66</v>
      </c>
      <c r="AI132" s="4" t="s">
        <v>65</v>
      </c>
      <c r="AJ132" s="4" t="s">
        <v>65</v>
      </c>
    </row>
    <row r="133" spans="1:36" ht="27.75" customHeight="1" x14ac:dyDescent="0.2">
      <c r="A133" s="3">
        <v>796</v>
      </c>
      <c r="B133" s="4" t="s">
        <v>495</v>
      </c>
      <c r="C133" s="4" t="s">
        <v>485</v>
      </c>
      <c r="D133" s="4" t="s">
        <v>486</v>
      </c>
      <c r="E133" s="4" t="s">
        <v>458</v>
      </c>
      <c r="F133" s="4" t="s">
        <v>63</v>
      </c>
      <c r="G133" s="4" t="s">
        <v>494</v>
      </c>
      <c r="H133" s="3" t="b">
        <f>FALSE()</f>
        <v>0</v>
      </c>
      <c r="I133" s="3" t="b">
        <f>FALSE()</f>
        <v>0</v>
      </c>
      <c r="J133" s="3" t="b">
        <f>FALSE()</f>
        <v>0</v>
      </c>
      <c r="K133" s="4" t="s">
        <v>65</v>
      </c>
      <c r="L133" s="3">
        <v>100</v>
      </c>
      <c r="M133" s="5">
        <v>145</v>
      </c>
      <c r="N133" s="5">
        <v>29.9</v>
      </c>
      <c r="O133" s="5">
        <v>0</v>
      </c>
      <c r="P133" s="5">
        <v>0</v>
      </c>
      <c r="Q133" s="5">
        <v>0</v>
      </c>
      <c r="R133" s="5">
        <v>1.1499999999999999</v>
      </c>
      <c r="S133" s="5">
        <v>0.14000000000000001</v>
      </c>
      <c r="T133" s="5">
        <v>0.56000000000000005</v>
      </c>
      <c r="U133" s="5">
        <v>0.35</v>
      </c>
      <c r="V133" s="5">
        <v>0.69</v>
      </c>
      <c r="W133" s="5">
        <v>0</v>
      </c>
      <c r="X133" s="5">
        <v>350</v>
      </c>
      <c r="Y133" s="5">
        <v>264.5</v>
      </c>
      <c r="Z133" s="5">
        <v>9.1999999999999993</v>
      </c>
      <c r="AA133" s="5">
        <v>34.5</v>
      </c>
      <c r="AB133" s="5">
        <v>1.1499999999999999</v>
      </c>
      <c r="AC133" s="5">
        <v>0.92</v>
      </c>
      <c r="AD133" s="5">
        <v>0</v>
      </c>
      <c r="AE133" s="5">
        <v>2.2999999999999998</v>
      </c>
      <c r="AF133" s="5">
        <v>0</v>
      </c>
      <c r="AG133" s="5">
        <v>0</v>
      </c>
      <c r="AH133" s="4" t="s">
        <v>77</v>
      </c>
      <c r="AI133" s="4" t="s">
        <v>65</v>
      </c>
      <c r="AJ133" s="4" t="s">
        <v>65</v>
      </c>
    </row>
    <row r="134" spans="1:36" ht="27.75" customHeight="1" x14ac:dyDescent="0.2">
      <c r="A134" s="3">
        <v>797</v>
      </c>
      <c r="B134" s="4" t="s">
        <v>496</v>
      </c>
      <c r="C134" s="4" t="s">
        <v>485</v>
      </c>
      <c r="D134" s="4" t="s">
        <v>486</v>
      </c>
      <c r="E134" s="4" t="s">
        <v>458</v>
      </c>
      <c r="F134" s="4" t="s">
        <v>63</v>
      </c>
      <c r="G134" s="4" t="s">
        <v>494</v>
      </c>
      <c r="H134" s="3" t="b">
        <f>FALSE()</f>
        <v>0</v>
      </c>
      <c r="I134" s="3" t="b">
        <f>FALSE()</f>
        <v>0</v>
      </c>
      <c r="J134" s="3" t="b">
        <f>FALSE()</f>
        <v>0</v>
      </c>
      <c r="K134" s="4" t="s">
        <v>65</v>
      </c>
      <c r="L134" s="3">
        <v>100</v>
      </c>
      <c r="M134" s="5">
        <v>145</v>
      </c>
      <c r="N134" s="5">
        <v>29.9</v>
      </c>
      <c r="O134" s="5">
        <v>0</v>
      </c>
      <c r="P134" s="5">
        <v>0</v>
      </c>
      <c r="Q134" s="5">
        <v>0</v>
      </c>
      <c r="R134" s="5">
        <v>1.1499999999999999</v>
      </c>
      <c r="S134" s="5">
        <v>0.14000000000000001</v>
      </c>
      <c r="T134" s="5">
        <v>0.56000000000000005</v>
      </c>
      <c r="U134" s="5">
        <v>0.35</v>
      </c>
      <c r="V134" s="5">
        <v>0.69</v>
      </c>
      <c r="W134" s="5">
        <v>0</v>
      </c>
      <c r="X134" s="5">
        <v>350</v>
      </c>
      <c r="Y134" s="5">
        <v>264.5</v>
      </c>
      <c r="Z134" s="5">
        <v>9.1999999999999993</v>
      </c>
      <c r="AA134" s="5">
        <v>34.5</v>
      </c>
      <c r="AB134" s="5">
        <v>1.1499999999999999</v>
      </c>
      <c r="AC134" s="5">
        <v>0.92</v>
      </c>
      <c r="AD134" s="5">
        <v>0</v>
      </c>
      <c r="AE134" s="5">
        <v>2.2999999999999998</v>
      </c>
      <c r="AF134" s="5">
        <v>0</v>
      </c>
      <c r="AG134" s="5">
        <v>0</v>
      </c>
      <c r="AH134" s="4" t="s">
        <v>77</v>
      </c>
      <c r="AI134" s="4" t="s">
        <v>65</v>
      </c>
      <c r="AJ134" s="4" t="s">
        <v>65</v>
      </c>
    </row>
    <row r="135" spans="1:36" ht="27.75" customHeight="1" x14ac:dyDescent="0.2">
      <c r="A135" s="3">
        <v>802</v>
      </c>
      <c r="B135" s="4" t="s">
        <v>497</v>
      </c>
      <c r="C135" s="4" t="s">
        <v>485</v>
      </c>
      <c r="D135" s="4" t="s">
        <v>486</v>
      </c>
      <c r="E135" s="4" t="s">
        <v>490</v>
      </c>
      <c r="F135" s="4" t="s">
        <v>63</v>
      </c>
      <c r="G135" s="4" t="s">
        <v>494</v>
      </c>
      <c r="H135" s="3" t="b">
        <f>FALSE()</f>
        <v>0</v>
      </c>
      <c r="I135" s="3" t="b">
        <f>FALSE()</f>
        <v>0</v>
      </c>
      <c r="J135" s="3" t="b">
        <f>FALSE()</f>
        <v>0</v>
      </c>
      <c r="K135" s="4" t="s">
        <v>65</v>
      </c>
      <c r="L135" s="3">
        <v>100</v>
      </c>
      <c r="M135" s="5">
        <v>133.4</v>
      </c>
      <c r="N135" s="5">
        <v>28.6</v>
      </c>
      <c r="O135" s="5">
        <v>0</v>
      </c>
      <c r="P135" s="5">
        <v>0</v>
      </c>
      <c r="Q135" s="5">
        <v>0</v>
      </c>
      <c r="R135" s="5">
        <v>1.1000000000000001</v>
      </c>
      <c r="S135" s="5">
        <v>0.13</v>
      </c>
      <c r="T135" s="5">
        <v>0.53</v>
      </c>
      <c r="U135" s="5">
        <v>0.34</v>
      </c>
      <c r="V135" s="5">
        <v>0.66</v>
      </c>
      <c r="W135" s="5">
        <v>0</v>
      </c>
      <c r="X135" s="5">
        <v>560</v>
      </c>
      <c r="Y135" s="5">
        <v>253</v>
      </c>
      <c r="Z135" s="5">
        <v>8.8000000000000007</v>
      </c>
      <c r="AA135" s="5">
        <v>33</v>
      </c>
      <c r="AB135" s="5">
        <v>1.1000000000000001</v>
      </c>
      <c r="AC135" s="5">
        <v>0.88</v>
      </c>
      <c r="AD135" s="5">
        <v>0</v>
      </c>
      <c r="AE135" s="5">
        <v>2.2000000000000002</v>
      </c>
      <c r="AF135" s="5">
        <v>0</v>
      </c>
      <c r="AG135" s="5">
        <v>0</v>
      </c>
      <c r="AH135" s="4" t="s">
        <v>77</v>
      </c>
      <c r="AI135" s="4" t="s">
        <v>65</v>
      </c>
      <c r="AJ135" s="4" t="s">
        <v>65</v>
      </c>
    </row>
    <row r="136" spans="1:36" ht="27.75" customHeight="1" x14ac:dyDescent="0.2">
      <c r="A136" s="3">
        <v>805</v>
      </c>
      <c r="B136" s="4" t="s">
        <v>498</v>
      </c>
      <c r="C136" s="4" t="s">
        <v>485</v>
      </c>
      <c r="D136" s="4" t="s">
        <v>486</v>
      </c>
      <c r="E136" s="4" t="s">
        <v>492</v>
      </c>
      <c r="F136" s="4" t="s">
        <v>63</v>
      </c>
      <c r="G136" s="4" t="s">
        <v>494</v>
      </c>
      <c r="H136" s="3" t="b">
        <f>FALSE()</f>
        <v>0</v>
      </c>
      <c r="I136" s="3" t="b">
        <f>FALSE()</f>
        <v>0</v>
      </c>
      <c r="J136" s="3" t="b">
        <f>FALSE()</f>
        <v>0</v>
      </c>
      <c r="K136" s="4" t="s">
        <v>65</v>
      </c>
      <c r="L136" s="3">
        <v>100</v>
      </c>
      <c r="M136" s="5">
        <v>220.4</v>
      </c>
      <c r="N136" s="5">
        <v>27.3</v>
      </c>
      <c r="O136" s="5">
        <v>0</v>
      </c>
      <c r="P136" s="5">
        <v>0</v>
      </c>
      <c r="Q136" s="5">
        <v>0</v>
      </c>
      <c r="R136" s="5">
        <v>1.05</v>
      </c>
      <c r="S136" s="5">
        <v>0.13</v>
      </c>
      <c r="T136" s="5">
        <v>0.51</v>
      </c>
      <c r="U136" s="5">
        <v>0.32</v>
      </c>
      <c r="V136" s="5">
        <v>0.63</v>
      </c>
      <c r="W136" s="5">
        <v>0</v>
      </c>
      <c r="X136" s="5">
        <v>560</v>
      </c>
      <c r="Y136" s="5">
        <v>241.5</v>
      </c>
      <c r="Z136" s="5">
        <v>8.4</v>
      </c>
      <c r="AA136" s="5">
        <v>31.5</v>
      </c>
      <c r="AB136" s="5">
        <v>1.05</v>
      </c>
      <c r="AC136" s="5">
        <v>0.84</v>
      </c>
      <c r="AD136" s="5">
        <v>0</v>
      </c>
      <c r="AE136" s="5">
        <v>2.1</v>
      </c>
      <c r="AF136" s="5">
        <v>0</v>
      </c>
      <c r="AG136" s="5">
        <v>0</v>
      </c>
      <c r="AH136" s="4" t="s">
        <v>66</v>
      </c>
      <c r="AI136" s="4" t="s">
        <v>65</v>
      </c>
      <c r="AJ136" s="4" t="s">
        <v>65</v>
      </c>
    </row>
    <row r="137" spans="1:36" ht="27.75" customHeight="1" x14ac:dyDescent="0.2">
      <c r="A137" s="3">
        <v>808</v>
      </c>
      <c r="B137" s="4" t="s">
        <v>499</v>
      </c>
      <c r="C137" s="4" t="s">
        <v>485</v>
      </c>
      <c r="D137" s="4" t="s">
        <v>500</v>
      </c>
      <c r="E137" s="4" t="s">
        <v>62</v>
      </c>
      <c r="F137" s="4" t="s">
        <v>63</v>
      </c>
      <c r="G137" s="4" t="s">
        <v>64</v>
      </c>
      <c r="H137" s="3" t="b">
        <f>FALSE()</f>
        <v>0</v>
      </c>
      <c r="I137" s="3" t="b">
        <f>FALSE()</f>
        <v>0</v>
      </c>
      <c r="J137" s="3" t="b">
        <f>FALSE()</f>
        <v>0</v>
      </c>
      <c r="K137" s="4" t="s">
        <v>65</v>
      </c>
      <c r="L137" s="3">
        <v>100</v>
      </c>
      <c r="M137" s="5">
        <v>90</v>
      </c>
      <c r="N137" s="5">
        <v>18</v>
      </c>
      <c r="O137" s="5">
        <v>0</v>
      </c>
      <c r="P137" s="5">
        <v>0</v>
      </c>
      <c r="Q137" s="5">
        <v>0</v>
      </c>
      <c r="R137" s="5">
        <v>1.5</v>
      </c>
      <c r="S137" s="5">
        <v>0.18</v>
      </c>
      <c r="T137" s="5">
        <v>0.73</v>
      </c>
      <c r="U137" s="5">
        <v>0.46</v>
      </c>
      <c r="V137" s="5">
        <v>0.3</v>
      </c>
      <c r="W137" s="5">
        <v>0</v>
      </c>
      <c r="X137" s="5">
        <v>70</v>
      </c>
      <c r="Y137" s="5">
        <v>320</v>
      </c>
      <c r="Z137" s="5">
        <v>20</v>
      </c>
      <c r="AA137" s="5">
        <v>25</v>
      </c>
      <c r="AB137" s="5">
        <v>0.3</v>
      </c>
      <c r="AC137" s="5">
        <v>0.5</v>
      </c>
      <c r="AD137" s="5">
        <v>0</v>
      </c>
      <c r="AE137" s="5">
        <v>6</v>
      </c>
      <c r="AF137" s="5">
        <v>0</v>
      </c>
      <c r="AG137" s="5">
        <v>0</v>
      </c>
      <c r="AH137" s="4" t="s">
        <v>66</v>
      </c>
      <c r="AI137" s="4" t="s">
        <v>65</v>
      </c>
      <c r="AJ137" s="4" t="s">
        <v>65</v>
      </c>
    </row>
    <row r="138" spans="1:36" ht="27.75" customHeight="1" x14ac:dyDescent="0.2">
      <c r="A138" s="3">
        <v>811</v>
      </c>
      <c r="B138" s="4" t="s">
        <v>501</v>
      </c>
      <c r="C138" s="4" t="s">
        <v>485</v>
      </c>
      <c r="D138" s="4" t="s">
        <v>500</v>
      </c>
      <c r="E138" s="4" t="s">
        <v>458</v>
      </c>
      <c r="F138" s="4" t="s">
        <v>63</v>
      </c>
      <c r="G138" s="4" t="s">
        <v>64</v>
      </c>
      <c r="H138" s="3" t="b">
        <f>FALSE()</f>
        <v>0</v>
      </c>
      <c r="I138" s="3" t="b">
        <f>FALSE()</f>
        <v>0</v>
      </c>
      <c r="J138" s="3" t="b">
        <f>FALSE()</f>
        <v>0</v>
      </c>
      <c r="K138" s="4" t="s">
        <v>65</v>
      </c>
      <c r="L138" s="3">
        <v>100</v>
      </c>
      <c r="M138" s="5">
        <v>112.5</v>
      </c>
      <c r="N138" s="5">
        <v>20.7</v>
      </c>
      <c r="O138" s="5">
        <v>0</v>
      </c>
      <c r="P138" s="5">
        <v>0</v>
      </c>
      <c r="Q138" s="5">
        <v>0</v>
      </c>
      <c r="R138" s="5">
        <v>1.72</v>
      </c>
      <c r="S138" s="5">
        <v>0.21</v>
      </c>
      <c r="T138" s="5">
        <v>0.83</v>
      </c>
      <c r="U138" s="5">
        <v>0.53</v>
      </c>
      <c r="V138" s="5">
        <v>0.34</v>
      </c>
      <c r="W138" s="5">
        <v>0</v>
      </c>
      <c r="X138" s="5">
        <v>70</v>
      </c>
      <c r="Y138" s="5">
        <v>368</v>
      </c>
      <c r="Z138" s="5">
        <v>23</v>
      </c>
      <c r="AA138" s="5">
        <v>28.7</v>
      </c>
      <c r="AB138" s="5">
        <v>0.34</v>
      </c>
      <c r="AC138" s="5">
        <v>0.56999999999999995</v>
      </c>
      <c r="AD138" s="5">
        <v>0</v>
      </c>
      <c r="AE138" s="5">
        <v>6.9</v>
      </c>
      <c r="AF138" s="5">
        <v>0</v>
      </c>
      <c r="AG138" s="5">
        <v>0</v>
      </c>
      <c r="AH138" s="4" t="s">
        <v>77</v>
      </c>
      <c r="AI138" s="4" t="s">
        <v>65</v>
      </c>
      <c r="AJ138" s="4" t="s">
        <v>65</v>
      </c>
    </row>
    <row r="139" spans="1:36" ht="27.75" customHeight="1" x14ac:dyDescent="0.2">
      <c r="A139" s="3">
        <v>814</v>
      </c>
      <c r="B139" s="4" t="s">
        <v>502</v>
      </c>
      <c r="C139" s="4" t="s">
        <v>485</v>
      </c>
      <c r="D139" s="4" t="s">
        <v>500</v>
      </c>
      <c r="E139" s="4" t="s">
        <v>488</v>
      </c>
      <c r="F139" s="4" t="s">
        <v>63</v>
      </c>
      <c r="G139" s="4" t="s">
        <v>64</v>
      </c>
      <c r="H139" s="3" t="b">
        <f>FALSE()</f>
        <v>0</v>
      </c>
      <c r="I139" s="3" t="b">
        <f>FALSE()</f>
        <v>0</v>
      </c>
      <c r="J139" s="3" t="b">
        <f>FALSE()</f>
        <v>0</v>
      </c>
      <c r="K139" s="4" t="s">
        <v>65</v>
      </c>
      <c r="L139" s="3">
        <v>100</v>
      </c>
      <c r="M139" s="5">
        <v>109.8</v>
      </c>
      <c r="N139" s="5">
        <v>20.16</v>
      </c>
      <c r="O139" s="5">
        <v>0</v>
      </c>
      <c r="P139" s="5">
        <v>0</v>
      </c>
      <c r="Q139" s="5">
        <v>0</v>
      </c>
      <c r="R139" s="5">
        <v>1.68</v>
      </c>
      <c r="S139" s="5">
        <v>0.2</v>
      </c>
      <c r="T139" s="5">
        <v>0.81</v>
      </c>
      <c r="U139" s="5">
        <v>0.52</v>
      </c>
      <c r="V139" s="5">
        <v>0.34</v>
      </c>
      <c r="W139" s="5">
        <v>0</v>
      </c>
      <c r="X139" s="5">
        <v>70</v>
      </c>
      <c r="Y139" s="5">
        <v>358.4</v>
      </c>
      <c r="Z139" s="5">
        <v>22.4</v>
      </c>
      <c r="AA139" s="5">
        <v>28</v>
      </c>
      <c r="AB139" s="5">
        <v>0.34</v>
      </c>
      <c r="AC139" s="5">
        <v>0.56000000000000005</v>
      </c>
      <c r="AD139" s="5">
        <v>0</v>
      </c>
      <c r="AE139" s="5">
        <v>6.7</v>
      </c>
      <c r="AF139" s="5">
        <v>0</v>
      </c>
      <c r="AG139" s="5">
        <v>0</v>
      </c>
      <c r="AH139" s="4" t="s">
        <v>77</v>
      </c>
      <c r="AI139" s="4" t="s">
        <v>65</v>
      </c>
      <c r="AJ139" s="4" t="s">
        <v>65</v>
      </c>
    </row>
    <row r="140" spans="1:36" ht="27.75" customHeight="1" x14ac:dyDescent="0.2">
      <c r="A140" s="3">
        <v>823</v>
      </c>
      <c r="B140" s="4" t="s">
        <v>503</v>
      </c>
      <c r="C140" s="4" t="s">
        <v>485</v>
      </c>
      <c r="D140" s="4" t="s">
        <v>486</v>
      </c>
      <c r="E140" s="4" t="s">
        <v>62</v>
      </c>
      <c r="F140" s="4" t="s">
        <v>63</v>
      </c>
      <c r="G140" s="4" t="s">
        <v>64</v>
      </c>
      <c r="H140" s="3" t="b">
        <f>FALSE()</f>
        <v>0</v>
      </c>
      <c r="I140" s="3" t="b">
        <f>FALSE()</f>
        <v>0</v>
      </c>
      <c r="J140" s="3" t="b">
        <f>FALSE()</f>
        <v>0</v>
      </c>
      <c r="K140" s="4" t="s">
        <v>65</v>
      </c>
      <c r="L140" s="3">
        <v>100</v>
      </c>
      <c r="M140" s="5">
        <v>208</v>
      </c>
      <c r="N140" s="5">
        <v>25</v>
      </c>
      <c r="O140" s="5">
        <v>0</v>
      </c>
      <c r="P140" s="5">
        <v>0</v>
      </c>
      <c r="Q140" s="5">
        <v>0</v>
      </c>
      <c r="R140" s="5">
        <v>11</v>
      </c>
      <c r="S140" s="5">
        <v>1.32</v>
      </c>
      <c r="T140" s="5">
        <v>5.32</v>
      </c>
      <c r="U140" s="5">
        <v>3.39</v>
      </c>
      <c r="V140" s="5">
        <v>1.5</v>
      </c>
      <c r="W140" s="5">
        <v>0</v>
      </c>
      <c r="X140" s="5">
        <v>90</v>
      </c>
      <c r="Y140" s="5">
        <v>397</v>
      </c>
      <c r="Z140" s="5">
        <v>382</v>
      </c>
      <c r="AA140" s="5">
        <v>39</v>
      </c>
      <c r="AB140" s="5">
        <v>2.9</v>
      </c>
      <c r="AC140" s="5">
        <v>1.3</v>
      </c>
      <c r="AD140" s="5">
        <v>0</v>
      </c>
      <c r="AE140" s="5">
        <v>10</v>
      </c>
      <c r="AF140" s="5">
        <v>0</v>
      </c>
      <c r="AG140" s="5">
        <v>0</v>
      </c>
      <c r="AH140" s="4" t="s">
        <v>66</v>
      </c>
      <c r="AI140" s="4" t="s">
        <v>65</v>
      </c>
      <c r="AJ140" s="4" t="s">
        <v>65</v>
      </c>
    </row>
    <row r="141" spans="1:36" ht="27.75" customHeight="1" x14ac:dyDescent="0.2">
      <c r="A141" s="3">
        <v>826</v>
      </c>
      <c r="B141" s="4" t="s">
        <v>504</v>
      </c>
      <c r="C141" s="4" t="s">
        <v>485</v>
      </c>
      <c r="D141" s="4" t="s">
        <v>486</v>
      </c>
      <c r="E141" s="4" t="s">
        <v>458</v>
      </c>
      <c r="F141" s="4" t="s">
        <v>63</v>
      </c>
      <c r="G141" s="4" t="s">
        <v>64</v>
      </c>
      <c r="H141" s="3" t="b">
        <f>FALSE()</f>
        <v>0</v>
      </c>
      <c r="I141" s="3" t="b">
        <f>FALSE()</f>
        <v>0</v>
      </c>
      <c r="J141" s="3" t="b">
        <f>FALSE()</f>
        <v>0</v>
      </c>
      <c r="K141" s="4" t="s">
        <v>65</v>
      </c>
      <c r="L141" s="3">
        <v>100</v>
      </c>
      <c r="M141" s="5">
        <v>260</v>
      </c>
      <c r="N141" s="5">
        <v>28.75</v>
      </c>
      <c r="O141" s="5">
        <v>0</v>
      </c>
      <c r="P141" s="5">
        <v>0</v>
      </c>
      <c r="Q141" s="5">
        <v>0</v>
      </c>
      <c r="R141" s="5">
        <v>13.75</v>
      </c>
      <c r="S141" s="5">
        <v>1.65</v>
      </c>
      <c r="T141" s="5">
        <v>6.66</v>
      </c>
      <c r="U141" s="5">
        <v>4.2300000000000004</v>
      </c>
      <c r="V141" s="5">
        <v>1.72</v>
      </c>
      <c r="W141" s="5">
        <v>0</v>
      </c>
      <c r="X141" s="5">
        <v>90</v>
      </c>
      <c r="Y141" s="5">
        <v>456.5</v>
      </c>
      <c r="Z141" s="5">
        <v>439.3</v>
      </c>
      <c r="AA141" s="5">
        <v>44.8</v>
      </c>
      <c r="AB141" s="5">
        <v>3.33</v>
      </c>
      <c r="AC141" s="5">
        <v>1.49</v>
      </c>
      <c r="AD141" s="5">
        <v>0</v>
      </c>
      <c r="AE141" s="5">
        <v>11.5</v>
      </c>
      <c r="AF141" s="5">
        <v>0</v>
      </c>
      <c r="AG141" s="5">
        <v>0</v>
      </c>
      <c r="AH141" s="4" t="s">
        <v>77</v>
      </c>
      <c r="AI141" s="4" t="s">
        <v>65</v>
      </c>
      <c r="AJ141" s="4" t="s">
        <v>65</v>
      </c>
    </row>
    <row r="142" spans="1:36" ht="27.75" customHeight="1" x14ac:dyDescent="0.2">
      <c r="A142" s="3">
        <v>835</v>
      </c>
      <c r="B142" s="4" t="s">
        <v>505</v>
      </c>
      <c r="C142" s="4" t="s">
        <v>485</v>
      </c>
      <c r="D142" s="4" t="s">
        <v>486</v>
      </c>
      <c r="E142" s="4" t="s">
        <v>492</v>
      </c>
      <c r="F142" s="4" t="s">
        <v>63</v>
      </c>
      <c r="G142" s="4" t="s">
        <v>64</v>
      </c>
      <c r="H142" s="3" t="b">
        <f>FALSE()</f>
        <v>0</v>
      </c>
      <c r="I142" s="3" t="b">
        <f>FALSE()</f>
        <v>0</v>
      </c>
      <c r="J142" s="3" t="b">
        <f>FALSE()</f>
        <v>0</v>
      </c>
      <c r="K142" s="4" t="s">
        <v>65</v>
      </c>
      <c r="L142" s="3">
        <v>100</v>
      </c>
      <c r="M142" s="5">
        <v>395.2</v>
      </c>
      <c r="N142" s="5">
        <v>26.25</v>
      </c>
      <c r="O142" s="5">
        <v>0</v>
      </c>
      <c r="P142" s="5">
        <v>0</v>
      </c>
      <c r="Q142" s="5">
        <v>0</v>
      </c>
      <c r="R142" s="5">
        <v>20.9</v>
      </c>
      <c r="S142" s="5">
        <v>2.5099999999999998</v>
      </c>
      <c r="T142" s="5">
        <v>10.11</v>
      </c>
      <c r="U142" s="5">
        <v>6.44</v>
      </c>
      <c r="V142" s="5">
        <v>1.58</v>
      </c>
      <c r="W142" s="5">
        <v>0</v>
      </c>
      <c r="X142" s="5">
        <v>144</v>
      </c>
      <c r="Y142" s="5">
        <v>416.9</v>
      </c>
      <c r="Z142" s="5">
        <v>401.1</v>
      </c>
      <c r="AA142" s="5">
        <v>41</v>
      </c>
      <c r="AB142" s="5">
        <v>3.04</v>
      </c>
      <c r="AC142" s="5">
        <v>1.37</v>
      </c>
      <c r="AD142" s="5">
        <v>0</v>
      </c>
      <c r="AE142" s="5">
        <v>10.5</v>
      </c>
      <c r="AF142" s="5">
        <v>0</v>
      </c>
      <c r="AG142" s="5">
        <v>0</v>
      </c>
      <c r="AH142" s="4" t="s">
        <v>66</v>
      </c>
      <c r="AI142" s="4" t="s">
        <v>65</v>
      </c>
      <c r="AJ142" s="4" t="s">
        <v>65</v>
      </c>
    </row>
    <row r="143" spans="1:36" ht="27.75" customHeight="1" x14ac:dyDescent="0.2">
      <c r="A143" s="3">
        <v>838</v>
      </c>
      <c r="B143" s="4" t="s">
        <v>1321</v>
      </c>
      <c r="C143" s="4" t="s">
        <v>506</v>
      </c>
      <c r="D143" s="4" t="s">
        <v>507</v>
      </c>
      <c r="E143" s="4" t="s">
        <v>62</v>
      </c>
      <c r="F143" s="4" t="s">
        <v>63</v>
      </c>
      <c r="G143" s="4" t="s">
        <v>64</v>
      </c>
      <c r="H143" s="3" t="b">
        <f>FALSE()</f>
        <v>0</v>
      </c>
      <c r="I143" s="3" t="b">
        <f>FALSE()</f>
        <v>0</v>
      </c>
      <c r="J143" s="3" t="b">
        <f>FALSE()</f>
        <v>0</v>
      </c>
      <c r="K143" s="4" t="s">
        <v>65</v>
      </c>
      <c r="L143" s="3">
        <v>100</v>
      </c>
      <c r="M143" s="5">
        <v>99</v>
      </c>
      <c r="N143" s="5">
        <v>24</v>
      </c>
      <c r="O143" s="5">
        <v>0.2</v>
      </c>
      <c r="P143" s="5">
        <v>0</v>
      </c>
      <c r="Q143" s="5">
        <v>0.2</v>
      </c>
      <c r="R143" s="5">
        <v>0.3</v>
      </c>
      <c r="S143" s="5">
        <v>0.04</v>
      </c>
      <c r="T143" s="5">
        <v>0.14000000000000001</v>
      </c>
      <c r="U143" s="5">
        <v>0.09</v>
      </c>
      <c r="V143" s="5">
        <v>0.3</v>
      </c>
      <c r="W143" s="5">
        <v>0</v>
      </c>
      <c r="X143" s="5">
        <v>111</v>
      </c>
      <c r="Y143" s="5">
        <v>259</v>
      </c>
      <c r="Z143" s="5">
        <v>70</v>
      </c>
      <c r="AA143" s="5">
        <v>39</v>
      </c>
      <c r="AB143" s="5">
        <v>0.5</v>
      </c>
      <c r="AC143" s="5">
        <v>1.3</v>
      </c>
      <c r="AD143" s="5">
        <v>0</v>
      </c>
      <c r="AE143" s="5">
        <v>1</v>
      </c>
      <c r="AF143" s="5">
        <v>0</v>
      </c>
      <c r="AG143" s="5">
        <v>0</v>
      </c>
      <c r="AH143" s="4" t="s">
        <v>66</v>
      </c>
      <c r="AI143" s="4" t="s">
        <v>65</v>
      </c>
      <c r="AJ143" s="4" t="s">
        <v>65</v>
      </c>
    </row>
    <row r="144" spans="1:36" ht="27.75" customHeight="1" x14ac:dyDescent="0.2">
      <c r="A144" s="3">
        <v>841</v>
      </c>
      <c r="B144" s="4" t="s">
        <v>1320</v>
      </c>
      <c r="C144" s="4" t="s">
        <v>506</v>
      </c>
      <c r="D144" s="4" t="s">
        <v>507</v>
      </c>
      <c r="E144" s="4" t="s">
        <v>76</v>
      </c>
      <c r="F144" s="4" t="s">
        <v>63</v>
      </c>
      <c r="G144" s="4" t="s">
        <v>64</v>
      </c>
      <c r="H144" s="3" t="b">
        <f>FALSE()</f>
        <v>0</v>
      </c>
      <c r="I144" s="3" t="b">
        <f>FALSE()</f>
        <v>0</v>
      </c>
      <c r="J144" s="3" t="b">
        <f>FALSE()</f>
        <v>0</v>
      </c>
      <c r="K144" s="4" t="s">
        <v>65</v>
      </c>
      <c r="L144" s="3">
        <v>100</v>
      </c>
      <c r="M144" s="5">
        <v>106.9</v>
      </c>
      <c r="N144" s="5">
        <v>24.96</v>
      </c>
      <c r="O144" s="5">
        <v>0.21</v>
      </c>
      <c r="P144" s="5">
        <v>0</v>
      </c>
      <c r="Q144" s="5">
        <v>0.21</v>
      </c>
      <c r="R144" s="5">
        <v>0.31</v>
      </c>
      <c r="S144" s="5">
        <v>0.04</v>
      </c>
      <c r="T144" s="5">
        <v>0.15</v>
      </c>
      <c r="U144" s="5">
        <v>0.09</v>
      </c>
      <c r="V144" s="5">
        <v>0.31</v>
      </c>
      <c r="W144" s="5">
        <v>0</v>
      </c>
      <c r="X144" s="5">
        <v>111</v>
      </c>
      <c r="Y144" s="5">
        <v>269.39999999999998</v>
      </c>
      <c r="Z144" s="5">
        <v>72.8</v>
      </c>
      <c r="AA144" s="5">
        <v>40.6</v>
      </c>
      <c r="AB144" s="5">
        <v>0.52</v>
      </c>
      <c r="AC144" s="5">
        <v>1.35</v>
      </c>
      <c r="AD144" s="5">
        <v>0</v>
      </c>
      <c r="AE144" s="5">
        <v>0.8</v>
      </c>
      <c r="AF144" s="5">
        <v>0</v>
      </c>
      <c r="AG144" s="5">
        <v>0</v>
      </c>
      <c r="AH144" s="4" t="s">
        <v>77</v>
      </c>
      <c r="AI144" s="4" t="s">
        <v>65</v>
      </c>
      <c r="AJ144" s="4" t="s">
        <v>65</v>
      </c>
    </row>
    <row r="145" spans="1:36" ht="27.75" customHeight="1" x14ac:dyDescent="0.2">
      <c r="A145" s="3">
        <v>844</v>
      </c>
      <c r="B145" s="4" t="s">
        <v>508</v>
      </c>
      <c r="C145" s="4" t="s">
        <v>506</v>
      </c>
      <c r="D145" s="4" t="s">
        <v>507</v>
      </c>
      <c r="E145" s="4" t="s">
        <v>458</v>
      </c>
      <c r="F145" s="4" t="s">
        <v>63</v>
      </c>
      <c r="G145" s="4" t="s">
        <v>64</v>
      </c>
      <c r="H145" s="3" t="b">
        <f>FALSE()</f>
        <v>0</v>
      </c>
      <c r="I145" s="3" t="b">
        <f>FALSE()</f>
        <v>0</v>
      </c>
      <c r="J145" s="3" t="b">
        <f>FALSE()</f>
        <v>0</v>
      </c>
      <c r="K145" s="4" t="s">
        <v>65</v>
      </c>
      <c r="L145" s="3">
        <v>100</v>
      </c>
      <c r="M145" s="5">
        <v>116.8</v>
      </c>
      <c r="N145" s="5">
        <v>25.92</v>
      </c>
      <c r="O145" s="5">
        <v>0.22</v>
      </c>
      <c r="P145" s="5">
        <v>0</v>
      </c>
      <c r="Q145" s="5">
        <v>0.22</v>
      </c>
      <c r="R145" s="5">
        <v>0.32</v>
      </c>
      <c r="S145" s="5">
        <v>0.04</v>
      </c>
      <c r="T145" s="5">
        <v>0.15</v>
      </c>
      <c r="U145" s="5">
        <v>0.1</v>
      </c>
      <c r="V145" s="5">
        <v>0.32</v>
      </c>
      <c r="W145" s="5">
        <v>0</v>
      </c>
      <c r="X145" s="5">
        <v>111</v>
      </c>
      <c r="Y145" s="5">
        <v>279.7</v>
      </c>
      <c r="Z145" s="5">
        <v>75.599999999999994</v>
      </c>
      <c r="AA145" s="5">
        <v>42.1</v>
      </c>
      <c r="AB145" s="5">
        <v>0.54</v>
      </c>
      <c r="AC145" s="5">
        <v>1.4</v>
      </c>
      <c r="AD145" s="5">
        <v>0</v>
      </c>
      <c r="AE145" s="5">
        <v>1.1000000000000001</v>
      </c>
      <c r="AF145" s="5">
        <v>0</v>
      </c>
      <c r="AG145" s="5">
        <v>0</v>
      </c>
      <c r="AH145" s="4" t="s">
        <v>77</v>
      </c>
      <c r="AI145" s="4" t="s">
        <v>65</v>
      </c>
      <c r="AJ145" s="4" t="s">
        <v>65</v>
      </c>
    </row>
    <row r="146" spans="1:36" ht="27.75" customHeight="1" x14ac:dyDescent="0.2">
      <c r="A146" s="3">
        <v>847</v>
      </c>
      <c r="B146" s="4" t="s">
        <v>1322</v>
      </c>
      <c r="C146" s="4" t="s">
        <v>509</v>
      </c>
      <c r="D146" s="4" t="s">
        <v>510</v>
      </c>
      <c r="E146" s="4" t="s">
        <v>511</v>
      </c>
      <c r="F146" s="4" t="s">
        <v>63</v>
      </c>
      <c r="G146" s="4" t="s">
        <v>473</v>
      </c>
      <c r="H146" s="3" t="b">
        <f>FALSE()</f>
        <v>0</v>
      </c>
      <c r="I146" s="3" t="b">
        <f>TRUE()</f>
        <v>1</v>
      </c>
      <c r="J146" s="3" t="b">
        <f>FALSE()</f>
        <v>0</v>
      </c>
      <c r="K146" s="4" t="s">
        <v>65</v>
      </c>
      <c r="L146" s="3">
        <v>100</v>
      </c>
      <c r="M146" s="5">
        <v>61</v>
      </c>
      <c r="N146" s="5">
        <v>3.5</v>
      </c>
      <c r="O146" s="5">
        <v>4.7</v>
      </c>
      <c r="P146" s="5">
        <v>4.7</v>
      </c>
      <c r="Q146" s="5">
        <v>0</v>
      </c>
      <c r="R146" s="5">
        <v>3.3</v>
      </c>
      <c r="S146" s="5">
        <v>0.92</v>
      </c>
      <c r="T146" s="5">
        <v>1.31</v>
      </c>
      <c r="U146" s="5">
        <v>0.83</v>
      </c>
      <c r="V146" s="5">
        <v>0</v>
      </c>
      <c r="W146" s="5">
        <v>0</v>
      </c>
      <c r="X146" s="5">
        <v>46</v>
      </c>
      <c r="Y146" s="5">
        <v>155</v>
      </c>
      <c r="Z146" s="5">
        <v>121</v>
      </c>
      <c r="AA146" s="5">
        <v>12</v>
      </c>
      <c r="AB146" s="5">
        <v>0.1</v>
      </c>
      <c r="AC146" s="5">
        <v>0.6</v>
      </c>
      <c r="AD146" s="5">
        <v>0.5</v>
      </c>
      <c r="AE146" s="5">
        <v>7</v>
      </c>
      <c r="AF146" s="5">
        <v>35</v>
      </c>
      <c r="AG146" s="5">
        <v>1.6</v>
      </c>
      <c r="AH146" s="4" t="s">
        <v>77</v>
      </c>
      <c r="AI146" s="4" t="s">
        <v>65</v>
      </c>
      <c r="AJ146" s="4" t="s">
        <v>65</v>
      </c>
    </row>
    <row r="147" spans="1:36" ht="27.75" customHeight="1" x14ac:dyDescent="0.2">
      <c r="A147" s="3">
        <v>850</v>
      </c>
      <c r="B147" s="4" t="s">
        <v>512</v>
      </c>
      <c r="C147" s="4" t="s">
        <v>509</v>
      </c>
      <c r="D147" s="4" t="s">
        <v>510</v>
      </c>
      <c r="E147" s="4" t="s">
        <v>513</v>
      </c>
      <c r="F147" s="4" t="s">
        <v>63</v>
      </c>
      <c r="G147" s="4" t="s">
        <v>473</v>
      </c>
      <c r="H147" s="3" t="b">
        <f>FALSE()</f>
        <v>0</v>
      </c>
      <c r="I147" s="3" t="b">
        <f>TRUE()</f>
        <v>1</v>
      </c>
      <c r="J147" s="3" t="b">
        <f>FALSE()</f>
        <v>0</v>
      </c>
      <c r="K147" s="4" t="s">
        <v>65</v>
      </c>
      <c r="L147" s="3">
        <v>100</v>
      </c>
      <c r="M147" s="5">
        <v>39.6</v>
      </c>
      <c r="N147" s="5">
        <v>3.85</v>
      </c>
      <c r="O147" s="5">
        <v>5.17</v>
      </c>
      <c r="P147" s="5">
        <v>5.17</v>
      </c>
      <c r="Q147" s="5">
        <v>0</v>
      </c>
      <c r="R147" s="5">
        <v>2.15</v>
      </c>
      <c r="S147" s="5">
        <v>0.6</v>
      </c>
      <c r="T147" s="5">
        <v>0.85</v>
      </c>
      <c r="U147" s="5">
        <v>0.54</v>
      </c>
      <c r="V147" s="5">
        <v>0</v>
      </c>
      <c r="W147" s="5">
        <v>0</v>
      </c>
      <c r="X147" s="5">
        <v>46</v>
      </c>
      <c r="Y147" s="5">
        <v>170.5</v>
      </c>
      <c r="Z147" s="5">
        <v>133.1</v>
      </c>
      <c r="AA147" s="5">
        <v>13.2</v>
      </c>
      <c r="AB147" s="5">
        <v>0.11</v>
      </c>
      <c r="AC147" s="5">
        <v>0.66</v>
      </c>
      <c r="AD147" s="5">
        <v>0.6</v>
      </c>
      <c r="AE147" s="5">
        <v>7.7</v>
      </c>
      <c r="AF147" s="5">
        <v>35</v>
      </c>
      <c r="AG147" s="5">
        <v>1.8</v>
      </c>
      <c r="AH147" s="4" t="s">
        <v>77</v>
      </c>
      <c r="AI147" s="4" t="s">
        <v>65</v>
      </c>
      <c r="AJ147" s="4" t="s">
        <v>65</v>
      </c>
    </row>
    <row r="148" spans="1:36" ht="27.75" customHeight="1" x14ac:dyDescent="0.2">
      <c r="A148" s="3">
        <v>853</v>
      </c>
      <c r="B148" s="4" t="s">
        <v>514</v>
      </c>
      <c r="C148" s="4" t="s">
        <v>509</v>
      </c>
      <c r="D148" s="4" t="s">
        <v>510</v>
      </c>
      <c r="E148" s="4" t="s">
        <v>515</v>
      </c>
      <c r="F148" s="4" t="s">
        <v>63</v>
      </c>
      <c r="G148" s="4" t="s">
        <v>473</v>
      </c>
      <c r="H148" s="3" t="b">
        <f>FALSE()</f>
        <v>0</v>
      </c>
      <c r="I148" s="3" t="b">
        <f>TRUE()</f>
        <v>1</v>
      </c>
      <c r="J148" s="3" t="b">
        <f>FALSE()</f>
        <v>0</v>
      </c>
      <c r="K148" s="4" t="s">
        <v>65</v>
      </c>
      <c r="L148" s="3">
        <v>100</v>
      </c>
      <c r="M148" s="5">
        <v>61</v>
      </c>
      <c r="N148" s="5">
        <v>3.5</v>
      </c>
      <c r="O148" s="5">
        <v>4.7</v>
      </c>
      <c r="P148" s="5">
        <v>4.7</v>
      </c>
      <c r="Q148" s="5">
        <v>0</v>
      </c>
      <c r="R148" s="5">
        <v>3.3</v>
      </c>
      <c r="S148" s="5">
        <v>0.92</v>
      </c>
      <c r="T148" s="5">
        <v>1.31</v>
      </c>
      <c r="U148" s="5">
        <v>0.83</v>
      </c>
      <c r="V148" s="5">
        <v>0</v>
      </c>
      <c r="W148" s="5">
        <v>0</v>
      </c>
      <c r="X148" s="5">
        <v>46</v>
      </c>
      <c r="Y148" s="5">
        <v>155</v>
      </c>
      <c r="Z148" s="5">
        <v>121</v>
      </c>
      <c r="AA148" s="5">
        <v>12</v>
      </c>
      <c r="AB148" s="5">
        <v>0.1</v>
      </c>
      <c r="AC148" s="5">
        <v>0.6</v>
      </c>
      <c r="AD148" s="5">
        <v>0.5</v>
      </c>
      <c r="AE148" s="5">
        <v>7</v>
      </c>
      <c r="AF148" s="5">
        <v>35</v>
      </c>
      <c r="AG148" s="5">
        <v>1.6</v>
      </c>
      <c r="AH148" s="4" t="s">
        <v>77</v>
      </c>
      <c r="AI148" s="4" t="s">
        <v>65</v>
      </c>
      <c r="AJ148" s="4" t="s">
        <v>65</v>
      </c>
    </row>
    <row r="149" spans="1:36" ht="27.75" customHeight="1" x14ac:dyDescent="0.2">
      <c r="A149" s="3">
        <v>856</v>
      </c>
      <c r="B149" s="4" t="s">
        <v>516</v>
      </c>
      <c r="C149" s="4" t="s">
        <v>509</v>
      </c>
      <c r="D149" s="4" t="s">
        <v>510</v>
      </c>
      <c r="E149" s="4" t="s">
        <v>517</v>
      </c>
      <c r="F149" s="4" t="s">
        <v>63</v>
      </c>
      <c r="G149" s="4" t="s">
        <v>473</v>
      </c>
      <c r="H149" s="3" t="b">
        <f>FALSE()</f>
        <v>0</v>
      </c>
      <c r="I149" s="3" t="b">
        <f>TRUE()</f>
        <v>1</v>
      </c>
      <c r="J149" s="3" t="b">
        <f>FALSE()</f>
        <v>0</v>
      </c>
      <c r="K149" s="4" t="s">
        <v>65</v>
      </c>
      <c r="L149" s="3">
        <v>100</v>
      </c>
      <c r="M149" s="5">
        <v>70.099999999999994</v>
      </c>
      <c r="N149" s="5">
        <v>6.3</v>
      </c>
      <c r="O149" s="5">
        <v>8.4600000000000009</v>
      </c>
      <c r="P149" s="5">
        <v>8.4600000000000009</v>
      </c>
      <c r="Q149" s="5">
        <v>0</v>
      </c>
      <c r="R149" s="5">
        <v>3.79</v>
      </c>
      <c r="S149" s="5">
        <v>1.06</v>
      </c>
      <c r="T149" s="5">
        <v>1.5</v>
      </c>
      <c r="U149" s="5">
        <v>0.96</v>
      </c>
      <c r="V149" s="5">
        <v>0</v>
      </c>
      <c r="W149" s="5">
        <v>0</v>
      </c>
      <c r="X149" s="5">
        <v>46</v>
      </c>
      <c r="Y149" s="5">
        <v>279</v>
      </c>
      <c r="Z149" s="5">
        <v>217.8</v>
      </c>
      <c r="AA149" s="5">
        <v>21.6</v>
      </c>
      <c r="AB149" s="5">
        <v>0.18</v>
      </c>
      <c r="AC149" s="5">
        <v>1.08</v>
      </c>
      <c r="AD149" s="5">
        <v>0.9</v>
      </c>
      <c r="AE149" s="5">
        <v>12.6</v>
      </c>
      <c r="AF149" s="5">
        <v>35</v>
      </c>
      <c r="AG149" s="5">
        <v>3</v>
      </c>
      <c r="AH149" s="4" t="s">
        <v>77</v>
      </c>
      <c r="AI149" s="4" t="s">
        <v>65</v>
      </c>
      <c r="AJ149" s="4" t="s">
        <v>65</v>
      </c>
    </row>
    <row r="150" spans="1:36" ht="27.75" customHeight="1" x14ac:dyDescent="0.2">
      <c r="A150" s="3">
        <v>859</v>
      </c>
      <c r="B150" s="4" t="s">
        <v>1326</v>
      </c>
      <c r="C150" s="4" t="s">
        <v>509</v>
      </c>
      <c r="D150" s="4" t="s">
        <v>510</v>
      </c>
      <c r="E150" s="4" t="s">
        <v>511</v>
      </c>
      <c r="F150" s="4" t="s">
        <v>63</v>
      </c>
      <c r="G150" s="4" t="s">
        <v>473</v>
      </c>
      <c r="H150" s="3" t="b">
        <f>FALSE()</f>
        <v>0</v>
      </c>
      <c r="I150" s="3" t="b">
        <f>TRUE()</f>
        <v>1</v>
      </c>
      <c r="J150" s="3" t="b">
        <f>FALSE()</f>
        <v>0</v>
      </c>
      <c r="K150" s="4" t="s">
        <v>65</v>
      </c>
      <c r="L150" s="3">
        <v>100</v>
      </c>
      <c r="M150" s="5">
        <v>97</v>
      </c>
      <c r="N150" s="5">
        <v>9</v>
      </c>
      <c r="O150" s="5">
        <v>3.6</v>
      </c>
      <c r="P150" s="5">
        <v>3.6</v>
      </c>
      <c r="Q150" s="5">
        <v>0</v>
      </c>
      <c r="R150" s="5">
        <v>5</v>
      </c>
      <c r="S150" s="5">
        <v>1.4</v>
      </c>
      <c r="T150" s="5">
        <v>1.98</v>
      </c>
      <c r="U150" s="5">
        <v>1.26</v>
      </c>
      <c r="V150" s="5">
        <v>0</v>
      </c>
      <c r="W150" s="5">
        <v>0</v>
      </c>
      <c r="X150" s="5">
        <v>36</v>
      </c>
      <c r="Y150" s="5">
        <v>141</v>
      </c>
      <c r="Z150" s="5">
        <v>100</v>
      </c>
      <c r="AA150" s="5">
        <v>11</v>
      </c>
      <c r="AB150" s="5">
        <v>0.1</v>
      </c>
      <c r="AC150" s="5">
        <v>0.5</v>
      </c>
      <c r="AD150" s="5">
        <v>0</v>
      </c>
      <c r="AE150" s="5">
        <v>5</v>
      </c>
      <c r="AF150" s="5">
        <v>35</v>
      </c>
      <c r="AG150" s="5">
        <v>1.3</v>
      </c>
      <c r="AH150" s="4" t="s">
        <v>77</v>
      </c>
      <c r="AI150" s="4" t="s">
        <v>65</v>
      </c>
      <c r="AJ150" s="4" t="s">
        <v>65</v>
      </c>
    </row>
    <row r="151" spans="1:36" ht="27.75" customHeight="1" x14ac:dyDescent="0.2">
      <c r="A151" s="3">
        <v>862</v>
      </c>
      <c r="B151" s="4" t="s">
        <v>518</v>
      </c>
      <c r="C151" s="4" t="s">
        <v>509</v>
      </c>
      <c r="D151" s="4" t="s">
        <v>510</v>
      </c>
      <c r="E151" s="4" t="s">
        <v>513</v>
      </c>
      <c r="F151" s="4" t="s">
        <v>63</v>
      </c>
      <c r="G151" s="4" t="s">
        <v>473</v>
      </c>
      <c r="H151" s="3" t="b">
        <f>FALSE()</f>
        <v>0</v>
      </c>
      <c r="I151" s="3" t="b">
        <f>TRUE()</f>
        <v>1</v>
      </c>
      <c r="J151" s="3" t="b">
        <f>FALSE()</f>
        <v>0</v>
      </c>
      <c r="K151" s="4" t="s">
        <v>65</v>
      </c>
      <c r="L151" s="3">
        <v>100</v>
      </c>
      <c r="M151" s="5">
        <v>63.1</v>
      </c>
      <c r="N151" s="5">
        <v>9.9</v>
      </c>
      <c r="O151" s="5">
        <v>3.96</v>
      </c>
      <c r="P151" s="5">
        <v>3.96</v>
      </c>
      <c r="Q151" s="5">
        <v>0</v>
      </c>
      <c r="R151" s="5">
        <v>3.25</v>
      </c>
      <c r="S151" s="5">
        <v>0.91</v>
      </c>
      <c r="T151" s="5">
        <v>1.29</v>
      </c>
      <c r="U151" s="5">
        <v>0.82</v>
      </c>
      <c r="V151" s="5">
        <v>0</v>
      </c>
      <c r="W151" s="5">
        <v>0</v>
      </c>
      <c r="X151" s="5">
        <v>36</v>
      </c>
      <c r="Y151" s="5">
        <v>155.1</v>
      </c>
      <c r="Z151" s="5">
        <v>110</v>
      </c>
      <c r="AA151" s="5">
        <v>12.1</v>
      </c>
      <c r="AB151" s="5">
        <v>0.11</v>
      </c>
      <c r="AC151" s="5">
        <v>0.55000000000000004</v>
      </c>
      <c r="AD151" s="5">
        <v>0</v>
      </c>
      <c r="AE151" s="5">
        <v>5.5</v>
      </c>
      <c r="AF151" s="5">
        <v>35</v>
      </c>
      <c r="AG151" s="5">
        <v>1.4</v>
      </c>
      <c r="AH151" s="4" t="s">
        <v>77</v>
      </c>
      <c r="AI151" s="4" t="s">
        <v>65</v>
      </c>
      <c r="AJ151" s="4" t="s">
        <v>65</v>
      </c>
    </row>
    <row r="152" spans="1:36" ht="27.75" customHeight="1" x14ac:dyDescent="0.2">
      <c r="A152" s="3">
        <v>871</v>
      </c>
      <c r="B152" s="4" t="s">
        <v>1323</v>
      </c>
      <c r="C152" s="4" t="s">
        <v>509</v>
      </c>
      <c r="D152" s="4" t="s">
        <v>519</v>
      </c>
      <c r="E152" s="4" t="s">
        <v>511</v>
      </c>
      <c r="F152" s="4" t="s">
        <v>63</v>
      </c>
      <c r="G152" s="4" t="s">
        <v>473</v>
      </c>
      <c r="H152" s="3" t="b">
        <f>FALSE()</f>
        <v>0</v>
      </c>
      <c r="I152" s="3" t="b">
        <f>TRUE()</f>
        <v>1</v>
      </c>
      <c r="J152" s="3" t="b">
        <f>FALSE()</f>
        <v>0</v>
      </c>
      <c r="K152" s="4" t="s">
        <v>65</v>
      </c>
      <c r="L152" s="3">
        <v>100</v>
      </c>
      <c r="M152" s="5">
        <v>60</v>
      </c>
      <c r="N152" s="5">
        <v>3.2</v>
      </c>
      <c r="O152" s="5">
        <v>4.8</v>
      </c>
      <c r="P152" s="5">
        <v>4.8</v>
      </c>
      <c r="Q152" s="5">
        <v>0</v>
      </c>
      <c r="R152" s="5">
        <v>3.3</v>
      </c>
      <c r="S152" s="5">
        <v>0.92</v>
      </c>
      <c r="T152" s="5">
        <v>1.31</v>
      </c>
      <c r="U152" s="5">
        <v>0.83</v>
      </c>
      <c r="V152" s="5">
        <v>0</v>
      </c>
      <c r="W152" s="5">
        <v>0</v>
      </c>
      <c r="X152" s="5">
        <v>44</v>
      </c>
      <c r="Y152" s="5">
        <v>150</v>
      </c>
      <c r="Z152" s="5">
        <v>120</v>
      </c>
      <c r="AA152" s="5">
        <v>11</v>
      </c>
      <c r="AB152" s="5">
        <v>0.1</v>
      </c>
      <c r="AC152" s="5">
        <v>0.4</v>
      </c>
      <c r="AD152" s="5">
        <v>0</v>
      </c>
      <c r="AE152" s="5">
        <v>5</v>
      </c>
      <c r="AF152" s="5">
        <v>35</v>
      </c>
      <c r="AG152" s="5">
        <v>1.7</v>
      </c>
      <c r="AH152" s="4" t="s">
        <v>77</v>
      </c>
      <c r="AI152" s="4" t="s">
        <v>65</v>
      </c>
      <c r="AJ152" s="4" t="s">
        <v>65</v>
      </c>
    </row>
    <row r="153" spans="1:36" ht="27.75" customHeight="1" x14ac:dyDescent="0.2">
      <c r="A153" s="3">
        <v>874</v>
      </c>
      <c r="B153" s="4" t="s">
        <v>1324</v>
      </c>
      <c r="C153" s="4" t="s">
        <v>509</v>
      </c>
      <c r="D153" s="4" t="s">
        <v>519</v>
      </c>
      <c r="E153" s="4" t="s">
        <v>513</v>
      </c>
      <c r="F153" s="4" t="s">
        <v>63</v>
      </c>
      <c r="G153" s="4" t="s">
        <v>473</v>
      </c>
      <c r="H153" s="3" t="b">
        <f>FALSE()</f>
        <v>0</v>
      </c>
      <c r="I153" s="3" t="b">
        <f>TRUE()</f>
        <v>1</v>
      </c>
      <c r="J153" s="3" t="b">
        <f>FALSE()</f>
        <v>0</v>
      </c>
      <c r="K153" s="4" t="s">
        <v>65</v>
      </c>
      <c r="L153" s="3">
        <v>100</v>
      </c>
      <c r="M153" s="5">
        <v>39</v>
      </c>
      <c r="N153" s="5">
        <v>3.52</v>
      </c>
      <c r="O153" s="5">
        <v>5.28</v>
      </c>
      <c r="P153" s="5">
        <v>5.28</v>
      </c>
      <c r="Q153" s="5">
        <v>0</v>
      </c>
      <c r="R153" s="5">
        <v>2.15</v>
      </c>
      <c r="S153" s="5">
        <v>0.6</v>
      </c>
      <c r="T153" s="5">
        <v>0.85</v>
      </c>
      <c r="U153" s="5">
        <v>0.54</v>
      </c>
      <c r="V153" s="5">
        <v>0</v>
      </c>
      <c r="W153" s="5">
        <v>0</v>
      </c>
      <c r="X153" s="5">
        <v>44</v>
      </c>
      <c r="Y153" s="5">
        <v>165</v>
      </c>
      <c r="Z153" s="5">
        <v>132</v>
      </c>
      <c r="AA153" s="5">
        <v>12.1</v>
      </c>
      <c r="AB153" s="5">
        <v>0.11</v>
      </c>
      <c r="AC153" s="5">
        <v>0.44</v>
      </c>
      <c r="AD153" s="5">
        <v>0</v>
      </c>
      <c r="AE153" s="5">
        <v>5.5</v>
      </c>
      <c r="AF153" s="5">
        <v>35</v>
      </c>
      <c r="AG153" s="5">
        <v>1.8</v>
      </c>
      <c r="AH153" s="4" t="s">
        <v>77</v>
      </c>
      <c r="AI153" s="4" t="s">
        <v>65</v>
      </c>
      <c r="AJ153" s="4" t="s">
        <v>65</v>
      </c>
    </row>
    <row r="154" spans="1:36" ht="27.75" customHeight="1" x14ac:dyDescent="0.2">
      <c r="A154" s="3">
        <v>877</v>
      </c>
      <c r="B154" s="4" t="s">
        <v>520</v>
      </c>
      <c r="C154" s="4" t="s">
        <v>509</v>
      </c>
      <c r="D154" s="4" t="s">
        <v>519</v>
      </c>
      <c r="E154" s="4" t="s">
        <v>515</v>
      </c>
      <c r="F154" s="4" t="s">
        <v>63</v>
      </c>
      <c r="G154" s="4" t="s">
        <v>473</v>
      </c>
      <c r="H154" s="3" t="b">
        <f>FALSE()</f>
        <v>0</v>
      </c>
      <c r="I154" s="3" t="b">
        <f>TRUE()</f>
        <v>1</v>
      </c>
      <c r="J154" s="3" t="b">
        <f>FALSE()</f>
        <v>0</v>
      </c>
      <c r="K154" s="4" t="s">
        <v>65</v>
      </c>
      <c r="L154" s="3">
        <v>100</v>
      </c>
      <c r="M154" s="5">
        <v>60</v>
      </c>
      <c r="N154" s="5">
        <v>3.2</v>
      </c>
      <c r="O154" s="5">
        <v>4.8</v>
      </c>
      <c r="P154" s="5">
        <v>4.8</v>
      </c>
      <c r="Q154" s="5">
        <v>0</v>
      </c>
      <c r="R154" s="5">
        <v>3.3</v>
      </c>
      <c r="S154" s="5">
        <v>0.92</v>
      </c>
      <c r="T154" s="5">
        <v>1.31</v>
      </c>
      <c r="U154" s="5">
        <v>0.83</v>
      </c>
      <c r="V154" s="5">
        <v>0</v>
      </c>
      <c r="W154" s="5">
        <v>0</v>
      </c>
      <c r="X154" s="5">
        <v>44</v>
      </c>
      <c r="Y154" s="5">
        <v>150</v>
      </c>
      <c r="Z154" s="5">
        <v>120</v>
      </c>
      <c r="AA154" s="5">
        <v>11</v>
      </c>
      <c r="AB154" s="5">
        <v>0.1</v>
      </c>
      <c r="AC154" s="5">
        <v>0.4</v>
      </c>
      <c r="AD154" s="5">
        <v>0</v>
      </c>
      <c r="AE154" s="5">
        <v>5</v>
      </c>
      <c r="AF154" s="5">
        <v>35</v>
      </c>
      <c r="AG154" s="5">
        <v>1.7</v>
      </c>
      <c r="AH154" s="4" t="s">
        <v>77</v>
      </c>
      <c r="AI154" s="4" t="s">
        <v>65</v>
      </c>
      <c r="AJ154" s="4" t="s">
        <v>65</v>
      </c>
    </row>
    <row r="155" spans="1:36" ht="27.75" customHeight="1" x14ac:dyDescent="0.2">
      <c r="A155" s="3">
        <v>880</v>
      </c>
      <c r="B155" s="4" t="s">
        <v>521</v>
      </c>
      <c r="C155" s="4" t="s">
        <v>509</v>
      </c>
      <c r="D155" s="4" t="s">
        <v>519</v>
      </c>
      <c r="E155" s="4" t="s">
        <v>517</v>
      </c>
      <c r="F155" s="4" t="s">
        <v>63</v>
      </c>
      <c r="G155" s="4" t="s">
        <v>473</v>
      </c>
      <c r="H155" s="3" t="b">
        <f>FALSE()</f>
        <v>0</v>
      </c>
      <c r="I155" s="3" t="b">
        <f>TRUE()</f>
        <v>1</v>
      </c>
      <c r="J155" s="3" t="b">
        <f>FALSE()</f>
        <v>0</v>
      </c>
      <c r="K155" s="4" t="s">
        <v>65</v>
      </c>
      <c r="L155" s="3">
        <v>100</v>
      </c>
      <c r="M155" s="5">
        <v>69</v>
      </c>
      <c r="N155" s="5">
        <v>5.76</v>
      </c>
      <c r="O155" s="5">
        <v>8.64</v>
      </c>
      <c r="P155" s="5">
        <v>8.64</v>
      </c>
      <c r="Q155" s="5">
        <v>0</v>
      </c>
      <c r="R155" s="5">
        <v>3.79</v>
      </c>
      <c r="S155" s="5">
        <v>1.06</v>
      </c>
      <c r="T155" s="5">
        <v>1.5</v>
      </c>
      <c r="U155" s="5">
        <v>0.96</v>
      </c>
      <c r="V155" s="5">
        <v>0</v>
      </c>
      <c r="W155" s="5">
        <v>0</v>
      </c>
      <c r="X155" s="5">
        <v>44</v>
      </c>
      <c r="Y155" s="5">
        <v>270</v>
      </c>
      <c r="Z155" s="5">
        <v>216</v>
      </c>
      <c r="AA155" s="5">
        <v>19.8</v>
      </c>
      <c r="AB155" s="5">
        <v>0.18</v>
      </c>
      <c r="AC155" s="5">
        <v>0.72</v>
      </c>
      <c r="AD155" s="5">
        <v>0</v>
      </c>
      <c r="AE155" s="5">
        <v>9</v>
      </c>
      <c r="AF155" s="5">
        <v>35</v>
      </c>
      <c r="AG155" s="5">
        <v>3</v>
      </c>
      <c r="AH155" s="4" t="s">
        <v>77</v>
      </c>
      <c r="AI155" s="4" t="s">
        <v>65</v>
      </c>
      <c r="AJ155" s="4" t="s">
        <v>65</v>
      </c>
    </row>
    <row r="156" spans="1:36" ht="27.75" customHeight="1" x14ac:dyDescent="0.2">
      <c r="A156" s="3">
        <v>883</v>
      </c>
      <c r="B156" s="4" t="s">
        <v>1325</v>
      </c>
      <c r="C156" s="4" t="s">
        <v>509</v>
      </c>
      <c r="D156" s="4" t="s">
        <v>522</v>
      </c>
      <c r="E156" s="4" t="s">
        <v>511</v>
      </c>
      <c r="F156" s="4" t="s">
        <v>63</v>
      </c>
      <c r="G156" s="4" t="s">
        <v>473</v>
      </c>
      <c r="H156" s="3" t="b">
        <f>FALSE()</f>
        <v>0</v>
      </c>
      <c r="I156" s="3" t="b">
        <f>TRUE()</f>
        <v>1</v>
      </c>
      <c r="J156" s="3" t="b">
        <f>FALSE()</f>
        <v>0</v>
      </c>
      <c r="K156" s="4" t="s">
        <v>65</v>
      </c>
      <c r="L156" s="3">
        <v>100</v>
      </c>
      <c r="M156" s="5">
        <v>98</v>
      </c>
      <c r="N156" s="5">
        <v>11</v>
      </c>
      <c r="O156" s="5">
        <v>3</v>
      </c>
      <c r="P156" s="5">
        <v>3</v>
      </c>
      <c r="Q156" s="5">
        <v>0</v>
      </c>
      <c r="R156" s="5">
        <v>4</v>
      </c>
      <c r="S156" s="5">
        <v>1.1200000000000001</v>
      </c>
      <c r="T156" s="5">
        <v>1.58</v>
      </c>
      <c r="U156" s="5">
        <v>1.01</v>
      </c>
      <c r="V156" s="5">
        <v>0</v>
      </c>
      <c r="W156" s="5">
        <v>0</v>
      </c>
      <c r="X156" s="5">
        <v>300</v>
      </c>
      <c r="Y156" s="5">
        <v>120</v>
      </c>
      <c r="Z156" s="5">
        <v>180</v>
      </c>
      <c r="AA156" s="5">
        <v>15</v>
      </c>
      <c r="AB156" s="5">
        <v>0.2</v>
      </c>
      <c r="AC156" s="5">
        <v>1</v>
      </c>
      <c r="AD156" s="5">
        <v>0</v>
      </c>
      <c r="AE156" s="5">
        <v>7</v>
      </c>
      <c r="AF156" s="5">
        <v>0</v>
      </c>
      <c r="AG156" s="5">
        <v>0</v>
      </c>
      <c r="AH156" s="4" t="s">
        <v>77</v>
      </c>
      <c r="AI156" s="4" t="s">
        <v>65</v>
      </c>
      <c r="AJ156" s="4" t="s">
        <v>65</v>
      </c>
    </row>
    <row r="157" spans="1:36" ht="27.75" customHeight="1" x14ac:dyDescent="0.2">
      <c r="A157" s="3">
        <v>886</v>
      </c>
      <c r="B157" s="4" t="s">
        <v>523</v>
      </c>
      <c r="C157" s="4" t="s">
        <v>509</v>
      </c>
      <c r="D157" s="4" t="s">
        <v>522</v>
      </c>
      <c r="E157" s="4" t="s">
        <v>513</v>
      </c>
      <c r="F157" s="4" t="s">
        <v>63</v>
      </c>
      <c r="G157" s="4" t="s">
        <v>473</v>
      </c>
      <c r="H157" s="3" t="b">
        <f>FALSE()</f>
        <v>0</v>
      </c>
      <c r="I157" s="3" t="b">
        <f>TRUE()</f>
        <v>1</v>
      </c>
      <c r="J157" s="3" t="b">
        <f>FALSE()</f>
        <v>0</v>
      </c>
      <c r="K157" s="4" t="s">
        <v>65</v>
      </c>
      <c r="L157" s="3">
        <v>100</v>
      </c>
      <c r="M157" s="5">
        <v>63.7</v>
      </c>
      <c r="N157" s="5">
        <v>12.1</v>
      </c>
      <c r="O157" s="5">
        <v>3.3</v>
      </c>
      <c r="P157" s="5">
        <v>3.3</v>
      </c>
      <c r="Q157" s="5">
        <v>0</v>
      </c>
      <c r="R157" s="5">
        <v>2.6</v>
      </c>
      <c r="S157" s="5">
        <v>0.73</v>
      </c>
      <c r="T157" s="5">
        <v>1.03</v>
      </c>
      <c r="U157" s="5">
        <v>0.65</v>
      </c>
      <c r="V157" s="5">
        <v>0</v>
      </c>
      <c r="W157" s="5">
        <v>0</v>
      </c>
      <c r="X157" s="5">
        <v>300</v>
      </c>
      <c r="Y157" s="5">
        <v>132</v>
      </c>
      <c r="Z157" s="5">
        <v>198</v>
      </c>
      <c r="AA157" s="5">
        <v>16.5</v>
      </c>
      <c r="AB157" s="5">
        <v>0.22</v>
      </c>
      <c r="AC157" s="5">
        <v>1.1000000000000001</v>
      </c>
      <c r="AD157" s="5">
        <v>0</v>
      </c>
      <c r="AE157" s="5">
        <v>7.7</v>
      </c>
      <c r="AF157" s="5">
        <v>0</v>
      </c>
      <c r="AG157" s="5">
        <v>0</v>
      </c>
      <c r="AH157" s="4" t="s">
        <v>77</v>
      </c>
      <c r="AI157" s="4" t="s">
        <v>65</v>
      </c>
      <c r="AJ157" s="4" t="s">
        <v>65</v>
      </c>
    </row>
    <row r="158" spans="1:36" ht="27.75" customHeight="1" x14ac:dyDescent="0.2">
      <c r="A158" s="3">
        <v>889</v>
      </c>
      <c r="B158" s="4" t="s">
        <v>524</v>
      </c>
      <c r="C158" s="4" t="s">
        <v>509</v>
      </c>
      <c r="D158" s="4" t="s">
        <v>522</v>
      </c>
      <c r="E158" s="4" t="s">
        <v>515</v>
      </c>
      <c r="F158" s="4" t="s">
        <v>63</v>
      </c>
      <c r="G158" s="4" t="s">
        <v>473</v>
      </c>
      <c r="H158" s="3" t="b">
        <f>FALSE()</f>
        <v>0</v>
      </c>
      <c r="I158" s="3" t="b">
        <f>TRUE()</f>
        <v>1</v>
      </c>
      <c r="J158" s="3" t="b">
        <f>FALSE()</f>
        <v>0</v>
      </c>
      <c r="K158" s="4" t="s">
        <v>65</v>
      </c>
      <c r="L158" s="3">
        <v>100</v>
      </c>
      <c r="M158" s="5">
        <v>98</v>
      </c>
      <c r="N158" s="5">
        <v>11</v>
      </c>
      <c r="O158" s="5">
        <v>3</v>
      </c>
      <c r="P158" s="5">
        <v>3</v>
      </c>
      <c r="Q158" s="5">
        <v>0</v>
      </c>
      <c r="R158" s="5">
        <v>4</v>
      </c>
      <c r="S158" s="5">
        <v>1.1200000000000001</v>
      </c>
      <c r="T158" s="5">
        <v>1.58</v>
      </c>
      <c r="U158" s="5">
        <v>1.01</v>
      </c>
      <c r="V158" s="5">
        <v>0</v>
      </c>
      <c r="W158" s="5">
        <v>0</v>
      </c>
      <c r="X158" s="5">
        <v>300</v>
      </c>
      <c r="Y158" s="5">
        <v>120</v>
      </c>
      <c r="Z158" s="5">
        <v>180</v>
      </c>
      <c r="AA158" s="5">
        <v>15</v>
      </c>
      <c r="AB158" s="5">
        <v>0.2</v>
      </c>
      <c r="AC158" s="5">
        <v>1</v>
      </c>
      <c r="AD158" s="5">
        <v>0</v>
      </c>
      <c r="AE158" s="5">
        <v>7</v>
      </c>
      <c r="AF158" s="5">
        <v>0</v>
      </c>
      <c r="AG158" s="5">
        <v>0</v>
      </c>
      <c r="AH158" s="4" t="s">
        <v>77</v>
      </c>
      <c r="AI158" s="4" t="s">
        <v>65</v>
      </c>
      <c r="AJ158" s="4" t="s">
        <v>65</v>
      </c>
    </row>
    <row r="159" spans="1:36" ht="27.75" customHeight="1" x14ac:dyDescent="0.2">
      <c r="A159" s="3">
        <v>892</v>
      </c>
      <c r="B159" s="4" t="s">
        <v>525</v>
      </c>
      <c r="C159" s="4" t="s">
        <v>509</v>
      </c>
      <c r="D159" s="4" t="s">
        <v>522</v>
      </c>
      <c r="E159" s="4" t="s">
        <v>517</v>
      </c>
      <c r="F159" s="4" t="s">
        <v>63</v>
      </c>
      <c r="G159" s="4" t="s">
        <v>473</v>
      </c>
      <c r="H159" s="3" t="b">
        <f>FALSE()</f>
        <v>0</v>
      </c>
      <c r="I159" s="3" t="b">
        <f>TRUE()</f>
        <v>1</v>
      </c>
      <c r="J159" s="3" t="b">
        <f>FALSE()</f>
        <v>0</v>
      </c>
      <c r="K159" s="4" t="s">
        <v>65</v>
      </c>
      <c r="L159" s="3">
        <v>100</v>
      </c>
      <c r="M159" s="5">
        <v>112.7</v>
      </c>
      <c r="N159" s="5">
        <v>19.8</v>
      </c>
      <c r="O159" s="5">
        <v>5.4</v>
      </c>
      <c r="P159" s="5">
        <v>5.4</v>
      </c>
      <c r="Q159" s="5">
        <v>0</v>
      </c>
      <c r="R159" s="5">
        <v>4.5999999999999996</v>
      </c>
      <c r="S159" s="5">
        <v>1.29</v>
      </c>
      <c r="T159" s="5">
        <v>1.82</v>
      </c>
      <c r="U159" s="5">
        <v>1.1599999999999999</v>
      </c>
      <c r="V159" s="5">
        <v>0</v>
      </c>
      <c r="W159" s="5">
        <v>0</v>
      </c>
      <c r="X159" s="5">
        <v>300</v>
      </c>
      <c r="Y159" s="5">
        <v>216</v>
      </c>
      <c r="Z159" s="5">
        <v>324</v>
      </c>
      <c r="AA159" s="5">
        <v>27</v>
      </c>
      <c r="AB159" s="5">
        <v>0.36</v>
      </c>
      <c r="AC159" s="5">
        <v>1.8</v>
      </c>
      <c r="AD159" s="5">
        <v>0</v>
      </c>
      <c r="AE159" s="5">
        <v>12.6</v>
      </c>
      <c r="AF159" s="5">
        <v>0</v>
      </c>
      <c r="AG159" s="5">
        <v>0</v>
      </c>
      <c r="AH159" s="4" t="s">
        <v>77</v>
      </c>
      <c r="AI159" s="4" t="s">
        <v>65</v>
      </c>
      <c r="AJ159" s="4" t="s">
        <v>65</v>
      </c>
    </row>
    <row r="160" spans="1:36" ht="27.75" customHeight="1" x14ac:dyDescent="0.2">
      <c r="A160" s="3">
        <v>895</v>
      </c>
      <c r="B160" s="4" t="s">
        <v>1327</v>
      </c>
      <c r="C160" s="4" t="s">
        <v>509</v>
      </c>
      <c r="D160" s="4" t="s">
        <v>522</v>
      </c>
      <c r="E160" s="4" t="s">
        <v>511</v>
      </c>
      <c r="F160" s="4" t="s">
        <v>63</v>
      </c>
      <c r="G160" s="4" t="s">
        <v>473</v>
      </c>
      <c r="H160" s="3" t="b">
        <f>FALSE()</f>
        <v>0</v>
      </c>
      <c r="I160" s="3" t="b">
        <f>TRUE()</f>
        <v>1</v>
      </c>
      <c r="J160" s="3" t="b">
        <f>FALSE()</f>
        <v>0</v>
      </c>
      <c r="K160" s="4" t="s">
        <v>65</v>
      </c>
      <c r="L160" s="3">
        <v>100</v>
      </c>
      <c r="M160" s="5">
        <v>400</v>
      </c>
      <c r="N160" s="5">
        <v>25</v>
      </c>
      <c r="O160" s="5">
        <v>1.3</v>
      </c>
      <c r="P160" s="5">
        <v>0.5</v>
      </c>
      <c r="Q160" s="5">
        <v>0.8</v>
      </c>
      <c r="R160" s="5">
        <v>33</v>
      </c>
      <c r="S160" s="5">
        <v>9.24</v>
      </c>
      <c r="T160" s="5">
        <v>13.07</v>
      </c>
      <c r="U160" s="5">
        <v>8.32</v>
      </c>
      <c r="V160" s="5">
        <v>0</v>
      </c>
      <c r="W160" s="5">
        <v>0</v>
      </c>
      <c r="X160" s="5">
        <v>700</v>
      </c>
      <c r="Y160" s="5">
        <v>100</v>
      </c>
      <c r="Z160" s="5">
        <v>800</v>
      </c>
      <c r="AA160" s="5">
        <v>30</v>
      </c>
      <c r="AB160" s="5">
        <v>0.7</v>
      </c>
      <c r="AC160" s="5">
        <v>3</v>
      </c>
      <c r="AD160" s="5">
        <v>0</v>
      </c>
      <c r="AE160" s="5">
        <v>20</v>
      </c>
      <c r="AF160" s="5">
        <v>0</v>
      </c>
      <c r="AG160" s="5">
        <v>0</v>
      </c>
      <c r="AH160" s="4" t="s">
        <v>77</v>
      </c>
      <c r="AI160" s="4" t="s">
        <v>65</v>
      </c>
      <c r="AJ160" s="4" t="s">
        <v>65</v>
      </c>
    </row>
    <row r="161" spans="1:36" ht="27.75" customHeight="1" x14ac:dyDescent="0.2">
      <c r="A161" s="3">
        <v>907</v>
      </c>
      <c r="B161" s="4" t="s">
        <v>526</v>
      </c>
      <c r="C161" s="4" t="s">
        <v>527</v>
      </c>
      <c r="D161" s="4" t="s">
        <v>528</v>
      </c>
      <c r="E161" s="4" t="s">
        <v>529</v>
      </c>
      <c r="F161" s="4" t="s">
        <v>63</v>
      </c>
      <c r="G161" s="4" t="s">
        <v>494</v>
      </c>
      <c r="H161" s="3" t="b">
        <f>FALSE()</f>
        <v>0</v>
      </c>
      <c r="I161" s="3" t="b">
        <f>FALSE()</f>
        <v>0</v>
      </c>
      <c r="J161" s="3" t="b">
        <f>TRUE()</f>
        <v>1</v>
      </c>
      <c r="K161" s="4" t="s">
        <v>87</v>
      </c>
      <c r="L161" s="3">
        <v>100</v>
      </c>
      <c r="M161" s="5">
        <v>145</v>
      </c>
      <c r="N161" s="5">
        <v>6</v>
      </c>
      <c r="O161" s="5">
        <v>19</v>
      </c>
      <c r="P161" s="5">
        <v>3</v>
      </c>
      <c r="Q161" s="5">
        <v>15.5</v>
      </c>
      <c r="R161" s="5">
        <v>5</v>
      </c>
      <c r="S161" s="5">
        <v>0.9</v>
      </c>
      <c r="T161" s="5">
        <v>2.25</v>
      </c>
      <c r="U161" s="5">
        <v>1.43</v>
      </c>
      <c r="V161" s="5">
        <v>0.2</v>
      </c>
      <c r="W161" s="5">
        <v>5</v>
      </c>
      <c r="X161" s="5">
        <v>180</v>
      </c>
      <c r="Y161" s="5">
        <v>360</v>
      </c>
      <c r="Z161" s="5">
        <v>45</v>
      </c>
      <c r="AA161" s="5">
        <v>55</v>
      </c>
      <c r="AB161" s="5">
        <v>2.2000000000000002</v>
      </c>
      <c r="AC161" s="5">
        <v>1.4</v>
      </c>
      <c r="AD161" s="5">
        <v>18</v>
      </c>
      <c r="AE161" s="5">
        <v>80</v>
      </c>
      <c r="AF161" s="5">
        <v>40</v>
      </c>
      <c r="AG161" s="5">
        <v>7.6</v>
      </c>
      <c r="AH161" s="4" t="s">
        <v>66</v>
      </c>
      <c r="AI161" s="4" t="s">
        <v>87</v>
      </c>
      <c r="AJ161" s="4" t="s">
        <v>87</v>
      </c>
    </row>
    <row r="162" spans="1:36" ht="27.75" customHeight="1" x14ac:dyDescent="0.2">
      <c r="A162" s="3">
        <v>913</v>
      </c>
      <c r="B162" s="4" t="s">
        <v>535</v>
      </c>
      <c r="C162" s="4" t="s">
        <v>527</v>
      </c>
      <c r="D162" s="4" t="s">
        <v>536</v>
      </c>
      <c r="E162" s="4" t="s">
        <v>529</v>
      </c>
      <c r="F162" s="4" t="s">
        <v>63</v>
      </c>
      <c r="G162" s="4" t="s">
        <v>473</v>
      </c>
      <c r="H162" s="3" t="b">
        <f>FALSE()</f>
        <v>0</v>
      </c>
      <c r="I162" s="3" t="b">
        <f>FALSE()</f>
        <v>0</v>
      </c>
      <c r="J162" s="3" t="b">
        <f>FALSE()</f>
        <v>0</v>
      </c>
      <c r="K162" s="4" t="s">
        <v>65</v>
      </c>
      <c r="L162" s="3">
        <v>100</v>
      </c>
      <c r="M162" s="5">
        <v>165</v>
      </c>
      <c r="N162" s="5">
        <v>14</v>
      </c>
      <c r="O162" s="5">
        <v>18</v>
      </c>
      <c r="P162" s="5">
        <v>2</v>
      </c>
      <c r="Q162" s="5">
        <v>15.7</v>
      </c>
      <c r="R162" s="5">
        <v>4</v>
      </c>
      <c r="S162" s="5">
        <v>0.72</v>
      </c>
      <c r="T162" s="5">
        <v>1.8</v>
      </c>
      <c r="U162" s="5">
        <v>1.1499999999999999</v>
      </c>
      <c r="V162" s="5">
        <v>0.1</v>
      </c>
      <c r="W162" s="5">
        <v>3</v>
      </c>
      <c r="X162" s="5">
        <v>220</v>
      </c>
      <c r="Y162" s="5">
        <v>260</v>
      </c>
      <c r="Z162" s="5">
        <v>25</v>
      </c>
      <c r="AA162" s="5">
        <v>35</v>
      </c>
      <c r="AB162" s="5">
        <v>1.2</v>
      </c>
      <c r="AC162" s="5">
        <v>1</v>
      </c>
      <c r="AD162" s="5">
        <v>12</v>
      </c>
      <c r="AE162" s="5">
        <v>40</v>
      </c>
      <c r="AF162" s="5">
        <v>55</v>
      </c>
      <c r="AG162" s="5">
        <v>9.9</v>
      </c>
      <c r="AH162" s="4" t="s">
        <v>77</v>
      </c>
      <c r="AI162" s="4" t="s">
        <v>65</v>
      </c>
      <c r="AJ162" s="4" t="s">
        <v>87</v>
      </c>
    </row>
    <row r="163" spans="1:36" ht="27.75" customHeight="1" x14ac:dyDescent="0.2">
      <c r="A163" s="3">
        <v>919</v>
      </c>
      <c r="B163" s="4" t="s">
        <v>1328</v>
      </c>
      <c r="C163" s="4" t="s">
        <v>527</v>
      </c>
      <c r="D163" s="4" t="s">
        <v>533</v>
      </c>
      <c r="E163" s="4" t="s">
        <v>529</v>
      </c>
      <c r="F163" s="4" t="s">
        <v>63</v>
      </c>
      <c r="G163" s="4" t="s">
        <v>473</v>
      </c>
      <c r="H163" s="3" t="b">
        <f>TRUE()</f>
        <v>1</v>
      </c>
      <c r="I163" s="3" t="b">
        <f>TRUE()</f>
        <v>1</v>
      </c>
      <c r="J163" s="3" t="b">
        <f>FALSE()</f>
        <v>0</v>
      </c>
      <c r="K163" s="4" t="s">
        <v>87</v>
      </c>
      <c r="L163" s="3">
        <v>100</v>
      </c>
      <c r="M163" s="5">
        <v>230</v>
      </c>
      <c r="N163" s="5">
        <v>16</v>
      </c>
      <c r="O163" s="5">
        <v>26</v>
      </c>
      <c r="P163" s="5">
        <v>4</v>
      </c>
      <c r="Q163" s="5">
        <v>21.7</v>
      </c>
      <c r="R163" s="5">
        <v>7</v>
      </c>
      <c r="S163" s="5">
        <v>1.26</v>
      </c>
      <c r="T163" s="5">
        <v>3.16</v>
      </c>
      <c r="U163" s="5">
        <v>2.0099999999999998</v>
      </c>
      <c r="V163" s="5">
        <v>0.1</v>
      </c>
      <c r="W163" s="5">
        <v>3</v>
      </c>
      <c r="X163" s="5">
        <v>650</v>
      </c>
      <c r="Y163" s="5">
        <v>250</v>
      </c>
      <c r="Z163" s="5">
        <v>180</v>
      </c>
      <c r="AA163" s="5">
        <v>35</v>
      </c>
      <c r="AB163" s="5">
        <v>1.5</v>
      </c>
      <c r="AC163" s="5">
        <v>1.7</v>
      </c>
      <c r="AD163" s="5">
        <v>0</v>
      </c>
      <c r="AE163" s="5">
        <v>45</v>
      </c>
      <c r="AF163" s="5">
        <v>65</v>
      </c>
      <c r="AG163" s="5">
        <v>16.899999999999999</v>
      </c>
      <c r="AH163" s="4" t="s">
        <v>77</v>
      </c>
      <c r="AI163" s="4" t="s">
        <v>65</v>
      </c>
      <c r="AJ163" s="4" t="s">
        <v>87</v>
      </c>
    </row>
    <row r="164" spans="1:36" ht="27.75" customHeight="1" x14ac:dyDescent="0.2">
      <c r="A164" s="3">
        <v>925</v>
      </c>
      <c r="B164" s="4" t="s">
        <v>537</v>
      </c>
      <c r="C164" s="4" t="s">
        <v>527</v>
      </c>
      <c r="D164" s="4" t="s">
        <v>531</v>
      </c>
      <c r="E164" s="4" t="s">
        <v>529</v>
      </c>
      <c r="F164" s="4" t="s">
        <v>63</v>
      </c>
      <c r="G164" s="4" t="s">
        <v>494</v>
      </c>
      <c r="H164" s="3" t="b">
        <f>FALSE()</f>
        <v>0</v>
      </c>
      <c r="I164" s="3" t="b">
        <f>FALSE()</f>
        <v>0</v>
      </c>
      <c r="J164" s="3" t="b">
        <f>FALSE()</f>
        <v>0</v>
      </c>
      <c r="K164" s="4" t="s">
        <v>65</v>
      </c>
      <c r="L164" s="3">
        <v>100</v>
      </c>
      <c r="M164" s="5">
        <v>165</v>
      </c>
      <c r="N164" s="5">
        <v>8</v>
      </c>
      <c r="O164" s="5">
        <v>14</v>
      </c>
      <c r="P164" s="5">
        <v>1</v>
      </c>
      <c r="Q164" s="5">
        <v>12.85</v>
      </c>
      <c r="R164" s="5">
        <v>8</v>
      </c>
      <c r="S164" s="5">
        <v>1.44</v>
      </c>
      <c r="T164" s="5">
        <v>3.61</v>
      </c>
      <c r="U164" s="5">
        <v>2.2999999999999998</v>
      </c>
      <c r="V164" s="5">
        <v>0.1</v>
      </c>
      <c r="W164" s="5">
        <v>1.5</v>
      </c>
      <c r="X164" s="5">
        <v>300</v>
      </c>
      <c r="Y164" s="5">
        <v>250</v>
      </c>
      <c r="Z164" s="5">
        <v>45</v>
      </c>
      <c r="AA164" s="5">
        <v>25</v>
      </c>
      <c r="AB164" s="5">
        <v>1.1000000000000001</v>
      </c>
      <c r="AC164" s="5">
        <v>1</v>
      </c>
      <c r="AD164" s="5">
        <v>8</v>
      </c>
      <c r="AE164" s="5">
        <v>30</v>
      </c>
      <c r="AF164" s="5">
        <v>60</v>
      </c>
      <c r="AG164" s="5">
        <v>8.4</v>
      </c>
      <c r="AH164" s="4" t="s">
        <v>66</v>
      </c>
      <c r="AI164" s="4" t="s">
        <v>65</v>
      </c>
      <c r="AJ164" s="4" t="s">
        <v>87</v>
      </c>
    </row>
    <row r="165" spans="1:36" ht="27.75" customHeight="1" x14ac:dyDescent="0.2">
      <c r="A165" s="3">
        <v>1201</v>
      </c>
      <c r="B165" s="4" t="s">
        <v>538</v>
      </c>
      <c r="C165" s="4" t="s">
        <v>539</v>
      </c>
      <c r="D165" s="4" t="s">
        <v>540</v>
      </c>
      <c r="E165" s="4" t="s">
        <v>541</v>
      </c>
      <c r="F165" s="4" t="s">
        <v>63</v>
      </c>
      <c r="G165" s="4" t="s">
        <v>473</v>
      </c>
      <c r="H165" s="3" t="b">
        <f>TRUE()</f>
        <v>1</v>
      </c>
      <c r="I165" s="3" t="b">
        <f>FALSE()</f>
        <v>0</v>
      </c>
      <c r="J165" s="3" t="b">
        <f>TRUE()</f>
        <v>1</v>
      </c>
      <c r="K165" s="4" t="s">
        <v>87</v>
      </c>
      <c r="L165" s="3">
        <v>100</v>
      </c>
      <c r="M165" s="5">
        <v>265</v>
      </c>
      <c r="N165" s="5">
        <v>9</v>
      </c>
      <c r="O165" s="5">
        <v>49</v>
      </c>
      <c r="P165" s="5">
        <v>3</v>
      </c>
      <c r="Q165" s="5">
        <v>44.5</v>
      </c>
      <c r="R165" s="5">
        <v>3.2</v>
      </c>
      <c r="S165" s="5">
        <v>0.7</v>
      </c>
      <c r="T165" s="5">
        <v>0.6</v>
      </c>
      <c r="U165" s="5">
        <v>1.1000000000000001</v>
      </c>
      <c r="V165" s="5">
        <v>0</v>
      </c>
      <c r="W165" s="5">
        <v>2.7</v>
      </c>
      <c r="X165" s="5">
        <v>500</v>
      </c>
      <c r="Y165" s="5">
        <v>115</v>
      </c>
      <c r="Z165" s="5">
        <v>149</v>
      </c>
      <c r="AA165" s="5">
        <v>25</v>
      </c>
      <c r="AB165" s="5">
        <v>3.6</v>
      </c>
      <c r="AC165" s="5">
        <v>0.7</v>
      </c>
      <c r="AD165" s="5">
        <v>0</v>
      </c>
      <c r="AE165" s="5">
        <v>40</v>
      </c>
      <c r="AF165" s="5">
        <v>75</v>
      </c>
      <c r="AG165" s="5">
        <v>36.799999999999997</v>
      </c>
      <c r="AH165" s="4" t="s">
        <v>77</v>
      </c>
      <c r="AI165" s="4" t="s">
        <v>65</v>
      </c>
      <c r="AJ165" s="4" t="s">
        <v>87</v>
      </c>
    </row>
    <row r="166" spans="1:36" ht="27.75" customHeight="1" x14ac:dyDescent="0.2">
      <c r="A166" s="3">
        <v>1204</v>
      </c>
      <c r="B166" s="4" t="s">
        <v>544</v>
      </c>
      <c r="C166" s="4" t="s">
        <v>539</v>
      </c>
      <c r="D166" s="4" t="s">
        <v>540</v>
      </c>
      <c r="E166" s="4" t="s">
        <v>541</v>
      </c>
      <c r="F166" s="4" t="s">
        <v>63</v>
      </c>
      <c r="G166" s="4" t="s">
        <v>473</v>
      </c>
      <c r="H166" s="3" t="b">
        <f>TRUE()</f>
        <v>1</v>
      </c>
      <c r="I166" s="3" t="b">
        <f>FALSE()</f>
        <v>0</v>
      </c>
      <c r="J166" s="3" t="b">
        <f>TRUE()</f>
        <v>1</v>
      </c>
      <c r="K166" s="4" t="s">
        <v>87</v>
      </c>
      <c r="L166" s="3">
        <v>100</v>
      </c>
      <c r="M166" s="5">
        <v>247</v>
      </c>
      <c r="N166" s="5">
        <v>9</v>
      </c>
      <c r="O166" s="5">
        <v>41</v>
      </c>
      <c r="P166" s="5">
        <v>3</v>
      </c>
      <c r="Q166" s="5">
        <v>35</v>
      </c>
      <c r="R166" s="5">
        <v>3.4</v>
      </c>
      <c r="S166" s="5">
        <v>0.7</v>
      </c>
      <c r="T166" s="5">
        <v>0.6</v>
      </c>
      <c r="U166" s="5">
        <v>1.3</v>
      </c>
      <c r="V166" s="5">
        <v>0.1</v>
      </c>
      <c r="W166" s="5">
        <v>7</v>
      </c>
      <c r="X166" s="5">
        <v>490</v>
      </c>
      <c r="Y166" s="5">
        <v>230</v>
      </c>
      <c r="Z166" s="5">
        <v>107</v>
      </c>
      <c r="AA166" s="5">
        <v>76</v>
      </c>
      <c r="AB166" s="5">
        <v>2.5</v>
      </c>
      <c r="AC166" s="5">
        <v>1.2</v>
      </c>
      <c r="AD166" s="5">
        <v>0</v>
      </c>
      <c r="AE166" s="5">
        <v>38</v>
      </c>
      <c r="AF166" s="5">
        <v>65</v>
      </c>
      <c r="AG166" s="5">
        <v>26.6</v>
      </c>
      <c r="AH166" s="4" t="s">
        <v>77</v>
      </c>
      <c r="AI166" s="4" t="s">
        <v>87</v>
      </c>
      <c r="AJ166" s="4" t="s">
        <v>87</v>
      </c>
    </row>
    <row r="167" spans="1:36" ht="27.75" customHeight="1" x14ac:dyDescent="0.2">
      <c r="A167" s="3">
        <v>1207</v>
      </c>
      <c r="B167" s="4" t="s">
        <v>547</v>
      </c>
      <c r="C167" s="4" t="s">
        <v>539</v>
      </c>
      <c r="D167" s="4" t="s">
        <v>547</v>
      </c>
      <c r="E167" s="4" t="s">
        <v>541</v>
      </c>
      <c r="F167" s="4" t="s">
        <v>63</v>
      </c>
      <c r="G167" s="4" t="s">
        <v>473</v>
      </c>
      <c r="H167" s="3" t="b">
        <f>TRUE()</f>
        <v>1</v>
      </c>
      <c r="I167" s="3" t="b">
        <f>FALSE()</f>
        <v>0</v>
      </c>
      <c r="J167" s="3" t="b">
        <f>TRUE()</f>
        <v>1</v>
      </c>
      <c r="K167" s="4" t="s">
        <v>126</v>
      </c>
      <c r="L167" s="3">
        <v>100</v>
      </c>
      <c r="M167" s="5">
        <v>258</v>
      </c>
      <c r="N167" s="5">
        <v>8.5</v>
      </c>
      <c r="O167" s="5">
        <v>48</v>
      </c>
      <c r="P167" s="5">
        <v>3.5</v>
      </c>
      <c r="Q167" s="5">
        <v>40</v>
      </c>
      <c r="R167" s="5">
        <v>1.7</v>
      </c>
      <c r="S167" s="5">
        <v>0.3</v>
      </c>
      <c r="T167" s="5">
        <v>0.2</v>
      </c>
      <c r="U167" s="5">
        <v>0.7</v>
      </c>
      <c r="V167" s="5">
        <v>0</v>
      </c>
      <c r="W167" s="5">
        <v>5.8</v>
      </c>
      <c r="X167" s="5">
        <v>660</v>
      </c>
      <c r="Y167" s="5">
        <v>250</v>
      </c>
      <c r="Z167" s="5">
        <v>60</v>
      </c>
      <c r="AA167" s="5">
        <v>47</v>
      </c>
      <c r="AB167" s="5">
        <v>2.8</v>
      </c>
      <c r="AC167" s="5">
        <v>1.4</v>
      </c>
      <c r="AD167" s="5">
        <v>0</v>
      </c>
      <c r="AE167" s="5">
        <v>41</v>
      </c>
      <c r="AF167" s="5">
        <v>58</v>
      </c>
      <c r="AG167" s="5">
        <v>27.8</v>
      </c>
      <c r="AH167" s="4" t="s">
        <v>66</v>
      </c>
      <c r="AI167" s="4" t="s">
        <v>87</v>
      </c>
      <c r="AJ167" s="4" t="s">
        <v>126</v>
      </c>
    </row>
    <row r="168" spans="1:36" ht="27.75" customHeight="1" x14ac:dyDescent="0.2">
      <c r="A168" s="3">
        <v>1216</v>
      </c>
      <c r="B168" s="4" t="s">
        <v>556</v>
      </c>
      <c r="C168" s="4" t="s">
        <v>539</v>
      </c>
      <c r="D168" s="4" t="s">
        <v>557</v>
      </c>
      <c r="E168" s="4" t="s">
        <v>541</v>
      </c>
      <c r="F168" s="4" t="s">
        <v>63</v>
      </c>
      <c r="G168" s="4" t="s">
        <v>473</v>
      </c>
      <c r="H168" s="3" t="b">
        <f>TRUE()</f>
        <v>1</v>
      </c>
      <c r="I168" s="3" t="b">
        <f>FALSE()</f>
        <v>0</v>
      </c>
      <c r="J168" s="3" t="b">
        <f>TRUE()</f>
        <v>1</v>
      </c>
      <c r="K168" s="4" t="s">
        <v>87</v>
      </c>
      <c r="L168" s="3">
        <v>100</v>
      </c>
      <c r="M168" s="5">
        <v>275</v>
      </c>
      <c r="N168" s="5">
        <v>9</v>
      </c>
      <c r="O168" s="5">
        <v>55</v>
      </c>
      <c r="P168" s="5">
        <v>1.5</v>
      </c>
      <c r="Q168" s="5">
        <v>51</v>
      </c>
      <c r="R168" s="5">
        <v>1.2</v>
      </c>
      <c r="S168" s="5">
        <v>0.2</v>
      </c>
      <c r="T168" s="5">
        <v>0.2</v>
      </c>
      <c r="U168" s="5">
        <v>0.5</v>
      </c>
      <c r="V168" s="5">
        <v>0</v>
      </c>
      <c r="W168" s="5">
        <v>2.2000000000000002</v>
      </c>
      <c r="X168" s="5">
        <v>540</v>
      </c>
      <c r="Y168" s="5">
        <v>110</v>
      </c>
      <c r="Z168" s="5">
        <v>54</v>
      </c>
      <c r="AA168" s="5">
        <v>25</v>
      </c>
      <c r="AB168" s="5">
        <v>2.4</v>
      </c>
      <c r="AC168" s="5">
        <v>0.8</v>
      </c>
      <c r="AD168" s="5">
        <v>0</v>
      </c>
      <c r="AE168" s="5">
        <v>36</v>
      </c>
      <c r="AF168" s="5">
        <v>68</v>
      </c>
      <c r="AG168" s="5">
        <v>37.4</v>
      </c>
      <c r="AH168" s="4" t="s">
        <v>77</v>
      </c>
      <c r="AI168" s="4" t="s">
        <v>65</v>
      </c>
      <c r="AJ168" s="4" t="s">
        <v>65</v>
      </c>
    </row>
    <row r="169" spans="1:36" ht="27.75" customHeight="1" x14ac:dyDescent="0.2">
      <c r="A169" s="3">
        <v>1219</v>
      </c>
      <c r="B169" s="4" t="s">
        <v>560</v>
      </c>
      <c r="C169" s="4" t="s">
        <v>539</v>
      </c>
      <c r="D169" s="4" t="s">
        <v>561</v>
      </c>
      <c r="E169" s="4" t="s">
        <v>562</v>
      </c>
      <c r="F169" s="4" t="s">
        <v>63</v>
      </c>
      <c r="G169" s="4" t="s">
        <v>473</v>
      </c>
      <c r="H169" s="3" t="b">
        <f>TRUE()</f>
        <v>1</v>
      </c>
      <c r="I169" s="3" t="b">
        <f>FALSE()</f>
        <v>0</v>
      </c>
      <c r="J169" s="3" t="b">
        <f>TRUE()</f>
        <v>1</v>
      </c>
      <c r="K169" s="4" t="s">
        <v>87</v>
      </c>
      <c r="L169" s="3">
        <v>100</v>
      </c>
      <c r="M169" s="5">
        <v>264</v>
      </c>
      <c r="N169" s="5">
        <v>8</v>
      </c>
      <c r="O169" s="5">
        <v>49</v>
      </c>
      <c r="P169" s="5">
        <v>5</v>
      </c>
      <c r="Q169" s="5">
        <v>42</v>
      </c>
      <c r="R169" s="5">
        <v>3.3</v>
      </c>
      <c r="S169" s="5">
        <v>0.8</v>
      </c>
      <c r="T169" s="5">
        <v>1</v>
      </c>
      <c r="U169" s="5">
        <v>1.2</v>
      </c>
      <c r="V169" s="5">
        <v>0.1</v>
      </c>
      <c r="W169" s="5">
        <v>2.5</v>
      </c>
      <c r="X169" s="5">
        <v>480</v>
      </c>
      <c r="Y169" s="5">
        <v>105</v>
      </c>
      <c r="Z169" s="5">
        <v>140</v>
      </c>
      <c r="AA169" s="5">
        <v>24</v>
      </c>
      <c r="AB169" s="5">
        <v>3</v>
      </c>
      <c r="AC169" s="5">
        <v>0.7</v>
      </c>
      <c r="AD169" s="5">
        <v>0</v>
      </c>
      <c r="AE169" s="5">
        <v>42</v>
      </c>
      <c r="AF169" s="5">
        <v>71</v>
      </c>
      <c r="AG169" s="5">
        <v>34.799999999999997</v>
      </c>
      <c r="AH169" s="4" t="s">
        <v>77</v>
      </c>
      <c r="AI169" s="4" t="s">
        <v>65</v>
      </c>
      <c r="AJ169" s="4" t="s">
        <v>87</v>
      </c>
    </row>
    <row r="170" spans="1:36" ht="27.75" customHeight="1" x14ac:dyDescent="0.2">
      <c r="A170" s="3">
        <v>1222</v>
      </c>
      <c r="B170" s="4" t="s">
        <v>565</v>
      </c>
      <c r="C170" s="4" t="s">
        <v>539</v>
      </c>
      <c r="D170" s="4" t="s">
        <v>561</v>
      </c>
      <c r="E170" s="4" t="s">
        <v>562</v>
      </c>
      <c r="F170" s="4" t="s">
        <v>63</v>
      </c>
      <c r="G170" s="4" t="s">
        <v>473</v>
      </c>
      <c r="H170" s="3" t="b">
        <f>TRUE()</f>
        <v>1</v>
      </c>
      <c r="I170" s="3" t="b">
        <f>FALSE()</f>
        <v>0</v>
      </c>
      <c r="J170" s="3" t="b">
        <f>TRUE()</f>
        <v>1</v>
      </c>
      <c r="K170" s="4" t="s">
        <v>87</v>
      </c>
      <c r="L170" s="3">
        <v>100</v>
      </c>
      <c r="M170" s="5">
        <v>250</v>
      </c>
      <c r="N170" s="5">
        <v>9</v>
      </c>
      <c r="O170" s="5">
        <v>41</v>
      </c>
      <c r="P170" s="5">
        <v>5.5</v>
      </c>
      <c r="Q170" s="5">
        <v>32</v>
      </c>
      <c r="R170" s="5">
        <v>3.5</v>
      </c>
      <c r="S170" s="5">
        <v>0.8</v>
      </c>
      <c r="T170" s="5">
        <v>1</v>
      </c>
      <c r="U170" s="5">
        <v>1.3</v>
      </c>
      <c r="V170" s="5">
        <v>0.1</v>
      </c>
      <c r="W170" s="5">
        <v>6.5</v>
      </c>
      <c r="X170" s="5">
        <v>470</v>
      </c>
      <c r="Y170" s="5">
        <v>220</v>
      </c>
      <c r="Z170" s="5">
        <v>100</v>
      </c>
      <c r="AA170" s="5">
        <v>70</v>
      </c>
      <c r="AB170" s="5">
        <v>2.6</v>
      </c>
      <c r="AC170" s="5">
        <v>1.1000000000000001</v>
      </c>
      <c r="AD170" s="5">
        <v>0</v>
      </c>
      <c r="AE170" s="5">
        <v>39</v>
      </c>
      <c r="AF170" s="5">
        <v>62</v>
      </c>
      <c r="AG170" s="5">
        <v>25.4</v>
      </c>
      <c r="AH170" s="4" t="s">
        <v>77</v>
      </c>
      <c r="AI170" s="4" t="s">
        <v>87</v>
      </c>
      <c r="AJ170" s="4" t="s">
        <v>87</v>
      </c>
    </row>
    <row r="171" spans="1:36" ht="27.75" customHeight="1" x14ac:dyDescent="0.2">
      <c r="A171" s="3">
        <v>1225</v>
      </c>
      <c r="B171" s="4" t="s">
        <v>568</v>
      </c>
      <c r="C171" s="4" t="s">
        <v>539</v>
      </c>
      <c r="D171" s="4" t="s">
        <v>569</v>
      </c>
      <c r="E171" s="4" t="s">
        <v>541</v>
      </c>
      <c r="F171" s="4" t="s">
        <v>63</v>
      </c>
      <c r="G171" s="4" t="s">
        <v>473</v>
      </c>
      <c r="H171" s="3" t="b">
        <f>TRUE()</f>
        <v>1</v>
      </c>
      <c r="I171" s="3" t="b">
        <f>FALSE()</f>
        <v>0</v>
      </c>
      <c r="J171" s="3" t="b">
        <f>TRUE()</f>
        <v>1</v>
      </c>
      <c r="K171" s="4" t="s">
        <v>87</v>
      </c>
      <c r="L171" s="3">
        <v>100</v>
      </c>
      <c r="M171" s="5">
        <v>400</v>
      </c>
      <c r="N171" s="5">
        <v>10</v>
      </c>
      <c r="O171" s="5">
        <v>72</v>
      </c>
      <c r="P171" s="5">
        <v>2</v>
      </c>
      <c r="Q171" s="5">
        <v>66</v>
      </c>
      <c r="R171" s="5">
        <v>8</v>
      </c>
      <c r="S171" s="5">
        <v>1.5</v>
      </c>
      <c r="T171" s="5">
        <v>3</v>
      </c>
      <c r="U171" s="5">
        <v>3</v>
      </c>
      <c r="V171" s="5">
        <v>0.1</v>
      </c>
      <c r="W171" s="5">
        <v>3</v>
      </c>
      <c r="X171" s="5">
        <v>700</v>
      </c>
      <c r="Y171" s="5">
        <v>150</v>
      </c>
      <c r="Z171" s="5">
        <v>60</v>
      </c>
      <c r="AA171" s="5">
        <v>30</v>
      </c>
      <c r="AB171" s="5">
        <v>3</v>
      </c>
      <c r="AC171" s="5">
        <v>1</v>
      </c>
      <c r="AD171" s="5">
        <v>0</v>
      </c>
      <c r="AE171" s="5">
        <v>30</v>
      </c>
      <c r="AF171" s="5">
        <v>70</v>
      </c>
      <c r="AG171" s="5">
        <v>50.4</v>
      </c>
      <c r="AH171" s="4" t="s">
        <v>77</v>
      </c>
      <c r="AI171" s="4" t="s">
        <v>65</v>
      </c>
      <c r="AJ171" s="4" t="s">
        <v>65</v>
      </c>
    </row>
    <row r="172" spans="1:36" ht="27.75" customHeight="1" x14ac:dyDescent="0.2">
      <c r="A172" s="3">
        <v>1228</v>
      </c>
      <c r="B172" s="4" t="s">
        <v>572</v>
      </c>
      <c r="C172" s="4" t="s">
        <v>539</v>
      </c>
      <c r="D172" s="4" t="s">
        <v>569</v>
      </c>
      <c r="E172" s="4" t="s">
        <v>541</v>
      </c>
      <c r="F172" s="4" t="s">
        <v>63</v>
      </c>
      <c r="G172" s="4" t="s">
        <v>473</v>
      </c>
      <c r="H172" s="3" t="b">
        <f>TRUE()</f>
        <v>1</v>
      </c>
      <c r="I172" s="3" t="b">
        <f>FALSE()</f>
        <v>0</v>
      </c>
      <c r="J172" s="3" t="b">
        <f>TRUE()</f>
        <v>1</v>
      </c>
      <c r="K172" s="4" t="s">
        <v>87</v>
      </c>
      <c r="L172" s="3">
        <v>100</v>
      </c>
      <c r="M172" s="5">
        <v>385</v>
      </c>
      <c r="N172" s="5">
        <v>11</v>
      </c>
      <c r="O172" s="5">
        <v>70</v>
      </c>
      <c r="P172" s="5">
        <v>3</v>
      </c>
      <c r="Q172" s="5">
        <v>58</v>
      </c>
      <c r="R172" s="5">
        <v>5</v>
      </c>
      <c r="S172" s="5">
        <v>1</v>
      </c>
      <c r="T172" s="5">
        <v>1.5</v>
      </c>
      <c r="U172" s="5">
        <v>2</v>
      </c>
      <c r="V172" s="5">
        <v>0.1</v>
      </c>
      <c r="W172" s="5">
        <v>7.5</v>
      </c>
      <c r="X172" s="5">
        <v>530</v>
      </c>
      <c r="Y172" s="5">
        <v>280</v>
      </c>
      <c r="Z172" s="5">
        <v>90</v>
      </c>
      <c r="AA172" s="5">
        <v>80</v>
      </c>
      <c r="AB172" s="5">
        <v>3.3</v>
      </c>
      <c r="AC172" s="5">
        <v>1.5</v>
      </c>
      <c r="AD172" s="5">
        <v>0</v>
      </c>
      <c r="AE172" s="5">
        <v>45</v>
      </c>
      <c r="AF172" s="5">
        <v>60</v>
      </c>
      <c r="AG172" s="5">
        <v>42</v>
      </c>
      <c r="AH172" s="4" t="s">
        <v>77</v>
      </c>
      <c r="AI172" s="4" t="s">
        <v>87</v>
      </c>
      <c r="AJ172" s="4" t="s">
        <v>87</v>
      </c>
    </row>
    <row r="173" spans="1:36" ht="27.75" customHeight="1" x14ac:dyDescent="0.2">
      <c r="A173" s="3">
        <v>1234</v>
      </c>
      <c r="B173" s="4" t="s">
        <v>578</v>
      </c>
      <c r="C173" s="4" t="s">
        <v>539</v>
      </c>
      <c r="D173" s="4" t="s">
        <v>579</v>
      </c>
      <c r="E173" s="4" t="s">
        <v>541</v>
      </c>
      <c r="F173" s="4" t="s">
        <v>63</v>
      </c>
      <c r="G173" s="4" t="s">
        <v>473</v>
      </c>
      <c r="H173" s="3" t="b">
        <f>TRUE()</f>
        <v>1</v>
      </c>
      <c r="I173" s="3" t="b">
        <f>FALSE()</f>
        <v>0</v>
      </c>
      <c r="J173" s="3" t="b">
        <f>TRUE()</f>
        <v>1</v>
      </c>
      <c r="K173" s="4" t="s">
        <v>87</v>
      </c>
      <c r="L173" s="3">
        <v>100</v>
      </c>
      <c r="M173" s="5">
        <v>280</v>
      </c>
      <c r="N173" s="5">
        <v>10</v>
      </c>
      <c r="O173" s="5">
        <v>42</v>
      </c>
      <c r="P173" s="5">
        <v>3</v>
      </c>
      <c r="Q173" s="5">
        <v>35</v>
      </c>
      <c r="R173" s="5">
        <v>8</v>
      </c>
      <c r="S173" s="5">
        <v>1.2</v>
      </c>
      <c r="T173" s="5">
        <v>2.5</v>
      </c>
      <c r="U173" s="5">
        <v>4</v>
      </c>
      <c r="V173" s="5">
        <v>0.8</v>
      </c>
      <c r="W173" s="5">
        <v>6.5</v>
      </c>
      <c r="X173" s="5">
        <v>460</v>
      </c>
      <c r="Y173" s="5">
        <v>250</v>
      </c>
      <c r="Z173" s="5">
        <v>90</v>
      </c>
      <c r="AA173" s="5">
        <v>70</v>
      </c>
      <c r="AB173" s="5">
        <v>3</v>
      </c>
      <c r="AC173" s="5">
        <v>1.3</v>
      </c>
      <c r="AD173" s="5">
        <v>0</v>
      </c>
      <c r="AE173" s="5">
        <v>40</v>
      </c>
      <c r="AF173" s="5">
        <v>55</v>
      </c>
      <c r="AG173" s="5">
        <v>23.1</v>
      </c>
      <c r="AH173" s="4" t="s">
        <v>77</v>
      </c>
      <c r="AI173" s="4" t="s">
        <v>87</v>
      </c>
      <c r="AJ173" s="4" t="s">
        <v>87</v>
      </c>
    </row>
    <row r="174" spans="1:36" ht="27.75" customHeight="1" x14ac:dyDescent="0.2">
      <c r="A174" s="3">
        <v>1237</v>
      </c>
      <c r="B174" s="4" t="s">
        <v>582</v>
      </c>
      <c r="C174" s="4" t="s">
        <v>583</v>
      </c>
      <c r="D174" s="4" t="s">
        <v>584</v>
      </c>
      <c r="E174" s="4" t="s">
        <v>585</v>
      </c>
      <c r="F174" s="4" t="s">
        <v>63</v>
      </c>
      <c r="G174" s="4" t="s">
        <v>64</v>
      </c>
      <c r="H174" s="3" t="b">
        <f>FALSE()</f>
        <v>0</v>
      </c>
      <c r="I174" s="3" t="b">
        <f>FALSE()</f>
        <v>0</v>
      </c>
      <c r="J174" s="3" t="b">
        <f>TRUE()</f>
        <v>1</v>
      </c>
      <c r="K174" s="4" t="s">
        <v>65</v>
      </c>
      <c r="L174" s="3">
        <v>100</v>
      </c>
      <c r="M174" s="5">
        <v>884</v>
      </c>
      <c r="N174" s="5">
        <v>0</v>
      </c>
      <c r="O174" s="5">
        <v>0</v>
      </c>
      <c r="P174" s="5">
        <v>0</v>
      </c>
      <c r="Q174" s="5">
        <v>0</v>
      </c>
      <c r="R174" s="5">
        <v>100</v>
      </c>
      <c r="S174" s="5">
        <v>14</v>
      </c>
      <c r="T174" s="5">
        <v>73</v>
      </c>
      <c r="U174" s="5">
        <v>11</v>
      </c>
      <c r="V174" s="5">
        <v>0.8</v>
      </c>
      <c r="W174" s="5">
        <v>0</v>
      </c>
      <c r="X174" s="5">
        <v>2</v>
      </c>
      <c r="Y174" s="5">
        <v>1</v>
      </c>
      <c r="Z174" s="5">
        <v>1</v>
      </c>
      <c r="AA174" s="5">
        <v>0</v>
      </c>
      <c r="AB174" s="5">
        <v>0.6</v>
      </c>
      <c r="AC174" s="5">
        <v>0</v>
      </c>
      <c r="AD174" s="5">
        <v>0</v>
      </c>
      <c r="AE174" s="5">
        <v>0</v>
      </c>
      <c r="AF174" s="5">
        <v>0</v>
      </c>
      <c r="AG174" s="5">
        <v>0</v>
      </c>
      <c r="AH174" s="4" t="s">
        <v>77</v>
      </c>
      <c r="AI174" s="4" t="s">
        <v>65</v>
      </c>
      <c r="AJ174" s="4" t="s">
        <v>65</v>
      </c>
    </row>
    <row r="175" spans="1:36" ht="27.75" customHeight="1" x14ac:dyDescent="0.2">
      <c r="A175" s="3">
        <v>1243</v>
      </c>
      <c r="B175" s="4" t="s">
        <v>591</v>
      </c>
      <c r="C175" s="4" t="s">
        <v>583</v>
      </c>
      <c r="D175" s="4" t="s">
        <v>584</v>
      </c>
      <c r="E175" s="4" t="s">
        <v>585</v>
      </c>
      <c r="F175" s="4" t="s">
        <v>63</v>
      </c>
      <c r="G175" s="4" t="s">
        <v>494</v>
      </c>
      <c r="H175" s="3" t="b">
        <f>FALSE()</f>
        <v>0</v>
      </c>
      <c r="I175" s="3" t="b">
        <f>FALSE()</f>
        <v>0</v>
      </c>
      <c r="J175" s="3" t="b">
        <f>TRUE()</f>
        <v>1</v>
      </c>
      <c r="K175" s="4" t="s">
        <v>65</v>
      </c>
      <c r="L175" s="3">
        <v>100</v>
      </c>
      <c r="M175" s="5">
        <v>884</v>
      </c>
      <c r="N175" s="5">
        <v>0</v>
      </c>
      <c r="O175" s="5">
        <v>0</v>
      </c>
      <c r="P175" s="5">
        <v>0</v>
      </c>
      <c r="Q175" s="5">
        <v>0</v>
      </c>
      <c r="R175" s="5">
        <v>100</v>
      </c>
      <c r="S175" s="5">
        <v>10</v>
      </c>
      <c r="T175" s="5">
        <v>20</v>
      </c>
      <c r="U175" s="5">
        <v>66</v>
      </c>
      <c r="V175" s="5">
        <v>0.2</v>
      </c>
      <c r="W175" s="5">
        <v>0</v>
      </c>
      <c r="X175" s="5">
        <v>0</v>
      </c>
      <c r="Y175" s="5">
        <v>1</v>
      </c>
      <c r="Z175" s="5">
        <v>1</v>
      </c>
      <c r="AA175" s="5">
        <v>0</v>
      </c>
      <c r="AB175" s="5">
        <v>0.2</v>
      </c>
      <c r="AC175" s="5">
        <v>0</v>
      </c>
      <c r="AD175" s="5">
        <v>0</v>
      </c>
      <c r="AE175" s="5">
        <v>0</v>
      </c>
      <c r="AF175" s="5">
        <v>0</v>
      </c>
      <c r="AG175" s="5">
        <v>0</v>
      </c>
      <c r="AH175" s="4" t="s">
        <v>77</v>
      </c>
      <c r="AI175" s="4" t="s">
        <v>65</v>
      </c>
      <c r="AJ175" s="4" t="s">
        <v>65</v>
      </c>
    </row>
    <row r="176" spans="1:36" ht="27.75" customHeight="1" x14ac:dyDescent="0.2">
      <c r="A176" s="3">
        <v>1246</v>
      </c>
      <c r="B176" s="4" t="s">
        <v>594</v>
      </c>
      <c r="C176" s="4" t="s">
        <v>583</v>
      </c>
      <c r="D176" s="4" t="s">
        <v>584</v>
      </c>
      <c r="E176" s="4" t="s">
        <v>595</v>
      </c>
      <c r="F176" s="4" t="s">
        <v>63</v>
      </c>
      <c r="G176" s="4" t="s">
        <v>64</v>
      </c>
      <c r="H176" s="3" t="b">
        <f>FALSE()</f>
        <v>0</v>
      </c>
      <c r="I176" s="3" t="b">
        <f>FALSE()</f>
        <v>0</v>
      </c>
      <c r="J176" s="3" t="b">
        <f>TRUE()</f>
        <v>1</v>
      </c>
      <c r="K176" s="4" t="s">
        <v>65</v>
      </c>
      <c r="L176" s="3">
        <v>100</v>
      </c>
      <c r="M176" s="5">
        <v>862</v>
      </c>
      <c r="N176" s="5">
        <v>0</v>
      </c>
      <c r="O176" s="5">
        <v>0</v>
      </c>
      <c r="P176" s="5">
        <v>0</v>
      </c>
      <c r="Q176" s="5">
        <v>0</v>
      </c>
      <c r="R176" s="5">
        <v>99.1</v>
      </c>
      <c r="S176" s="5">
        <v>87</v>
      </c>
      <c r="T176" s="5">
        <v>6</v>
      </c>
      <c r="U176" s="5">
        <v>1.6</v>
      </c>
      <c r="V176" s="5">
        <v>0</v>
      </c>
      <c r="W176" s="5">
        <v>0</v>
      </c>
      <c r="X176" s="5">
        <v>0</v>
      </c>
      <c r="Y176" s="5">
        <v>1</v>
      </c>
      <c r="Z176" s="5">
        <v>1</v>
      </c>
      <c r="AA176" s="5">
        <v>0</v>
      </c>
      <c r="AB176" s="5">
        <v>0</v>
      </c>
      <c r="AC176" s="5">
        <v>0</v>
      </c>
      <c r="AD176" s="5">
        <v>0</v>
      </c>
      <c r="AE176" s="5">
        <v>0</v>
      </c>
      <c r="AF176" s="5">
        <v>0</v>
      </c>
      <c r="AG176" s="5">
        <v>0</v>
      </c>
      <c r="AH176" s="4" t="s">
        <v>66</v>
      </c>
      <c r="AI176" s="4" t="s">
        <v>65</v>
      </c>
      <c r="AJ176" s="4" t="s">
        <v>65</v>
      </c>
    </row>
    <row r="177" spans="1:36" ht="27.75" customHeight="1" x14ac:dyDescent="0.2">
      <c r="A177" s="3">
        <v>1249</v>
      </c>
      <c r="B177" s="4" t="s">
        <v>598</v>
      </c>
      <c r="C177" s="4" t="s">
        <v>583</v>
      </c>
      <c r="D177" s="4" t="s">
        <v>599</v>
      </c>
      <c r="E177" s="4" t="s">
        <v>595</v>
      </c>
      <c r="F177" s="4" t="s">
        <v>63</v>
      </c>
      <c r="G177" s="4" t="s">
        <v>494</v>
      </c>
      <c r="H177" s="3" t="b">
        <f>FALSE()</f>
        <v>0</v>
      </c>
      <c r="I177" s="3" t="b">
        <f>TRUE()</f>
        <v>1</v>
      </c>
      <c r="J177" s="3" t="b">
        <f>FALSE()</f>
        <v>0</v>
      </c>
      <c r="K177" s="4" t="s">
        <v>65</v>
      </c>
      <c r="L177" s="3">
        <v>100</v>
      </c>
      <c r="M177" s="5">
        <v>717</v>
      </c>
      <c r="N177" s="5">
        <v>0.9</v>
      </c>
      <c r="O177" s="5">
        <v>0.1</v>
      </c>
      <c r="P177" s="5">
        <v>0.1</v>
      </c>
      <c r="Q177" s="5">
        <v>0</v>
      </c>
      <c r="R177" s="5">
        <v>81</v>
      </c>
      <c r="S177" s="5">
        <v>51</v>
      </c>
      <c r="T177" s="5">
        <v>21</v>
      </c>
      <c r="U177" s="5">
        <v>3</v>
      </c>
      <c r="V177" s="5">
        <v>0.3</v>
      </c>
      <c r="W177" s="5">
        <v>0</v>
      </c>
      <c r="X177" s="5">
        <v>11</v>
      </c>
      <c r="Y177" s="5">
        <v>24</v>
      </c>
      <c r="Z177" s="5">
        <v>24</v>
      </c>
      <c r="AA177" s="5">
        <v>2</v>
      </c>
      <c r="AB177" s="5">
        <v>0</v>
      </c>
      <c r="AC177" s="5">
        <v>0.1</v>
      </c>
      <c r="AD177" s="5">
        <v>0</v>
      </c>
      <c r="AE177" s="5">
        <v>3</v>
      </c>
      <c r="AF177" s="5">
        <v>0</v>
      </c>
      <c r="AG177" s="5">
        <v>0</v>
      </c>
      <c r="AH177" s="4" t="s">
        <v>77</v>
      </c>
      <c r="AI177" s="4" t="s">
        <v>65</v>
      </c>
      <c r="AJ177" s="4" t="s">
        <v>65</v>
      </c>
    </row>
    <row r="178" spans="1:36" ht="27.75" customHeight="1" x14ac:dyDescent="0.2">
      <c r="A178" s="3">
        <v>1258</v>
      </c>
      <c r="B178" s="4" t="s">
        <v>1329</v>
      </c>
      <c r="C178" s="4" t="s">
        <v>610</v>
      </c>
      <c r="D178" s="4" t="s">
        <v>611</v>
      </c>
      <c r="E178" s="4" t="s">
        <v>62</v>
      </c>
      <c r="F178" s="4" t="s">
        <v>63</v>
      </c>
      <c r="G178" s="4" t="s">
        <v>64</v>
      </c>
      <c r="H178" s="3" t="b">
        <f>FALSE()</f>
        <v>0</v>
      </c>
      <c r="I178" s="3" t="b">
        <f>FALSE()</f>
        <v>0</v>
      </c>
      <c r="J178" s="3" t="b">
        <f>TRUE()</f>
        <v>1</v>
      </c>
      <c r="K178" s="4" t="s">
        <v>65</v>
      </c>
      <c r="L178" s="3">
        <v>100</v>
      </c>
      <c r="M178" s="5">
        <v>579</v>
      </c>
      <c r="N178" s="5">
        <v>21.2</v>
      </c>
      <c r="O178" s="5">
        <v>21.6</v>
      </c>
      <c r="P178" s="5">
        <v>4.4000000000000004</v>
      </c>
      <c r="Q178" s="5">
        <v>0.7</v>
      </c>
      <c r="R178" s="5">
        <v>49.9</v>
      </c>
      <c r="S178" s="5">
        <v>3.8</v>
      </c>
      <c r="T178" s="5">
        <v>31.6</v>
      </c>
      <c r="U178" s="5">
        <v>12.3</v>
      </c>
      <c r="V178" s="5">
        <v>0</v>
      </c>
      <c r="W178" s="5">
        <v>12.5</v>
      </c>
      <c r="X178" s="5">
        <v>1</v>
      </c>
      <c r="Y178" s="5">
        <v>733</v>
      </c>
      <c r="Z178" s="5">
        <v>269</v>
      </c>
      <c r="AA178" s="5">
        <v>270</v>
      </c>
      <c r="AB178" s="5">
        <v>3.7</v>
      </c>
      <c r="AC178" s="5">
        <v>3.1</v>
      </c>
      <c r="AD178" s="5">
        <v>0</v>
      </c>
      <c r="AE178" s="5">
        <v>44</v>
      </c>
      <c r="AF178" s="5">
        <v>15</v>
      </c>
      <c r="AG178" s="5">
        <v>3.2</v>
      </c>
      <c r="AH178" s="4" t="s">
        <v>66</v>
      </c>
      <c r="AI178" s="4" t="s">
        <v>87</v>
      </c>
      <c r="AJ178" s="4" t="s">
        <v>87</v>
      </c>
    </row>
    <row r="179" spans="1:36" ht="27.75" customHeight="1" x14ac:dyDescent="0.2">
      <c r="A179" s="3">
        <v>1261</v>
      </c>
      <c r="B179" s="4" t="s">
        <v>614</v>
      </c>
      <c r="C179" s="4" t="s">
        <v>610</v>
      </c>
      <c r="D179" s="4" t="s">
        <v>611</v>
      </c>
      <c r="E179" s="4" t="s">
        <v>62</v>
      </c>
      <c r="F179" s="4" t="s">
        <v>63</v>
      </c>
      <c r="G179" s="4" t="s">
        <v>64</v>
      </c>
      <c r="H179" s="3" t="b">
        <f>FALSE()</f>
        <v>0</v>
      </c>
      <c r="I179" s="3" t="b">
        <f>FALSE()</f>
        <v>0</v>
      </c>
      <c r="J179" s="3" t="b">
        <f>TRUE()</f>
        <v>1</v>
      </c>
      <c r="K179" s="4" t="s">
        <v>65</v>
      </c>
      <c r="L179" s="3">
        <v>100</v>
      </c>
      <c r="M179" s="5">
        <v>654</v>
      </c>
      <c r="N179" s="5">
        <v>15.2</v>
      </c>
      <c r="O179" s="5">
        <v>13.7</v>
      </c>
      <c r="P179" s="5">
        <v>2.6</v>
      </c>
      <c r="Q179" s="5">
        <v>0.1</v>
      </c>
      <c r="R179" s="5">
        <v>65.2</v>
      </c>
      <c r="S179" s="5">
        <v>6.1</v>
      </c>
      <c r="T179" s="5">
        <v>8.9</v>
      </c>
      <c r="U179" s="5">
        <v>47.2</v>
      </c>
      <c r="V179" s="5">
        <v>9.1</v>
      </c>
      <c r="W179" s="5">
        <v>6.7</v>
      </c>
      <c r="X179" s="5">
        <v>2</v>
      </c>
      <c r="Y179" s="5">
        <v>441</v>
      </c>
      <c r="Z179" s="5">
        <v>98</v>
      </c>
      <c r="AA179" s="5">
        <v>158</v>
      </c>
      <c r="AB179" s="5">
        <v>2.9</v>
      </c>
      <c r="AC179" s="5">
        <v>3.1</v>
      </c>
      <c r="AD179" s="5">
        <v>1.3</v>
      </c>
      <c r="AE179" s="5">
        <v>98</v>
      </c>
      <c r="AF179" s="5">
        <v>15</v>
      </c>
      <c r="AG179" s="5">
        <v>2.1</v>
      </c>
      <c r="AH179" s="4" t="s">
        <v>66</v>
      </c>
      <c r="AI179" s="4" t="s">
        <v>87</v>
      </c>
      <c r="AJ179" s="4" t="s">
        <v>87</v>
      </c>
    </row>
    <row r="180" spans="1:36" ht="27.75" customHeight="1" x14ac:dyDescent="0.2">
      <c r="A180" s="3">
        <v>1264</v>
      </c>
      <c r="B180" s="4" t="s">
        <v>617</v>
      </c>
      <c r="C180" s="4" t="s">
        <v>610</v>
      </c>
      <c r="D180" s="4" t="s">
        <v>611</v>
      </c>
      <c r="E180" s="4" t="s">
        <v>62</v>
      </c>
      <c r="F180" s="4" t="s">
        <v>63</v>
      </c>
      <c r="G180" s="4" t="s">
        <v>64</v>
      </c>
      <c r="H180" s="3" t="b">
        <f>FALSE()</f>
        <v>0</v>
      </c>
      <c r="I180" s="3" t="b">
        <f>FALSE()</f>
        <v>0</v>
      </c>
      <c r="J180" s="3" t="b">
        <f>TRUE()</f>
        <v>1</v>
      </c>
      <c r="K180" s="4" t="s">
        <v>65</v>
      </c>
      <c r="L180" s="3">
        <v>100</v>
      </c>
      <c r="M180" s="5">
        <v>628</v>
      </c>
      <c r="N180" s="5">
        <v>15</v>
      </c>
      <c r="O180" s="5">
        <v>16.7</v>
      </c>
      <c r="P180" s="5">
        <v>4.3</v>
      </c>
      <c r="Q180" s="5">
        <v>0.1</v>
      </c>
      <c r="R180" s="5">
        <v>60.8</v>
      </c>
      <c r="S180" s="5">
        <v>4.5</v>
      </c>
      <c r="T180" s="5">
        <v>45.7</v>
      </c>
      <c r="U180" s="5">
        <v>7.9</v>
      </c>
      <c r="V180" s="5">
        <v>0.1</v>
      </c>
      <c r="W180" s="5">
        <v>9.6999999999999993</v>
      </c>
      <c r="X180" s="5">
        <v>0</v>
      </c>
      <c r="Y180" s="5">
        <v>680</v>
      </c>
      <c r="Z180" s="5">
        <v>114</v>
      </c>
      <c r="AA180" s="5">
        <v>163</v>
      </c>
      <c r="AB180" s="5">
        <v>4.7</v>
      </c>
      <c r="AC180" s="5">
        <v>2.5</v>
      </c>
      <c r="AD180" s="5">
        <v>6.3</v>
      </c>
      <c r="AE180" s="5">
        <v>113</v>
      </c>
      <c r="AF180" s="5">
        <v>15</v>
      </c>
      <c r="AG180" s="5">
        <v>2.5</v>
      </c>
      <c r="AH180" s="4" t="s">
        <v>66</v>
      </c>
      <c r="AI180" s="4" t="s">
        <v>87</v>
      </c>
      <c r="AJ180" s="4" t="s">
        <v>87</v>
      </c>
    </row>
    <row r="181" spans="1:36" ht="27.75" customHeight="1" x14ac:dyDescent="0.2">
      <c r="A181" s="3">
        <v>1267</v>
      </c>
      <c r="B181" s="4" t="s">
        <v>620</v>
      </c>
      <c r="C181" s="4" t="s">
        <v>610</v>
      </c>
      <c r="D181" s="4" t="s">
        <v>611</v>
      </c>
      <c r="E181" s="4" t="s">
        <v>62</v>
      </c>
      <c r="F181" s="4" t="s">
        <v>63</v>
      </c>
      <c r="G181" s="4" t="s">
        <v>64</v>
      </c>
      <c r="H181" s="3" t="b">
        <f>FALSE()</f>
        <v>0</v>
      </c>
      <c r="I181" s="3" t="b">
        <f>FALSE()</f>
        <v>0</v>
      </c>
      <c r="J181" s="3" t="b">
        <f>TRUE()</f>
        <v>1</v>
      </c>
      <c r="K181" s="4" t="s">
        <v>126</v>
      </c>
      <c r="L181" s="3">
        <v>100</v>
      </c>
      <c r="M181" s="5">
        <v>553</v>
      </c>
      <c r="N181" s="5">
        <v>18.2</v>
      </c>
      <c r="O181" s="5">
        <v>30.2</v>
      </c>
      <c r="P181" s="5">
        <v>5.9</v>
      </c>
      <c r="Q181" s="5">
        <v>23.5</v>
      </c>
      <c r="R181" s="5">
        <v>43.9</v>
      </c>
      <c r="S181" s="5">
        <v>7.8</v>
      </c>
      <c r="T181" s="5">
        <v>23.8</v>
      </c>
      <c r="U181" s="5">
        <v>7.8</v>
      </c>
      <c r="V181" s="5">
        <v>0.2</v>
      </c>
      <c r="W181" s="5">
        <v>3.3</v>
      </c>
      <c r="X181" s="5">
        <v>12</v>
      </c>
      <c r="Y181" s="5">
        <v>660</v>
      </c>
      <c r="Z181" s="5">
        <v>37</v>
      </c>
      <c r="AA181" s="5">
        <v>292</v>
      </c>
      <c r="AB181" s="5">
        <v>6.7</v>
      </c>
      <c r="AC181" s="5">
        <v>5.8</v>
      </c>
      <c r="AD181" s="5">
        <v>0.5</v>
      </c>
      <c r="AE181" s="5">
        <v>25</v>
      </c>
      <c r="AF181" s="5">
        <v>25</v>
      </c>
      <c r="AG181" s="5">
        <v>7.5</v>
      </c>
      <c r="AH181" s="4" t="s">
        <v>66</v>
      </c>
      <c r="AI181" s="4" t="s">
        <v>87</v>
      </c>
      <c r="AJ181" s="4" t="s">
        <v>126</v>
      </c>
    </row>
    <row r="182" spans="1:36" ht="27.75" customHeight="1" x14ac:dyDescent="0.2">
      <c r="A182" s="3">
        <v>1270</v>
      </c>
      <c r="B182" s="4" t="s">
        <v>623</v>
      </c>
      <c r="C182" s="4" t="s">
        <v>610</v>
      </c>
      <c r="D182" s="4" t="s">
        <v>611</v>
      </c>
      <c r="E182" s="4" t="s">
        <v>62</v>
      </c>
      <c r="F182" s="4" t="s">
        <v>63</v>
      </c>
      <c r="G182" s="4" t="s">
        <v>64</v>
      </c>
      <c r="H182" s="3" t="b">
        <f>FALSE()</f>
        <v>0</v>
      </c>
      <c r="I182" s="3" t="b">
        <f>FALSE()</f>
        <v>0</v>
      </c>
      <c r="J182" s="3" t="b">
        <f>TRUE()</f>
        <v>1</v>
      </c>
      <c r="K182" s="4" t="s">
        <v>87</v>
      </c>
      <c r="L182" s="3">
        <v>100</v>
      </c>
      <c r="M182" s="5">
        <v>560</v>
      </c>
      <c r="N182" s="5">
        <v>20.2</v>
      </c>
      <c r="O182" s="5">
        <v>27.5</v>
      </c>
      <c r="P182" s="5">
        <v>7.7</v>
      </c>
      <c r="Q182" s="5">
        <v>1</v>
      </c>
      <c r="R182" s="5">
        <v>45.4</v>
      </c>
      <c r="S182" s="5">
        <v>5.6</v>
      </c>
      <c r="T182" s="5">
        <v>23.8</v>
      </c>
      <c r="U182" s="5">
        <v>13.7</v>
      </c>
      <c r="V182" s="5">
        <v>0.3</v>
      </c>
      <c r="W182" s="5">
        <v>10</v>
      </c>
      <c r="X182" s="5">
        <v>1</v>
      </c>
      <c r="Y182" s="5">
        <v>1025</v>
      </c>
      <c r="Z182" s="5">
        <v>105</v>
      </c>
      <c r="AA182" s="5">
        <v>121</v>
      </c>
      <c r="AB182" s="5">
        <v>3.9</v>
      </c>
      <c r="AC182" s="5">
        <v>2.2000000000000002</v>
      </c>
      <c r="AD182" s="5">
        <v>5.6</v>
      </c>
      <c r="AE182" s="5">
        <v>51</v>
      </c>
      <c r="AF182" s="5">
        <v>15</v>
      </c>
      <c r="AG182" s="5">
        <v>4.0999999999999996</v>
      </c>
      <c r="AH182" s="4" t="s">
        <v>66</v>
      </c>
      <c r="AI182" s="4" t="s">
        <v>87</v>
      </c>
      <c r="AJ182" s="4" t="s">
        <v>87</v>
      </c>
    </row>
    <row r="183" spans="1:36" ht="27.75" customHeight="1" x14ac:dyDescent="0.2">
      <c r="A183" s="3">
        <v>1273</v>
      </c>
      <c r="B183" s="4" t="s">
        <v>626</v>
      </c>
      <c r="C183" s="4" t="s">
        <v>610</v>
      </c>
      <c r="D183" s="4" t="s">
        <v>627</v>
      </c>
      <c r="E183" s="4" t="s">
        <v>62</v>
      </c>
      <c r="F183" s="4" t="s">
        <v>63</v>
      </c>
      <c r="G183" s="4" t="s">
        <v>64</v>
      </c>
      <c r="H183" s="3" t="b">
        <f>FALSE()</f>
        <v>0</v>
      </c>
      <c r="I183" s="3" t="b">
        <f>FALSE()</f>
        <v>0</v>
      </c>
      <c r="J183" s="3" t="b">
        <f>TRUE()</f>
        <v>1</v>
      </c>
      <c r="K183" s="4" t="s">
        <v>65</v>
      </c>
      <c r="L183" s="3">
        <v>100</v>
      </c>
      <c r="M183" s="5">
        <v>567</v>
      </c>
      <c r="N183" s="5">
        <v>25.8</v>
      </c>
      <c r="O183" s="5">
        <v>16.100000000000001</v>
      </c>
      <c r="P183" s="5">
        <v>4</v>
      </c>
      <c r="Q183" s="5">
        <v>6</v>
      </c>
      <c r="R183" s="5">
        <v>49.2</v>
      </c>
      <c r="S183" s="5">
        <v>6.8</v>
      </c>
      <c r="T183" s="5">
        <v>24.4</v>
      </c>
      <c r="U183" s="5">
        <v>15.6</v>
      </c>
      <c r="V183" s="5">
        <v>0</v>
      </c>
      <c r="W183" s="5">
        <v>8.5</v>
      </c>
      <c r="X183" s="5">
        <v>18</v>
      </c>
      <c r="Y183" s="5">
        <v>705</v>
      </c>
      <c r="Z183" s="5">
        <v>92</v>
      </c>
      <c r="AA183" s="5">
        <v>168</v>
      </c>
      <c r="AB183" s="5">
        <v>4.5999999999999996</v>
      </c>
      <c r="AC183" s="5">
        <v>3.3</v>
      </c>
      <c r="AD183" s="5">
        <v>0</v>
      </c>
      <c r="AE183" s="5">
        <v>240</v>
      </c>
      <c r="AF183" s="5">
        <v>15</v>
      </c>
      <c r="AG183" s="5">
        <v>2.4</v>
      </c>
      <c r="AH183" s="4" t="s">
        <v>66</v>
      </c>
      <c r="AI183" s="4" t="s">
        <v>87</v>
      </c>
      <c r="AJ183" s="4" t="s">
        <v>87</v>
      </c>
    </row>
    <row r="184" spans="1:36" ht="27.75" customHeight="1" x14ac:dyDescent="0.2">
      <c r="A184" s="3">
        <v>1276</v>
      </c>
      <c r="B184" s="4" t="s">
        <v>630</v>
      </c>
      <c r="C184" s="4" t="s">
        <v>610</v>
      </c>
      <c r="D184" s="4" t="s">
        <v>631</v>
      </c>
      <c r="E184" s="4" t="s">
        <v>62</v>
      </c>
      <c r="F184" s="4" t="s">
        <v>63</v>
      </c>
      <c r="G184" s="4" t="s">
        <v>64</v>
      </c>
      <c r="H184" s="3" t="b">
        <f>FALSE()</f>
        <v>0</v>
      </c>
      <c r="I184" s="3" t="b">
        <f>FALSE()</f>
        <v>0</v>
      </c>
      <c r="J184" s="3" t="b">
        <f>TRUE()</f>
        <v>1</v>
      </c>
      <c r="K184" s="4" t="s">
        <v>65</v>
      </c>
      <c r="L184" s="3">
        <v>100</v>
      </c>
      <c r="M184" s="5">
        <v>486</v>
      </c>
      <c r="N184" s="5">
        <v>16.5</v>
      </c>
      <c r="O184" s="5">
        <v>42.1</v>
      </c>
      <c r="P184" s="5">
        <v>0</v>
      </c>
      <c r="Q184" s="5">
        <v>0</v>
      </c>
      <c r="R184" s="5">
        <v>30.7</v>
      </c>
      <c r="S184" s="5">
        <v>3.3</v>
      </c>
      <c r="T184" s="5">
        <v>2.2999999999999998</v>
      </c>
      <c r="U184" s="5">
        <v>23.7</v>
      </c>
      <c r="V184" s="5">
        <v>17.8</v>
      </c>
      <c r="W184" s="5">
        <v>34.4</v>
      </c>
      <c r="X184" s="5">
        <v>16</v>
      </c>
      <c r="Y184" s="5">
        <v>407</v>
      </c>
      <c r="Z184" s="5">
        <v>631</v>
      </c>
      <c r="AA184" s="5">
        <v>335</v>
      </c>
      <c r="AB184" s="5">
        <v>7.7</v>
      </c>
      <c r="AC184" s="5">
        <v>4.5999999999999996</v>
      </c>
      <c r="AD184" s="5">
        <v>1.6</v>
      </c>
      <c r="AE184" s="5">
        <v>49</v>
      </c>
      <c r="AF184" s="5">
        <v>1</v>
      </c>
      <c r="AG184" s="5">
        <v>0.4</v>
      </c>
      <c r="AH184" s="4" t="s">
        <v>66</v>
      </c>
      <c r="AI184" s="4" t="s">
        <v>126</v>
      </c>
      <c r="AJ184" s="4" t="s">
        <v>65</v>
      </c>
    </row>
    <row r="185" spans="1:36" ht="27.75" customHeight="1" x14ac:dyDescent="0.2">
      <c r="A185" s="3">
        <v>1279</v>
      </c>
      <c r="B185" s="4" t="s">
        <v>634</v>
      </c>
      <c r="C185" s="4" t="s">
        <v>610</v>
      </c>
      <c r="D185" s="4" t="s">
        <v>631</v>
      </c>
      <c r="E185" s="4" t="s">
        <v>62</v>
      </c>
      <c r="F185" s="4" t="s">
        <v>63</v>
      </c>
      <c r="G185" s="4" t="s">
        <v>64</v>
      </c>
      <c r="H185" s="3" t="b">
        <f>FALSE()</f>
        <v>0</v>
      </c>
      <c r="I185" s="3" t="b">
        <f>FALSE()</f>
        <v>0</v>
      </c>
      <c r="J185" s="3" t="b">
        <f>TRUE()</f>
        <v>1</v>
      </c>
      <c r="K185" s="4" t="s">
        <v>65</v>
      </c>
      <c r="L185" s="3">
        <v>100</v>
      </c>
      <c r="M185" s="5">
        <v>534</v>
      </c>
      <c r="N185" s="5">
        <v>18.3</v>
      </c>
      <c r="O185" s="5">
        <v>28.9</v>
      </c>
      <c r="P185" s="5">
        <v>1.5</v>
      </c>
      <c r="Q185" s="5">
        <v>1.3</v>
      </c>
      <c r="R185" s="5">
        <v>42.2</v>
      </c>
      <c r="S185" s="5">
        <v>3.7</v>
      </c>
      <c r="T185" s="5">
        <v>7.5</v>
      </c>
      <c r="U185" s="5">
        <v>28.7</v>
      </c>
      <c r="V185" s="5">
        <v>22.8</v>
      </c>
      <c r="W185" s="5">
        <v>27.3</v>
      </c>
      <c r="X185" s="5">
        <v>30</v>
      </c>
      <c r="Y185" s="5">
        <v>813</v>
      </c>
      <c r="Z185" s="5">
        <v>255</v>
      </c>
      <c r="AA185" s="5">
        <v>392</v>
      </c>
      <c r="AB185" s="5">
        <v>5.7</v>
      </c>
      <c r="AC185" s="5">
        <v>4.3</v>
      </c>
      <c r="AD185" s="5">
        <v>0.6</v>
      </c>
      <c r="AE185" s="5">
        <v>87</v>
      </c>
      <c r="AF185" s="5">
        <v>35</v>
      </c>
      <c r="AG185" s="5">
        <v>10.1</v>
      </c>
      <c r="AH185" s="4" t="s">
        <v>66</v>
      </c>
      <c r="AI185" s="4" t="s">
        <v>126</v>
      </c>
      <c r="AJ185" s="4" t="s">
        <v>65</v>
      </c>
    </row>
    <row r="186" spans="1:36" ht="27.75" customHeight="1" x14ac:dyDescent="0.2">
      <c r="A186" s="3">
        <v>1282</v>
      </c>
      <c r="B186" s="4" t="s">
        <v>1330</v>
      </c>
      <c r="C186" s="4" t="s">
        <v>610</v>
      </c>
      <c r="D186" s="4" t="s">
        <v>631</v>
      </c>
      <c r="E186" s="4" t="s">
        <v>62</v>
      </c>
      <c r="F186" s="4" t="s">
        <v>63</v>
      </c>
      <c r="G186" s="4" t="s">
        <v>64</v>
      </c>
      <c r="H186" s="3" t="b">
        <f>FALSE()</f>
        <v>0</v>
      </c>
      <c r="I186" s="3" t="b">
        <f>FALSE()</f>
        <v>0</v>
      </c>
      <c r="J186" s="3" t="b">
        <f>TRUE()</f>
        <v>1</v>
      </c>
      <c r="K186" s="4" t="s">
        <v>65</v>
      </c>
      <c r="L186" s="3">
        <v>100</v>
      </c>
      <c r="M186" s="5">
        <v>584</v>
      </c>
      <c r="N186" s="5">
        <v>20.8</v>
      </c>
      <c r="O186" s="5">
        <v>20</v>
      </c>
      <c r="P186" s="5">
        <v>2.6</v>
      </c>
      <c r="Q186" s="5">
        <v>0.1</v>
      </c>
      <c r="R186" s="5">
        <v>51.5</v>
      </c>
      <c r="S186" s="5">
        <v>4.5</v>
      </c>
      <c r="T186" s="5">
        <v>9.5</v>
      </c>
      <c r="U186" s="5">
        <v>32.700000000000003</v>
      </c>
      <c r="V186" s="5">
        <v>0.1</v>
      </c>
      <c r="W186" s="5">
        <v>8.6</v>
      </c>
      <c r="X186" s="5">
        <v>9</v>
      </c>
      <c r="Y186" s="5">
        <v>645</v>
      </c>
      <c r="Z186" s="5">
        <v>78</v>
      </c>
      <c r="AA186" s="5">
        <v>325</v>
      </c>
      <c r="AB186" s="5">
        <v>5.3</v>
      </c>
      <c r="AC186" s="5">
        <v>5</v>
      </c>
      <c r="AD186" s="5">
        <v>1.4</v>
      </c>
      <c r="AE186" s="5">
        <v>227</v>
      </c>
      <c r="AF186" s="5">
        <v>20</v>
      </c>
      <c r="AG186" s="5">
        <v>4</v>
      </c>
      <c r="AH186" s="4" t="s">
        <v>66</v>
      </c>
      <c r="AI186" s="4" t="s">
        <v>87</v>
      </c>
      <c r="AJ186" s="4" t="s">
        <v>65</v>
      </c>
    </row>
    <row r="187" spans="1:36" ht="27.75" customHeight="1" x14ac:dyDescent="0.2">
      <c r="A187" s="3">
        <v>1285</v>
      </c>
      <c r="B187" s="4" t="s">
        <v>640</v>
      </c>
      <c r="C187" s="4" t="s">
        <v>610</v>
      </c>
      <c r="D187" s="4" t="s">
        <v>631</v>
      </c>
      <c r="E187" s="4" t="s">
        <v>62</v>
      </c>
      <c r="F187" s="4" t="s">
        <v>63</v>
      </c>
      <c r="G187" s="4" t="s">
        <v>64</v>
      </c>
      <c r="H187" s="3" t="b">
        <f>FALSE()</f>
        <v>0</v>
      </c>
      <c r="I187" s="3" t="b">
        <f>FALSE()</f>
        <v>0</v>
      </c>
      <c r="J187" s="3" t="b">
        <f>TRUE()</f>
        <v>1</v>
      </c>
      <c r="K187" s="4" t="s">
        <v>65</v>
      </c>
      <c r="L187" s="3">
        <v>100</v>
      </c>
      <c r="M187" s="5">
        <v>559</v>
      </c>
      <c r="N187" s="5">
        <v>30.2</v>
      </c>
      <c r="O187" s="5">
        <v>10.7</v>
      </c>
      <c r="P187" s="5">
        <v>1.4</v>
      </c>
      <c r="Q187" s="5">
        <v>0.7</v>
      </c>
      <c r="R187" s="5">
        <v>49.1</v>
      </c>
      <c r="S187" s="5">
        <v>8.6999999999999993</v>
      </c>
      <c r="T187" s="5">
        <v>15.7</v>
      </c>
      <c r="U187" s="5">
        <v>20.7</v>
      </c>
      <c r="V187" s="5">
        <v>0.1</v>
      </c>
      <c r="W187" s="5">
        <v>6</v>
      </c>
      <c r="X187" s="5">
        <v>7</v>
      </c>
      <c r="Y187" s="5">
        <v>809</v>
      </c>
      <c r="Z187" s="5">
        <v>46</v>
      </c>
      <c r="AA187" s="5">
        <v>592</v>
      </c>
      <c r="AB187" s="5">
        <v>8.8000000000000007</v>
      </c>
      <c r="AC187" s="5">
        <v>7.8</v>
      </c>
      <c r="AD187" s="5">
        <v>1.9</v>
      </c>
      <c r="AE187" s="5">
        <v>58</v>
      </c>
      <c r="AF187" s="5">
        <v>25</v>
      </c>
      <c r="AG187" s="5">
        <v>2.7</v>
      </c>
      <c r="AH187" s="4" t="s">
        <v>66</v>
      </c>
      <c r="AI187" s="4" t="s">
        <v>65</v>
      </c>
      <c r="AJ187" s="4" t="s">
        <v>65</v>
      </c>
    </row>
    <row r="188" spans="1:36" ht="27.75" customHeight="1" x14ac:dyDescent="0.2">
      <c r="A188" s="3">
        <v>1288</v>
      </c>
      <c r="B188" s="4" t="s">
        <v>643</v>
      </c>
      <c r="C188" s="4" t="s">
        <v>610</v>
      </c>
      <c r="D188" s="4" t="s">
        <v>631</v>
      </c>
      <c r="E188" s="4" t="s">
        <v>62</v>
      </c>
      <c r="F188" s="4" t="s">
        <v>63</v>
      </c>
      <c r="G188" s="4" t="s">
        <v>64</v>
      </c>
      <c r="H188" s="3" t="b">
        <f>FALSE()</f>
        <v>0</v>
      </c>
      <c r="I188" s="3" t="b">
        <f>FALSE()</f>
        <v>0</v>
      </c>
      <c r="J188" s="3" t="b">
        <f>TRUE()</f>
        <v>1</v>
      </c>
      <c r="K188" s="4" t="s">
        <v>65</v>
      </c>
      <c r="L188" s="3">
        <v>100</v>
      </c>
      <c r="M188" s="5">
        <v>573</v>
      </c>
      <c r="N188" s="5">
        <v>17.7</v>
      </c>
      <c r="O188" s="5">
        <v>23.4</v>
      </c>
      <c r="P188" s="5">
        <v>0.3</v>
      </c>
      <c r="Q188" s="5">
        <v>9</v>
      </c>
      <c r="R188" s="5">
        <v>49.7</v>
      </c>
      <c r="S188" s="5">
        <v>7</v>
      </c>
      <c r="T188" s="5">
        <v>18.8</v>
      </c>
      <c r="U188" s="5">
        <v>21.8</v>
      </c>
      <c r="V188" s="5">
        <v>0.4</v>
      </c>
      <c r="W188" s="5">
        <v>11.8</v>
      </c>
      <c r="X188" s="5">
        <v>11</v>
      </c>
      <c r="Y188" s="5">
        <v>468</v>
      </c>
      <c r="Z188" s="5">
        <v>975</v>
      </c>
      <c r="AA188" s="5">
        <v>351</v>
      </c>
      <c r="AB188" s="5">
        <v>14.6</v>
      </c>
      <c r="AC188" s="5">
        <v>7.8</v>
      </c>
      <c r="AD188" s="5">
        <v>0</v>
      </c>
      <c r="AE188" s="5">
        <v>97</v>
      </c>
      <c r="AF188" s="5">
        <v>35</v>
      </c>
      <c r="AG188" s="5">
        <v>8.1999999999999993</v>
      </c>
      <c r="AH188" s="4" t="s">
        <v>66</v>
      </c>
      <c r="AI188" s="4" t="s">
        <v>65</v>
      </c>
      <c r="AJ188" s="4" t="s">
        <v>65</v>
      </c>
    </row>
    <row r="189" spans="1:36" ht="27.75" customHeight="1" x14ac:dyDescent="0.2">
      <c r="A189" s="3">
        <v>1291</v>
      </c>
      <c r="B189" s="4" t="s">
        <v>646</v>
      </c>
      <c r="C189" s="4" t="s">
        <v>610</v>
      </c>
      <c r="D189" s="4" t="s">
        <v>611</v>
      </c>
      <c r="E189" s="4" t="s">
        <v>62</v>
      </c>
      <c r="F189" s="4" t="s">
        <v>63</v>
      </c>
      <c r="G189" s="4" t="s">
        <v>64</v>
      </c>
      <c r="H189" s="3" t="b">
        <f>FALSE()</f>
        <v>0</v>
      </c>
      <c r="I189" s="3" t="b">
        <f>FALSE()</f>
        <v>0</v>
      </c>
      <c r="J189" s="3" t="b">
        <f>TRUE()</f>
        <v>1</v>
      </c>
      <c r="K189" s="4" t="s">
        <v>65</v>
      </c>
      <c r="L189" s="3">
        <v>100</v>
      </c>
      <c r="M189" s="5">
        <v>673</v>
      </c>
      <c r="N189" s="5">
        <v>13.7</v>
      </c>
      <c r="O189" s="5">
        <v>13.1</v>
      </c>
      <c r="P189" s="5">
        <v>3.6</v>
      </c>
      <c r="Q189" s="5">
        <v>0.5</v>
      </c>
      <c r="R189" s="5">
        <v>68.400000000000006</v>
      </c>
      <c r="S189" s="5">
        <v>4.9000000000000004</v>
      </c>
      <c r="T189" s="5">
        <v>18.7</v>
      </c>
      <c r="U189" s="5">
        <v>34.1</v>
      </c>
      <c r="V189" s="5">
        <v>0.1</v>
      </c>
      <c r="W189" s="5">
        <v>3.7</v>
      </c>
      <c r="X189" s="5">
        <v>2</v>
      </c>
      <c r="Y189" s="5">
        <v>597</v>
      </c>
      <c r="Z189" s="5">
        <v>16</v>
      </c>
      <c r="AA189" s="5">
        <v>251</v>
      </c>
      <c r="AB189" s="5">
        <v>5.5</v>
      </c>
      <c r="AC189" s="5">
        <v>6.5</v>
      </c>
      <c r="AD189" s="5">
        <v>0.8</v>
      </c>
      <c r="AE189" s="5">
        <v>34</v>
      </c>
      <c r="AF189" s="5">
        <v>15</v>
      </c>
      <c r="AG189" s="5">
        <v>2</v>
      </c>
      <c r="AH189" s="4" t="s">
        <v>66</v>
      </c>
      <c r="AI189" s="4" t="s">
        <v>65</v>
      </c>
      <c r="AJ189" s="4" t="s">
        <v>65</v>
      </c>
    </row>
    <row r="190" spans="1:36" ht="27.75" customHeight="1" x14ac:dyDescent="0.2">
      <c r="A190" s="3">
        <v>1321</v>
      </c>
      <c r="B190" s="4" t="s">
        <v>677</v>
      </c>
      <c r="C190" s="4" t="s">
        <v>650</v>
      </c>
      <c r="D190" s="4" t="s">
        <v>678</v>
      </c>
      <c r="E190" s="4" t="s">
        <v>585</v>
      </c>
      <c r="F190" s="4" t="s">
        <v>63</v>
      </c>
      <c r="G190" s="4" t="s">
        <v>64</v>
      </c>
      <c r="H190" s="3" t="b">
        <f>FALSE()</f>
        <v>0</v>
      </c>
      <c r="I190" s="3" t="b">
        <f>FALSE()</f>
        <v>0</v>
      </c>
      <c r="J190" s="3" t="b">
        <f>TRUE()</f>
        <v>1</v>
      </c>
      <c r="K190" s="4" t="s">
        <v>65</v>
      </c>
      <c r="L190" s="3">
        <v>100</v>
      </c>
      <c r="M190" s="5">
        <v>19</v>
      </c>
      <c r="N190" s="5">
        <v>0</v>
      </c>
      <c r="O190" s="5">
        <v>0.3</v>
      </c>
      <c r="P190" s="5">
        <v>0.3</v>
      </c>
      <c r="Q190" s="5">
        <v>0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4</v>
      </c>
      <c r="Y190" s="5">
        <v>13</v>
      </c>
      <c r="Z190" s="5">
        <v>8</v>
      </c>
      <c r="AA190" s="5">
        <v>1</v>
      </c>
      <c r="AB190" s="5">
        <v>0.1</v>
      </c>
      <c r="AC190" s="5">
        <v>0</v>
      </c>
      <c r="AD190" s="5">
        <v>0</v>
      </c>
      <c r="AE190" s="5">
        <v>0</v>
      </c>
      <c r="AF190" s="5">
        <v>0</v>
      </c>
      <c r="AG190" s="5">
        <v>0</v>
      </c>
      <c r="AH190" s="4" t="s">
        <v>77</v>
      </c>
      <c r="AI190" s="4" t="s">
        <v>65</v>
      </c>
      <c r="AJ190" s="4" t="s">
        <v>65</v>
      </c>
    </row>
    <row r="191" spans="1:36" ht="27.75" customHeight="1" x14ac:dyDescent="0.2">
      <c r="A191" s="3">
        <v>1324</v>
      </c>
      <c r="B191" s="4" t="s">
        <v>681</v>
      </c>
      <c r="C191" s="4" t="s">
        <v>650</v>
      </c>
      <c r="D191" s="4" t="s">
        <v>678</v>
      </c>
      <c r="E191" s="4" t="s">
        <v>585</v>
      </c>
      <c r="F191" s="4" t="s">
        <v>63</v>
      </c>
      <c r="G191" s="4" t="s">
        <v>64</v>
      </c>
      <c r="H191" s="3" t="b">
        <f>FALSE()</f>
        <v>0</v>
      </c>
      <c r="I191" s="3" t="b">
        <f>FALSE()</f>
        <v>0</v>
      </c>
      <c r="J191" s="3" t="b">
        <f>TRUE()</f>
        <v>1</v>
      </c>
      <c r="K191" s="4" t="s">
        <v>65</v>
      </c>
      <c r="L191" s="3">
        <v>100</v>
      </c>
      <c r="M191" s="5">
        <v>22</v>
      </c>
      <c r="N191" s="5">
        <v>0</v>
      </c>
      <c r="O191" s="5">
        <v>0.9</v>
      </c>
      <c r="P191" s="5">
        <v>0.4</v>
      </c>
      <c r="Q191" s="5">
        <v>0</v>
      </c>
      <c r="R191" s="5">
        <v>0</v>
      </c>
      <c r="S191" s="5">
        <v>0</v>
      </c>
      <c r="T191" s="5">
        <v>0</v>
      </c>
      <c r="U191" s="5">
        <v>0</v>
      </c>
      <c r="V191" s="5">
        <v>0</v>
      </c>
      <c r="W191" s="5">
        <v>0</v>
      </c>
      <c r="X191" s="5">
        <v>5</v>
      </c>
      <c r="Y191" s="5">
        <v>73</v>
      </c>
      <c r="Z191" s="5">
        <v>7</v>
      </c>
      <c r="AA191" s="5">
        <v>5</v>
      </c>
      <c r="AB191" s="5">
        <v>0.2</v>
      </c>
      <c r="AC191" s="5">
        <v>0</v>
      </c>
      <c r="AD191" s="5">
        <v>0</v>
      </c>
      <c r="AE191" s="5">
        <v>0</v>
      </c>
      <c r="AF191" s="5">
        <v>0</v>
      </c>
      <c r="AG191" s="5">
        <v>0</v>
      </c>
      <c r="AH191" s="4" t="s">
        <v>77</v>
      </c>
      <c r="AI191" s="4" t="s">
        <v>65</v>
      </c>
      <c r="AJ191" s="4" t="s">
        <v>65</v>
      </c>
    </row>
    <row r="192" spans="1:36" ht="27.75" customHeight="1" x14ac:dyDescent="0.2">
      <c r="A192" s="3">
        <v>1327</v>
      </c>
      <c r="B192" s="4" t="s">
        <v>684</v>
      </c>
      <c r="C192" s="4" t="s">
        <v>650</v>
      </c>
      <c r="D192" s="4" t="s">
        <v>685</v>
      </c>
      <c r="E192" s="4" t="s">
        <v>686</v>
      </c>
      <c r="F192" s="4" t="s">
        <v>63</v>
      </c>
      <c r="G192" s="4" t="s">
        <v>473</v>
      </c>
      <c r="H192" s="3" t="b">
        <f>FALSE()</f>
        <v>0</v>
      </c>
      <c r="I192" s="3" t="b">
        <f>FALSE()</f>
        <v>0</v>
      </c>
      <c r="J192" s="3" t="b">
        <f>TRUE()</f>
        <v>1</v>
      </c>
      <c r="K192" s="4" t="s">
        <v>65</v>
      </c>
      <c r="L192" s="3">
        <v>100</v>
      </c>
      <c r="M192" s="5">
        <v>66</v>
      </c>
      <c r="N192" s="5">
        <v>4.4000000000000004</v>
      </c>
      <c r="O192" s="5">
        <v>5</v>
      </c>
      <c r="P192" s="5">
        <v>2.8</v>
      </c>
      <c r="Q192" s="5">
        <v>0</v>
      </c>
      <c r="R192" s="5">
        <v>3.3</v>
      </c>
      <c r="S192" s="5">
        <v>0.2</v>
      </c>
      <c r="T192" s="5">
        <v>1.9</v>
      </c>
      <c r="U192" s="5">
        <v>0.9</v>
      </c>
      <c r="V192" s="5">
        <v>0.1</v>
      </c>
      <c r="W192" s="5">
        <v>3.3</v>
      </c>
      <c r="X192" s="5">
        <v>1120</v>
      </c>
      <c r="Y192" s="5">
        <v>138</v>
      </c>
      <c r="Z192" s="5">
        <v>63</v>
      </c>
      <c r="AA192" s="5">
        <v>48</v>
      </c>
      <c r="AB192" s="5">
        <v>1.6</v>
      </c>
      <c r="AC192" s="5">
        <v>0.6</v>
      </c>
      <c r="AD192" s="5">
        <v>0.7</v>
      </c>
      <c r="AE192" s="5">
        <v>15</v>
      </c>
      <c r="AF192" s="5">
        <v>35</v>
      </c>
      <c r="AG192" s="5">
        <v>1.8</v>
      </c>
      <c r="AH192" s="4" t="s">
        <v>77</v>
      </c>
      <c r="AI192" s="4" t="s">
        <v>65</v>
      </c>
      <c r="AJ192" s="4" t="s">
        <v>65</v>
      </c>
    </row>
    <row r="193" spans="1:36" ht="27.75" customHeight="1" x14ac:dyDescent="0.2">
      <c r="A193" s="3">
        <v>1330</v>
      </c>
      <c r="B193" s="4" t="s">
        <v>689</v>
      </c>
      <c r="C193" s="4" t="s">
        <v>690</v>
      </c>
      <c r="D193" s="4" t="s">
        <v>691</v>
      </c>
      <c r="E193" s="4" t="s">
        <v>692</v>
      </c>
      <c r="F193" s="4" t="s">
        <v>63</v>
      </c>
      <c r="G193" s="4" t="s">
        <v>473</v>
      </c>
      <c r="H193" s="3" t="b">
        <f>FALSE()</f>
        <v>0</v>
      </c>
      <c r="I193" s="3" t="b">
        <f>FALSE()</f>
        <v>0</v>
      </c>
      <c r="J193" s="3" t="b">
        <f>TRUE()</f>
        <v>1</v>
      </c>
      <c r="K193" s="4" t="s">
        <v>126</v>
      </c>
      <c r="L193" s="3">
        <v>100</v>
      </c>
      <c r="M193" s="5">
        <v>82</v>
      </c>
      <c r="N193" s="5">
        <v>1.6</v>
      </c>
      <c r="O193" s="5">
        <v>11</v>
      </c>
      <c r="P193" s="5">
        <v>7</v>
      </c>
      <c r="Q193" s="5">
        <v>1</v>
      </c>
      <c r="R193" s="5">
        <v>3.5</v>
      </c>
      <c r="S193" s="5">
        <v>0.5</v>
      </c>
      <c r="T193" s="5">
        <v>2.4</v>
      </c>
      <c r="U193" s="5">
        <v>0.4</v>
      </c>
      <c r="V193" s="5">
        <v>0</v>
      </c>
      <c r="W193" s="5">
        <v>1.5</v>
      </c>
      <c r="X193" s="5">
        <v>480</v>
      </c>
      <c r="Y193" s="5">
        <v>280</v>
      </c>
      <c r="Z193" s="5">
        <v>15</v>
      </c>
      <c r="AA193" s="5">
        <v>13</v>
      </c>
      <c r="AB193" s="5">
        <v>0.8</v>
      </c>
      <c r="AC193" s="5">
        <v>0.2</v>
      </c>
      <c r="AD193" s="5">
        <v>8</v>
      </c>
      <c r="AE193" s="5">
        <v>15</v>
      </c>
      <c r="AF193" s="5">
        <v>45</v>
      </c>
      <c r="AG193" s="5">
        <v>5</v>
      </c>
      <c r="AH193" s="4" t="s">
        <v>77</v>
      </c>
      <c r="AI193" s="4" t="s">
        <v>65</v>
      </c>
      <c r="AJ193" s="4" t="s">
        <v>87</v>
      </c>
    </row>
    <row r="194" spans="1:36" ht="27.75" customHeight="1" x14ac:dyDescent="0.2">
      <c r="A194" s="3">
        <v>1333</v>
      </c>
      <c r="B194" s="4" t="s">
        <v>695</v>
      </c>
      <c r="C194" s="4" t="s">
        <v>690</v>
      </c>
      <c r="D194" s="4" t="s">
        <v>696</v>
      </c>
      <c r="E194" s="4" t="s">
        <v>686</v>
      </c>
      <c r="F194" s="4" t="s">
        <v>63</v>
      </c>
      <c r="G194" s="4" t="s">
        <v>473</v>
      </c>
      <c r="H194" s="3" t="b">
        <f>FALSE()</f>
        <v>0</v>
      </c>
      <c r="I194" s="3" t="b">
        <f>FALSE()</f>
        <v>0</v>
      </c>
      <c r="J194" s="3" t="b">
        <f>FALSE()</f>
        <v>0</v>
      </c>
      <c r="K194" s="4" t="s">
        <v>126</v>
      </c>
      <c r="L194" s="3">
        <v>100</v>
      </c>
      <c r="M194" s="5">
        <v>526</v>
      </c>
      <c r="N194" s="5">
        <v>1.1000000000000001</v>
      </c>
      <c r="O194" s="5">
        <v>2.2000000000000002</v>
      </c>
      <c r="P194" s="5">
        <v>0.8</v>
      </c>
      <c r="Q194" s="5">
        <v>0</v>
      </c>
      <c r="R194" s="5">
        <v>57</v>
      </c>
      <c r="S194" s="5">
        <v>8</v>
      </c>
      <c r="T194" s="5">
        <v>40</v>
      </c>
      <c r="U194" s="5">
        <v>7</v>
      </c>
      <c r="V194" s="5">
        <v>0.1</v>
      </c>
      <c r="W194" s="5">
        <v>0.2</v>
      </c>
      <c r="X194" s="5">
        <v>380</v>
      </c>
      <c r="Y194" s="5">
        <v>40</v>
      </c>
      <c r="Z194" s="5">
        <v>15</v>
      </c>
      <c r="AA194" s="5">
        <v>4</v>
      </c>
      <c r="AB194" s="5">
        <v>0.4</v>
      </c>
      <c r="AC194" s="5">
        <v>0.2</v>
      </c>
      <c r="AD194" s="5">
        <v>1.5</v>
      </c>
      <c r="AE194" s="5">
        <v>8</v>
      </c>
      <c r="AF194" s="5">
        <v>0</v>
      </c>
      <c r="AG194" s="5">
        <v>0</v>
      </c>
      <c r="AH194" s="4" t="s">
        <v>66</v>
      </c>
      <c r="AI194" s="4" t="s">
        <v>65</v>
      </c>
      <c r="AJ194" s="4" t="s">
        <v>87</v>
      </c>
    </row>
    <row r="195" spans="1:36" ht="27.75" customHeight="1" x14ac:dyDescent="0.2">
      <c r="A195" s="3">
        <v>1336</v>
      </c>
      <c r="B195" s="4" t="s">
        <v>699</v>
      </c>
      <c r="C195" s="4" t="s">
        <v>690</v>
      </c>
      <c r="D195" s="4" t="s">
        <v>696</v>
      </c>
      <c r="E195" s="4" t="s">
        <v>562</v>
      </c>
      <c r="F195" s="4" t="s">
        <v>63</v>
      </c>
      <c r="G195" s="4" t="s">
        <v>603</v>
      </c>
      <c r="H195" s="3" t="b">
        <f>FALSE()</f>
        <v>0</v>
      </c>
      <c r="I195" s="3" t="b">
        <f>FALSE()</f>
        <v>0</v>
      </c>
      <c r="J195" s="3" t="b">
        <f>FALSE()</f>
        <v>0</v>
      </c>
      <c r="K195" s="4" t="s">
        <v>65</v>
      </c>
      <c r="L195" s="3">
        <v>100</v>
      </c>
      <c r="M195" s="5">
        <v>680</v>
      </c>
      <c r="N195" s="5">
        <v>1</v>
      </c>
      <c r="O195" s="5">
        <v>1.3</v>
      </c>
      <c r="P195" s="5">
        <v>1</v>
      </c>
      <c r="Q195" s="5">
        <v>0</v>
      </c>
      <c r="R195" s="5">
        <v>75</v>
      </c>
      <c r="S195" s="5">
        <v>11</v>
      </c>
      <c r="T195" s="5">
        <v>20</v>
      </c>
      <c r="U195" s="5">
        <v>40</v>
      </c>
      <c r="V195" s="5">
        <v>4</v>
      </c>
      <c r="W195" s="5">
        <v>0</v>
      </c>
      <c r="X195" s="5">
        <v>550</v>
      </c>
      <c r="Y195" s="5">
        <v>30</v>
      </c>
      <c r="Z195" s="5">
        <v>10</v>
      </c>
      <c r="AA195" s="5">
        <v>2</v>
      </c>
      <c r="AB195" s="5">
        <v>0.2</v>
      </c>
      <c r="AC195" s="5">
        <v>0.1</v>
      </c>
      <c r="AD195" s="5">
        <v>0</v>
      </c>
      <c r="AE195" s="5">
        <v>5</v>
      </c>
      <c r="AF195" s="5">
        <v>0</v>
      </c>
      <c r="AG195" s="5">
        <v>0</v>
      </c>
      <c r="AH195" s="4" t="s">
        <v>77</v>
      </c>
      <c r="AI195" s="4" t="s">
        <v>65</v>
      </c>
      <c r="AJ195" s="4" t="s">
        <v>65</v>
      </c>
    </row>
    <row r="196" spans="1:36" ht="27.75" customHeight="1" x14ac:dyDescent="0.2">
      <c r="A196" s="3">
        <v>1339</v>
      </c>
      <c r="B196" s="4" t="s">
        <v>702</v>
      </c>
      <c r="C196" s="4" t="s">
        <v>690</v>
      </c>
      <c r="D196" s="4" t="s">
        <v>691</v>
      </c>
      <c r="E196" s="4" t="s">
        <v>562</v>
      </c>
      <c r="F196" s="4" t="s">
        <v>63</v>
      </c>
      <c r="G196" s="4" t="s">
        <v>603</v>
      </c>
      <c r="H196" s="3" t="b">
        <f>FALSE()</f>
        <v>0</v>
      </c>
      <c r="I196" s="3" t="b">
        <f>FALSE()</f>
        <v>0</v>
      </c>
      <c r="J196" s="3" t="b">
        <f>TRUE()</f>
        <v>1</v>
      </c>
      <c r="K196" s="4" t="s">
        <v>126</v>
      </c>
      <c r="L196" s="3">
        <v>100</v>
      </c>
      <c r="M196" s="5">
        <v>101</v>
      </c>
      <c r="N196" s="5">
        <v>1.2</v>
      </c>
      <c r="O196" s="5">
        <v>24</v>
      </c>
      <c r="P196" s="5">
        <v>21</v>
      </c>
      <c r="Q196" s="5">
        <v>1</v>
      </c>
      <c r="R196" s="5">
        <v>0.2</v>
      </c>
      <c r="S196" s="5">
        <v>0</v>
      </c>
      <c r="T196" s="5">
        <v>0</v>
      </c>
      <c r="U196" s="5">
        <v>0.1</v>
      </c>
      <c r="V196" s="5">
        <v>0</v>
      </c>
      <c r="W196" s="5">
        <v>0.4</v>
      </c>
      <c r="X196" s="5">
        <v>907</v>
      </c>
      <c r="Y196" s="5">
        <v>280</v>
      </c>
      <c r="Z196" s="5">
        <v>13</v>
      </c>
      <c r="AA196" s="5">
        <v>12</v>
      </c>
      <c r="AB196" s="5">
        <v>0.6</v>
      </c>
      <c r="AC196" s="5">
        <v>0.2</v>
      </c>
      <c r="AD196" s="5">
        <v>5</v>
      </c>
      <c r="AE196" s="5">
        <v>10</v>
      </c>
      <c r="AF196" s="5">
        <v>55</v>
      </c>
      <c r="AG196" s="5">
        <v>13.2</v>
      </c>
      <c r="AH196" s="4" t="s">
        <v>77</v>
      </c>
      <c r="AI196" s="4" t="s">
        <v>65</v>
      </c>
      <c r="AJ196" s="4" t="s">
        <v>87</v>
      </c>
    </row>
    <row r="197" spans="1:36" ht="27.75" customHeight="1" x14ac:dyDescent="0.2">
      <c r="A197" s="3">
        <v>1342</v>
      </c>
      <c r="B197" s="4" t="s">
        <v>705</v>
      </c>
      <c r="C197" s="4" t="s">
        <v>690</v>
      </c>
      <c r="D197" s="4" t="s">
        <v>706</v>
      </c>
      <c r="E197" s="4" t="s">
        <v>585</v>
      </c>
      <c r="F197" s="4" t="s">
        <v>63</v>
      </c>
      <c r="G197" s="4" t="s">
        <v>473</v>
      </c>
      <c r="H197" s="3" t="b">
        <f>TRUE()</f>
        <v>1</v>
      </c>
      <c r="I197" s="3" t="b">
        <f>FALSE()</f>
        <v>0</v>
      </c>
      <c r="J197" s="3" t="b">
        <f>TRUE()</f>
        <v>1</v>
      </c>
      <c r="K197" s="4" t="s">
        <v>65</v>
      </c>
      <c r="L197" s="3">
        <v>100</v>
      </c>
      <c r="M197" s="5">
        <v>53</v>
      </c>
      <c r="N197" s="5">
        <v>8</v>
      </c>
      <c r="O197" s="5">
        <v>4.9000000000000004</v>
      </c>
      <c r="P197" s="5">
        <v>0.4</v>
      </c>
      <c r="Q197" s="5">
        <v>0</v>
      </c>
      <c r="R197" s="5">
        <v>0.1</v>
      </c>
      <c r="S197" s="5">
        <v>0</v>
      </c>
      <c r="T197" s="5">
        <v>0</v>
      </c>
      <c r="U197" s="5">
        <v>0.1</v>
      </c>
      <c r="V197" s="5">
        <v>0</v>
      </c>
      <c r="W197" s="5">
        <v>0.8</v>
      </c>
      <c r="X197" s="5">
        <v>5493</v>
      </c>
      <c r="Y197" s="5">
        <v>380</v>
      </c>
      <c r="Z197" s="5">
        <v>20</v>
      </c>
      <c r="AA197" s="5">
        <v>44</v>
      </c>
      <c r="AB197" s="5">
        <v>2.4</v>
      </c>
      <c r="AC197" s="5">
        <v>0.9</v>
      </c>
      <c r="AD197" s="5">
        <v>0</v>
      </c>
      <c r="AE197" s="5">
        <v>32</v>
      </c>
      <c r="AF197" s="5">
        <v>0</v>
      </c>
      <c r="AG197" s="5">
        <v>0</v>
      </c>
      <c r="AH197" s="4" t="s">
        <v>77</v>
      </c>
      <c r="AI197" s="4" t="s">
        <v>65</v>
      </c>
      <c r="AJ197" s="4" t="s">
        <v>65</v>
      </c>
    </row>
    <row r="198" spans="1:36" ht="27.75" customHeight="1" x14ac:dyDescent="0.2">
      <c r="A198" s="3">
        <v>1345</v>
      </c>
      <c r="B198" s="4" t="s">
        <v>709</v>
      </c>
      <c r="C198" s="4" t="s">
        <v>710</v>
      </c>
      <c r="D198" s="4" t="s">
        <v>711</v>
      </c>
      <c r="E198" s="4" t="s">
        <v>686</v>
      </c>
      <c r="F198" s="4" t="s">
        <v>63</v>
      </c>
      <c r="G198" s="4" t="s">
        <v>64</v>
      </c>
      <c r="H198" s="3" t="b">
        <f>FALSE()</f>
        <v>0</v>
      </c>
      <c r="I198" s="3" t="b">
        <f>FALSE()</f>
        <v>0</v>
      </c>
      <c r="J198" s="3" t="b">
        <f>TRUE()</f>
        <v>1</v>
      </c>
      <c r="K198" s="4" t="s">
        <v>65</v>
      </c>
      <c r="L198" s="3">
        <v>100</v>
      </c>
      <c r="M198" s="5">
        <v>2</v>
      </c>
      <c r="N198" s="5">
        <v>0.1</v>
      </c>
      <c r="O198" s="5">
        <v>0</v>
      </c>
      <c r="P198" s="5">
        <v>0</v>
      </c>
      <c r="Q198" s="5">
        <v>0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v>0</v>
      </c>
      <c r="X198" s="5">
        <v>2</v>
      </c>
      <c r="Y198" s="5">
        <v>115</v>
      </c>
      <c r="Z198" s="5">
        <v>2</v>
      </c>
      <c r="AA198" s="5">
        <v>8</v>
      </c>
      <c r="AB198" s="5">
        <v>0</v>
      </c>
      <c r="AC198" s="5">
        <v>0</v>
      </c>
      <c r="AD198" s="5">
        <v>0</v>
      </c>
      <c r="AE198" s="5">
        <v>1</v>
      </c>
      <c r="AF198" s="5">
        <v>0</v>
      </c>
      <c r="AG198" s="5">
        <v>0</v>
      </c>
      <c r="AH198" s="4" t="s">
        <v>77</v>
      </c>
      <c r="AI198" s="4" t="s">
        <v>65</v>
      </c>
      <c r="AJ198" s="4" t="s">
        <v>65</v>
      </c>
    </row>
    <row r="199" spans="1:36" ht="27.75" customHeight="1" x14ac:dyDescent="0.2">
      <c r="A199" s="3">
        <v>1348</v>
      </c>
      <c r="B199" s="4" t="s">
        <v>714</v>
      </c>
      <c r="C199" s="4" t="s">
        <v>710</v>
      </c>
      <c r="D199" s="4" t="s">
        <v>711</v>
      </c>
      <c r="E199" s="4" t="s">
        <v>686</v>
      </c>
      <c r="F199" s="4" t="s">
        <v>63</v>
      </c>
      <c r="G199" s="4" t="s">
        <v>64</v>
      </c>
      <c r="H199" s="3" t="b">
        <f>FALSE()</f>
        <v>0</v>
      </c>
      <c r="I199" s="3" t="b">
        <f>FALSE()</f>
        <v>0</v>
      </c>
      <c r="J199" s="3" t="b">
        <f>TRUE()</f>
        <v>1</v>
      </c>
      <c r="K199" s="4" t="s">
        <v>65</v>
      </c>
      <c r="L199" s="3">
        <v>100</v>
      </c>
      <c r="M199" s="5">
        <v>1</v>
      </c>
      <c r="N199" s="5">
        <v>0</v>
      </c>
      <c r="O199" s="5">
        <v>0.2</v>
      </c>
      <c r="P199" s="5">
        <v>0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1</v>
      </c>
      <c r="Y199" s="5">
        <v>20</v>
      </c>
      <c r="Z199" s="5">
        <v>0</v>
      </c>
      <c r="AA199" s="5">
        <v>1</v>
      </c>
      <c r="AB199" s="5">
        <v>0</v>
      </c>
      <c r="AC199" s="5">
        <v>0</v>
      </c>
      <c r="AD199" s="5">
        <v>0</v>
      </c>
      <c r="AE199" s="5">
        <v>0</v>
      </c>
      <c r="AF199" s="5">
        <v>0</v>
      </c>
      <c r="AG199" s="5">
        <v>0</v>
      </c>
      <c r="AH199" s="4" t="s">
        <v>77</v>
      </c>
      <c r="AI199" s="4" t="s">
        <v>65</v>
      </c>
      <c r="AJ199" s="4" t="s">
        <v>65</v>
      </c>
    </row>
    <row r="200" spans="1:36" ht="27.75" customHeight="1" x14ac:dyDescent="0.2">
      <c r="A200" s="3">
        <v>1351</v>
      </c>
      <c r="B200" s="4" t="s">
        <v>717</v>
      </c>
      <c r="C200" s="4" t="s">
        <v>710</v>
      </c>
      <c r="D200" s="4" t="s">
        <v>718</v>
      </c>
      <c r="E200" s="4" t="s">
        <v>585</v>
      </c>
      <c r="F200" s="4" t="s">
        <v>63</v>
      </c>
      <c r="G200" s="4" t="s">
        <v>473</v>
      </c>
      <c r="H200" s="3" t="b">
        <f>FALSE()</f>
        <v>0</v>
      </c>
      <c r="I200" s="3" t="b">
        <f>FALSE()</f>
        <v>0</v>
      </c>
      <c r="J200" s="3" t="b">
        <f>TRUE()</f>
        <v>1</v>
      </c>
      <c r="K200" s="4" t="s">
        <v>65</v>
      </c>
      <c r="L200" s="3">
        <v>100</v>
      </c>
      <c r="M200" s="5">
        <v>85</v>
      </c>
      <c r="N200" s="5">
        <v>0.1</v>
      </c>
      <c r="O200" s="5">
        <v>2.6</v>
      </c>
      <c r="P200" s="5">
        <v>0.6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0</v>
      </c>
      <c r="X200" s="5">
        <v>4</v>
      </c>
      <c r="Y200" s="5">
        <v>127</v>
      </c>
      <c r="Z200" s="5">
        <v>8</v>
      </c>
      <c r="AA200" s="5">
        <v>10</v>
      </c>
      <c r="AB200" s="5">
        <v>0.5</v>
      </c>
      <c r="AC200" s="5">
        <v>0.1</v>
      </c>
      <c r="AD200" s="5">
        <v>0</v>
      </c>
      <c r="AE200" s="5">
        <v>2</v>
      </c>
      <c r="AF200" s="5">
        <v>0</v>
      </c>
      <c r="AG200" s="5">
        <v>0</v>
      </c>
      <c r="AH200" s="4" t="s">
        <v>77</v>
      </c>
      <c r="AI200" s="4" t="s">
        <v>65</v>
      </c>
      <c r="AJ200" s="4" t="s">
        <v>65</v>
      </c>
    </row>
    <row r="201" spans="1:36" ht="27.75" customHeight="1" x14ac:dyDescent="0.2">
      <c r="A201" s="3">
        <v>1354</v>
      </c>
      <c r="B201" s="4" t="s">
        <v>721</v>
      </c>
      <c r="C201" s="4" t="s">
        <v>710</v>
      </c>
      <c r="D201" s="4" t="s">
        <v>718</v>
      </c>
      <c r="E201" s="4" t="s">
        <v>585</v>
      </c>
      <c r="F201" s="4" t="s">
        <v>63</v>
      </c>
      <c r="G201" s="4" t="s">
        <v>473</v>
      </c>
      <c r="H201" s="3" t="b">
        <f>TRUE()</f>
        <v>1</v>
      </c>
      <c r="I201" s="3" t="b">
        <f>FALSE()</f>
        <v>0</v>
      </c>
      <c r="J201" s="3" t="b">
        <f>TRUE()</f>
        <v>1</v>
      </c>
      <c r="K201" s="4" t="s">
        <v>126</v>
      </c>
      <c r="L201" s="3">
        <v>100</v>
      </c>
      <c r="M201" s="5">
        <v>43</v>
      </c>
      <c r="N201" s="5">
        <v>0.5</v>
      </c>
      <c r="O201" s="5">
        <v>3.6</v>
      </c>
      <c r="P201" s="5">
        <v>0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5">
        <v>4</v>
      </c>
      <c r="Y201" s="5">
        <v>27</v>
      </c>
      <c r="Z201" s="5">
        <v>4</v>
      </c>
      <c r="AA201" s="5">
        <v>6</v>
      </c>
      <c r="AB201" s="5">
        <v>0</v>
      </c>
      <c r="AC201" s="5">
        <v>0</v>
      </c>
      <c r="AD201" s="5">
        <v>0</v>
      </c>
      <c r="AE201" s="5">
        <v>6</v>
      </c>
      <c r="AF201" s="5">
        <v>0</v>
      </c>
      <c r="AG201" s="5">
        <v>0</v>
      </c>
      <c r="AH201" s="4" t="s">
        <v>77</v>
      </c>
      <c r="AI201" s="4" t="s">
        <v>65</v>
      </c>
      <c r="AJ201" s="4" t="s">
        <v>87</v>
      </c>
    </row>
    <row r="202" spans="1:36" ht="30" customHeight="1" x14ac:dyDescent="0.2">
      <c r="A202" s="3">
        <v>1357</v>
      </c>
      <c r="B202" s="4" t="s">
        <v>724</v>
      </c>
      <c r="C202" s="4" t="s">
        <v>710</v>
      </c>
      <c r="D202" s="4" t="s">
        <v>725</v>
      </c>
      <c r="E202" s="4" t="s">
        <v>562</v>
      </c>
      <c r="F202" s="4" t="s">
        <v>63</v>
      </c>
      <c r="G202" s="4" t="s">
        <v>603</v>
      </c>
      <c r="H202" s="3" t="b">
        <f>FALSE()</f>
        <v>0</v>
      </c>
      <c r="I202" s="3" t="b">
        <f>FALSE()</f>
        <v>0</v>
      </c>
      <c r="J202" s="3" t="b">
        <f>TRUE()</f>
        <v>1</v>
      </c>
      <c r="K202" s="4" t="s">
        <v>65</v>
      </c>
      <c r="L202" s="3">
        <v>100</v>
      </c>
      <c r="M202" s="5">
        <v>24</v>
      </c>
      <c r="N202" s="5">
        <v>0.5</v>
      </c>
      <c r="O202" s="5">
        <v>2.6</v>
      </c>
      <c r="P202" s="5">
        <v>0.3</v>
      </c>
      <c r="Q202" s="5">
        <v>0</v>
      </c>
      <c r="R202" s="5">
        <v>1.1000000000000001</v>
      </c>
      <c r="S202" s="5">
        <v>0.1</v>
      </c>
      <c r="T202" s="5">
        <v>0.7</v>
      </c>
      <c r="U202" s="5">
        <v>0.3</v>
      </c>
      <c r="V202" s="5">
        <v>0</v>
      </c>
      <c r="W202" s="5">
        <v>0.4</v>
      </c>
      <c r="X202" s="5">
        <v>60</v>
      </c>
      <c r="Y202" s="5">
        <v>60</v>
      </c>
      <c r="Z202" s="5">
        <v>120</v>
      </c>
      <c r="AA202" s="5">
        <v>8</v>
      </c>
      <c r="AB202" s="5">
        <v>0.3</v>
      </c>
      <c r="AC202" s="5">
        <v>0.1</v>
      </c>
      <c r="AD202" s="5">
        <v>0</v>
      </c>
      <c r="AE202" s="5">
        <v>0</v>
      </c>
      <c r="AF202" s="5">
        <v>25</v>
      </c>
      <c r="AG202" s="5">
        <v>0.7</v>
      </c>
      <c r="AH202" s="4" t="s">
        <v>77</v>
      </c>
      <c r="AI202" s="4" t="s">
        <v>65</v>
      </c>
      <c r="AJ202" s="4" t="s">
        <v>65</v>
      </c>
    </row>
    <row r="203" spans="1:36" ht="27.75" customHeight="1" x14ac:dyDescent="0.2">
      <c r="A203" s="3">
        <v>1360</v>
      </c>
      <c r="B203" s="4" t="s">
        <v>728</v>
      </c>
      <c r="C203" s="4" t="s">
        <v>710</v>
      </c>
      <c r="D203" s="4" t="s">
        <v>725</v>
      </c>
      <c r="E203" s="4" t="s">
        <v>562</v>
      </c>
      <c r="F203" s="4" t="s">
        <v>63</v>
      </c>
      <c r="G203" s="4" t="s">
        <v>603</v>
      </c>
      <c r="H203" s="3" t="b">
        <f>TRUE()</f>
        <v>1</v>
      </c>
      <c r="I203" s="3" t="b">
        <f>FALSE()</f>
        <v>0</v>
      </c>
      <c r="J203" s="3" t="b">
        <f>TRUE()</f>
        <v>1</v>
      </c>
      <c r="K203" s="4" t="s">
        <v>87</v>
      </c>
      <c r="L203" s="3">
        <v>100</v>
      </c>
      <c r="M203" s="5">
        <v>47</v>
      </c>
      <c r="N203" s="5">
        <v>1</v>
      </c>
      <c r="O203" s="5">
        <v>6.7</v>
      </c>
      <c r="P203" s="5">
        <v>4.0999999999999996</v>
      </c>
      <c r="Q203" s="5">
        <v>1.5</v>
      </c>
      <c r="R203" s="5">
        <v>1.5</v>
      </c>
      <c r="S203" s="5">
        <v>0.2</v>
      </c>
      <c r="T203" s="5">
        <v>0.4</v>
      </c>
      <c r="U203" s="5">
        <v>0.5</v>
      </c>
      <c r="V203" s="5">
        <v>0</v>
      </c>
      <c r="W203" s="5">
        <v>0.8</v>
      </c>
      <c r="X203" s="5">
        <v>60</v>
      </c>
      <c r="Y203" s="5">
        <v>100</v>
      </c>
      <c r="Z203" s="5">
        <v>120</v>
      </c>
      <c r="AA203" s="5">
        <v>12</v>
      </c>
      <c r="AB203" s="5">
        <v>0.4</v>
      </c>
      <c r="AC203" s="5">
        <v>0.2</v>
      </c>
      <c r="AD203" s="5">
        <v>0</v>
      </c>
      <c r="AE203" s="5">
        <v>3</v>
      </c>
      <c r="AF203" s="5">
        <v>45</v>
      </c>
      <c r="AG203" s="5">
        <v>3</v>
      </c>
      <c r="AH203" s="4" t="s">
        <v>77</v>
      </c>
      <c r="AI203" s="4" t="s">
        <v>65</v>
      </c>
      <c r="AJ203" s="4" t="s">
        <v>87</v>
      </c>
    </row>
    <row r="204" spans="1:36" ht="27.75" customHeight="1" x14ac:dyDescent="0.2">
      <c r="A204" s="3">
        <v>1363</v>
      </c>
      <c r="B204" s="4" t="s">
        <v>731</v>
      </c>
      <c r="C204" s="4" t="s">
        <v>710</v>
      </c>
      <c r="D204" s="4" t="s">
        <v>725</v>
      </c>
      <c r="E204" s="4" t="s">
        <v>562</v>
      </c>
      <c r="F204" s="4" t="s">
        <v>63</v>
      </c>
      <c r="G204" s="4" t="s">
        <v>473</v>
      </c>
      <c r="H204" s="3" t="b">
        <f>FALSE()</f>
        <v>0</v>
      </c>
      <c r="I204" s="3" t="b">
        <f>FALSE()</f>
        <v>0</v>
      </c>
      <c r="J204" s="3" t="b">
        <f>TRUE()</f>
        <v>1</v>
      </c>
      <c r="K204" s="4" t="s">
        <v>65</v>
      </c>
      <c r="L204" s="3">
        <v>100</v>
      </c>
      <c r="M204" s="5">
        <v>33</v>
      </c>
      <c r="N204" s="5">
        <v>3.3</v>
      </c>
      <c r="O204" s="5">
        <v>1.8</v>
      </c>
      <c r="P204" s="5">
        <v>0.8</v>
      </c>
      <c r="Q204" s="5">
        <v>0</v>
      </c>
      <c r="R204" s="5">
        <v>1.8</v>
      </c>
      <c r="S204" s="5">
        <v>0.2</v>
      </c>
      <c r="T204" s="5">
        <v>0.4</v>
      </c>
      <c r="U204" s="5">
        <v>1</v>
      </c>
      <c r="V204" s="5">
        <v>0.1</v>
      </c>
      <c r="W204" s="5">
        <v>0.6</v>
      </c>
      <c r="X204" s="5">
        <v>51</v>
      </c>
      <c r="Y204" s="5">
        <v>140</v>
      </c>
      <c r="Z204" s="5">
        <v>120</v>
      </c>
      <c r="AA204" s="5">
        <v>19</v>
      </c>
      <c r="AB204" s="5">
        <v>0.6</v>
      </c>
      <c r="AC204" s="5">
        <v>0.3</v>
      </c>
      <c r="AD204" s="5">
        <v>0</v>
      </c>
      <c r="AE204" s="5">
        <v>5</v>
      </c>
      <c r="AF204" s="5">
        <v>30</v>
      </c>
      <c r="AG204" s="5">
        <v>0.5</v>
      </c>
      <c r="AH204" s="4" t="s">
        <v>77</v>
      </c>
      <c r="AI204" s="4" t="s">
        <v>65</v>
      </c>
      <c r="AJ204" s="4" t="s">
        <v>65</v>
      </c>
    </row>
    <row r="205" spans="1:36" ht="27.75" customHeight="1" x14ac:dyDescent="0.2">
      <c r="A205" s="3">
        <v>1366</v>
      </c>
      <c r="B205" s="4" t="s">
        <v>734</v>
      </c>
      <c r="C205" s="4" t="s">
        <v>710</v>
      </c>
      <c r="D205" s="4" t="s">
        <v>735</v>
      </c>
      <c r="E205" s="4" t="s">
        <v>736</v>
      </c>
      <c r="F205" s="4" t="s">
        <v>63</v>
      </c>
      <c r="G205" s="4" t="s">
        <v>64</v>
      </c>
      <c r="H205" s="3" t="b">
        <f>FALSE()</f>
        <v>0</v>
      </c>
      <c r="I205" s="3" t="b">
        <f>FALSE()</f>
        <v>0</v>
      </c>
      <c r="J205" s="3" t="b">
        <f>TRUE()</f>
        <v>1</v>
      </c>
      <c r="K205" s="4" t="s">
        <v>65</v>
      </c>
      <c r="L205" s="3">
        <v>100</v>
      </c>
      <c r="M205" s="5">
        <v>45</v>
      </c>
      <c r="N205" s="5">
        <v>0.7</v>
      </c>
      <c r="O205" s="5">
        <v>10.4</v>
      </c>
      <c r="P205" s="5">
        <v>8.4</v>
      </c>
      <c r="Q205" s="5">
        <v>0</v>
      </c>
      <c r="R205" s="5">
        <v>0.2</v>
      </c>
      <c r="S205" s="5">
        <v>0</v>
      </c>
      <c r="T205" s="5">
        <v>0</v>
      </c>
      <c r="U205" s="5">
        <v>0</v>
      </c>
      <c r="V205" s="5">
        <v>0</v>
      </c>
      <c r="W205" s="5">
        <v>0.2</v>
      </c>
      <c r="X205" s="5">
        <v>1</v>
      </c>
      <c r="Y205" s="5">
        <v>200</v>
      </c>
      <c r="Z205" s="5">
        <v>11</v>
      </c>
      <c r="AA205" s="5">
        <v>11</v>
      </c>
      <c r="AB205" s="5">
        <v>0.2</v>
      </c>
      <c r="AC205" s="5">
        <v>0.1</v>
      </c>
      <c r="AD205" s="5">
        <v>50</v>
      </c>
      <c r="AE205" s="5">
        <v>30</v>
      </c>
      <c r="AF205" s="5">
        <v>50</v>
      </c>
      <c r="AG205" s="5">
        <v>5.2</v>
      </c>
      <c r="AH205" s="4" t="s">
        <v>77</v>
      </c>
      <c r="AI205" s="4" t="s">
        <v>65</v>
      </c>
      <c r="AJ205" s="4" t="s">
        <v>65</v>
      </c>
    </row>
    <row r="206" spans="1:36" ht="27.75" customHeight="1" x14ac:dyDescent="0.2">
      <c r="A206" s="3">
        <v>1369</v>
      </c>
      <c r="B206" s="4" t="s">
        <v>739</v>
      </c>
      <c r="C206" s="4" t="s">
        <v>710</v>
      </c>
      <c r="D206" s="4" t="s">
        <v>740</v>
      </c>
      <c r="E206" s="4" t="s">
        <v>562</v>
      </c>
      <c r="F206" s="4" t="s">
        <v>63</v>
      </c>
      <c r="G206" s="4" t="s">
        <v>603</v>
      </c>
      <c r="H206" s="3" t="b">
        <f>FALSE()</f>
        <v>0</v>
      </c>
      <c r="I206" s="3" t="b">
        <f>FALSE()</f>
        <v>0</v>
      </c>
      <c r="J206" s="3" t="b">
        <f>TRUE()</f>
        <v>1</v>
      </c>
      <c r="K206" s="4" t="s">
        <v>65</v>
      </c>
      <c r="L206" s="3">
        <v>100</v>
      </c>
      <c r="M206" s="5">
        <v>26</v>
      </c>
      <c r="N206" s="5">
        <v>0</v>
      </c>
      <c r="O206" s="5">
        <v>6.5</v>
      </c>
      <c r="P206" s="5">
        <v>6.5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5">
        <v>41</v>
      </c>
      <c r="Y206" s="5">
        <v>12</v>
      </c>
      <c r="Z206" s="5">
        <v>0</v>
      </c>
      <c r="AA206" s="5">
        <v>0</v>
      </c>
      <c r="AB206" s="5">
        <v>0</v>
      </c>
      <c r="AC206" s="5">
        <v>0</v>
      </c>
      <c r="AD206" s="5">
        <v>0</v>
      </c>
      <c r="AE206" s="5">
        <v>0</v>
      </c>
      <c r="AF206" s="5">
        <v>78</v>
      </c>
      <c r="AG206" s="5">
        <v>5.0999999999999996</v>
      </c>
      <c r="AH206" s="4" t="s">
        <v>77</v>
      </c>
      <c r="AI206" s="4" t="s">
        <v>65</v>
      </c>
      <c r="AJ206" s="4" t="s">
        <v>65</v>
      </c>
    </row>
    <row r="207" spans="1:36" ht="27.75" customHeight="1" x14ac:dyDescent="0.2">
      <c r="A207" s="3">
        <v>1372</v>
      </c>
      <c r="B207" s="4" t="s">
        <v>743</v>
      </c>
      <c r="C207" s="4" t="s">
        <v>710</v>
      </c>
      <c r="D207" s="4" t="s">
        <v>744</v>
      </c>
      <c r="E207" s="4" t="s">
        <v>562</v>
      </c>
      <c r="F207" s="4" t="s">
        <v>63</v>
      </c>
      <c r="G207" s="4" t="s">
        <v>64</v>
      </c>
      <c r="H207" s="3" t="b">
        <f>FALSE()</f>
        <v>0</v>
      </c>
      <c r="I207" s="3" t="b">
        <f>FALSE()</f>
        <v>0</v>
      </c>
      <c r="J207" s="3" t="b">
        <f>TRUE()</f>
        <v>1</v>
      </c>
      <c r="K207" s="4" t="s">
        <v>87</v>
      </c>
      <c r="L207" s="3">
        <v>100</v>
      </c>
      <c r="M207" s="5">
        <v>19</v>
      </c>
      <c r="N207" s="5">
        <v>0.7</v>
      </c>
      <c r="O207" s="5">
        <v>3.7</v>
      </c>
      <c r="P207" s="5">
        <v>2.6</v>
      </c>
      <c r="Q207" s="5">
        <v>0</v>
      </c>
      <c r="R207" s="5">
        <v>0.2</v>
      </c>
      <c r="S207" s="5">
        <v>0.2</v>
      </c>
      <c r="T207" s="5">
        <v>0</v>
      </c>
      <c r="U207" s="5">
        <v>0</v>
      </c>
      <c r="V207" s="5">
        <v>0</v>
      </c>
      <c r="W207" s="5">
        <v>1.1000000000000001</v>
      </c>
      <c r="X207" s="5">
        <v>105</v>
      </c>
      <c r="Y207" s="5">
        <v>250</v>
      </c>
      <c r="Z207" s="5">
        <v>24</v>
      </c>
      <c r="AA207" s="5">
        <v>25</v>
      </c>
      <c r="AB207" s="5">
        <v>0.3</v>
      </c>
      <c r="AC207" s="5">
        <v>0.1</v>
      </c>
      <c r="AD207" s="5">
        <v>2.4</v>
      </c>
      <c r="AE207" s="5">
        <v>3</v>
      </c>
      <c r="AF207" s="5">
        <v>54</v>
      </c>
      <c r="AG207" s="5">
        <v>2</v>
      </c>
      <c r="AH207" s="4" t="s">
        <v>77</v>
      </c>
      <c r="AI207" s="4" t="s">
        <v>65</v>
      </c>
      <c r="AJ207" s="4" t="s">
        <v>65</v>
      </c>
    </row>
    <row r="208" spans="1:36" ht="27.75" customHeight="1" x14ac:dyDescent="0.2">
      <c r="A208" s="3">
        <v>1375</v>
      </c>
      <c r="B208" s="4" t="s">
        <v>747</v>
      </c>
      <c r="C208" s="4" t="s">
        <v>472</v>
      </c>
      <c r="D208" s="4" t="s">
        <v>748</v>
      </c>
      <c r="E208" s="4" t="s">
        <v>749</v>
      </c>
      <c r="F208" s="4" t="s">
        <v>63</v>
      </c>
      <c r="G208" s="4" t="s">
        <v>473</v>
      </c>
      <c r="H208" s="3" t="b">
        <f>FALSE()</f>
        <v>0</v>
      </c>
      <c r="I208" s="3" t="b">
        <f>FALSE()</f>
        <v>0</v>
      </c>
      <c r="J208" s="3" t="b">
        <f>FALSE()</f>
        <v>0</v>
      </c>
      <c r="K208" s="4" t="s">
        <v>65</v>
      </c>
      <c r="L208" s="3">
        <v>100</v>
      </c>
      <c r="M208" s="5">
        <v>241</v>
      </c>
      <c r="N208" s="5">
        <v>31</v>
      </c>
      <c r="O208" s="5">
        <v>0.4</v>
      </c>
      <c r="P208" s="5">
        <v>0</v>
      </c>
      <c r="Q208" s="5">
        <v>0</v>
      </c>
      <c r="R208" s="5">
        <v>13.7</v>
      </c>
      <c r="S208" s="5">
        <v>4.9000000000000004</v>
      </c>
      <c r="T208" s="5">
        <v>6.4</v>
      </c>
      <c r="U208" s="5">
        <v>1.6</v>
      </c>
      <c r="V208" s="5">
        <v>0</v>
      </c>
      <c r="W208" s="5">
        <v>0</v>
      </c>
      <c r="X208" s="5">
        <v>2400</v>
      </c>
      <c r="Y208" s="5">
        <v>390</v>
      </c>
      <c r="Z208" s="5">
        <v>10</v>
      </c>
      <c r="AA208" s="5">
        <v>25</v>
      </c>
      <c r="AB208" s="5">
        <v>1.8</v>
      </c>
      <c r="AC208" s="5">
        <v>2.5</v>
      </c>
      <c r="AD208" s="5">
        <v>0</v>
      </c>
      <c r="AE208" s="5">
        <v>3</v>
      </c>
      <c r="AF208" s="5">
        <v>0</v>
      </c>
      <c r="AG208" s="5">
        <v>0</v>
      </c>
      <c r="AH208" s="4" t="s">
        <v>77</v>
      </c>
      <c r="AI208" s="4" t="s">
        <v>65</v>
      </c>
      <c r="AJ208" s="4" t="s">
        <v>65</v>
      </c>
    </row>
    <row r="209" spans="1:36" ht="27.75" customHeight="1" x14ac:dyDescent="0.2">
      <c r="A209" s="3">
        <v>1378</v>
      </c>
      <c r="B209" s="4" t="s">
        <v>752</v>
      </c>
      <c r="C209" s="4" t="s">
        <v>472</v>
      </c>
      <c r="D209" s="4" t="s">
        <v>748</v>
      </c>
      <c r="E209" s="4" t="s">
        <v>749</v>
      </c>
      <c r="F209" s="4" t="s">
        <v>63</v>
      </c>
      <c r="G209" s="4" t="s">
        <v>473</v>
      </c>
      <c r="H209" s="3" t="b">
        <f>FALSE()</f>
        <v>0</v>
      </c>
      <c r="I209" s="3" t="b">
        <f>FALSE()</f>
        <v>0</v>
      </c>
      <c r="J209" s="3" t="b">
        <f>FALSE()</f>
        <v>0</v>
      </c>
      <c r="K209" s="4" t="s">
        <v>65</v>
      </c>
      <c r="L209" s="3">
        <v>100</v>
      </c>
      <c r="M209" s="5">
        <v>260</v>
      </c>
      <c r="N209" s="5">
        <v>33</v>
      </c>
      <c r="O209" s="5">
        <v>0.3</v>
      </c>
      <c r="P209" s="5">
        <v>0</v>
      </c>
      <c r="Q209" s="5">
        <v>0</v>
      </c>
      <c r="R209" s="5">
        <v>15</v>
      </c>
      <c r="S209" s="5">
        <v>4.5</v>
      </c>
      <c r="T209" s="5">
        <v>7.8</v>
      </c>
      <c r="U209" s="5">
        <v>2</v>
      </c>
      <c r="V209" s="5">
        <v>0</v>
      </c>
      <c r="W209" s="5">
        <v>0</v>
      </c>
      <c r="X209" s="5">
        <v>2100</v>
      </c>
      <c r="Y209" s="5">
        <v>400</v>
      </c>
      <c r="Z209" s="5">
        <v>10</v>
      </c>
      <c r="AA209" s="5">
        <v>27</v>
      </c>
      <c r="AB209" s="5">
        <v>1.9</v>
      </c>
      <c r="AC209" s="5">
        <v>2.7</v>
      </c>
      <c r="AD209" s="5">
        <v>0</v>
      </c>
      <c r="AE209" s="5">
        <v>3</v>
      </c>
      <c r="AF209" s="5">
        <v>0</v>
      </c>
      <c r="AG209" s="5">
        <v>0</v>
      </c>
      <c r="AH209" s="4" t="s">
        <v>77</v>
      </c>
      <c r="AI209" s="4" t="s">
        <v>65</v>
      </c>
      <c r="AJ209" s="4" t="s">
        <v>65</v>
      </c>
    </row>
    <row r="210" spans="1:36" ht="27.75" customHeight="1" x14ac:dyDescent="0.2">
      <c r="A210" s="3">
        <v>1381</v>
      </c>
      <c r="B210" s="4" t="s">
        <v>755</v>
      </c>
      <c r="C210" s="4" t="s">
        <v>472</v>
      </c>
      <c r="D210" s="4" t="s">
        <v>756</v>
      </c>
      <c r="E210" s="4" t="s">
        <v>76</v>
      </c>
      <c r="F210" s="4" t="s">
        <v>63</v>
      </c>
      <c r="G210" s="4" t="s">
        <v>603</v>
      </c>
      <c r="H210" s="3" t="b">
        <f>FALSE()</f>
        <v>0</v>
      </c>
      <c r="I210" s="3" t="b">
        <f>FALSE()</f>
        <v>0</v>
      </c>
      <c r="J210" s="3" t="b">
        <f>FALSE()</f>
        <v>0</v>
      </c>
      <c r="K210" s="4" t="s">
        <v>65</v>
      </c>
      <c r="L210" s="3">
        <v>100</v>
      </c>
      <c r="M210" s="5">
        <v>111</v>
      </c>
      <c r="N210" s="5">
        <v>18</v>
      </c>
      <c r="O210" s="5">
        <v>1.4</v>
      </c>
      <c r="P210" s="5">
        <v>0.8</v>
      </c>
      <c r="Q210" s="5">
        <v>0</v>
      </c>
      <c r="R210" s="5">
        <v>3.5</v>
      </c>
      <c r="S210" s="5">
        <v>1.2</v>
      </c>
      <c r="T210" s="5">
        <v>1.5</v>
      </c>
      <c r="U210" s="5">
        <v>0.5</v>
      </c>
      <c r="V210" s="5">
        <v>0</v>
      </c>
      <c r="W210" s="5">
        <v>0</v>
      </c>
      <c r="X210" s="5">
        <v>950</v>
      </c>
      <c r="Y210" s="5">
        <v>270</v>
      </c>
      <c r="Z210" s="5">
        <v>8</v>
      </c>
      <c r="AA210" s="5">
        <v>18</v>
      </c>
      <c r="AB210" s="5">
        <v>0.8</v>
      </c>
      <c r="AC210" s="5">
        <v>1.8</v>
      </c>
      <c r="AD210" s="5">
        <v>0</v>
      </c>
      <c r="AE210" s="5">
        <v>2</v>
      </c>
      <c r="AF210" s="5">
        <v>0</v>
      </c>
      <c r="AG210" s="5">
        <v>0</v>
      </c>
      <c r="AH210" s="4" t="s">
        <v>77</v>
      </c>
      <c r="AI210" s="4" t="s">
        <v>65</v>
      </c>
      <c r="AJ210" s="4" t="s">
        <v>65</v>
      </c>
    </row>
    <row r="211" spans="1:36" ht="27.75" customHeight="1" x14ac:dyDescent="0.2">
      <c r="A211" s="3">
        <v>1384</v>
      </c>
      <c r="B211" s="4" t="s">
        <v>759</v>
      </c>
      <c r="C211" s="4" t="s">
        <v>472</v>
      </c>
      <c r="D211" s="4" t="s">
        <v>760</v>
      </c>
      <c r="E211" s="4" t="s">
        <v>749</v>
      </c>
      <c r="F211" s="4" t="s">
        <v>63</v>
      </c>
      <c r="G211" s="4" t="s">
        <v>473</v>
      </c>
      <c r="H211" s="3" t="b">
        <f>FALSE()</f>
        <v>0</v>
      </c>
      <c r="I211" s="3" t="b">
        <f>FALSE()</f>
        <v>0</v>
      </c>
      <c r="J211" s="3" t="b">
        <f>FALSE()</f>
        <v>0</v>
      </c>
      <c r="K211" s="4" t="s">
        <v>87</v>
      </c>
      <c r="L211" s="3">
        <v>100</v>
      </c>
      <c r="M211" s="5">
        <v>455</v>
      </c>
      <c r="N211" s="5">
        <v>24</v>
      </c>
      <c r="O211" s="5">
        <v>1.5</v>
      </c>
      <c r="P211" s="5">
        <v>0.5</v>
      </c>
      <c r="Q211" s="5">
        <v>0</v>
      </c>
      <c r="R211" s="5">
        <v>38</v>
      </c>
      <c r="S211" s="5">
        <v>13.9</v>
      </c>
      <c r="T211" s="5">
        <v>18</v>
      </c>
      <c r="U211" s="5">
        <v>4</v>
      </c>
      <c r="V211" s="5">
        <v>0.1</v>
      </c>
      <c r="W211" s="5">
        <v>0</v>
      </c>
      <c r="X211" s="5">
        <v>1200</v>
      </c>
      <c r="Y211" s="5">
        <v>350</v>
      </c>
      <c r="Z211" s="5">
        <v>15</v>
      </c>
      <c r="AA211" s="5">
        <v>22</v>
      </c>
      <c r="AB211" s="5">
        <v>2</v>
      </c>
      <c r="AC211" s="5">
        <v>3</v>
      </c>
      <c r="AD211" s="5">
        <v>0</v>
      </c>
      <c r="AE211" s="5">
        <v>4</v>
      </c>
      <c r="AF211" s="5">
        <v>0</v>
      </c>
      <c r="AG211" s="5">
        <v>0</v>
      </c>
      <c r="AH211" s="4" t="s">
        <v>66</v>
      </c>
      <c r="AI211" s="4" t="s">
        <v>65</v>
      </c>
      <c r="AJ211" s="4" t="s">
        <v>87</v>
      </c>
    </row>
    <row r="212" spans="1:36" ht="27.75" customHeight="1" x14ac:dyDescent="0.2">
      <c r="A212" s="3">
        <v>1387</v>
      </c>
      <c r="B212" s="4" t="s">
        <v>763</v>
      </c>
      <c r="C212" s="4" t="s">
        <v>472</v>
      </c>
      <c r="D212" s="4" t="s">
        <v>760</v>
      </c>
      <c r="E212" s="4" t="s">
        <v>749</v>
      </c>
      <c r="F212" s="4" t="s">
        <v>63</v>
      </c>
      <c r="G212" s="4" t="s">
        <v>473</v>
      </c>
      <c r="H212" s="3" t="b">
        <f>FALSE()</f>
        <v>0</v>
      </c>
      <c r="I212" s="3" t="b">
        <f>FALSE()</f>
        <v>0</v>
      </c>
      <c r="J212" s="3" t="b">
        <f>FALSE()</f>
        <v>0</v>
      </c>
      <c r="K212" s="4" t="s">
        <v>87</v>
      </c>
      <c r="L212" s="3">
        <v>100</v>
      </c>
      <c r="M212" s="5">
        <v>400</v>
      </c>
      <c r="N212" s="5">
        <v>22</v>
      </c>
      <c r="O212" s="5">
        <v>1</v>
      </c>
      <c r="P212" s="5">
        <v>0.3</v>
      </c>
      <c r="Q212" s="5">
        <v>0</v>
      </c>
      <c r="R212" s="5">
        <v>34</v>
      </c>
      <c r="S212" s="5">
        <v>12</v>
      </c>
      <c r="T212" s="5">
        <v>16</v>
      </c>
      <c r="U212" s="5">
        <v>3.5</v>
      </c>
      <c r="V212" s="5">
        <v>0.1</v>
      </c>
      <c r="W212" s="5">
        <v>0</v>
      </c>
      <c r="X212" s="5">
        <v>1300</v>
      </c>
      <c r="Y212" s="5">
        <v>330</v>
      </c>
      <c r="Z212" s="5">
        <v>13</v>
      </c>
      <c r="AA212" s="5">
        <v>20</v>
      </c>
      <c r="AB212" s="5">
        <v>1.8</v>
      </c>
      <c r="AC212" s="5">
        <v>2.8</v>
      </c>
      <c r="AD212" s="5">
        <v>0</v>
      </c>
      <c r="AE212" s="5">
        <v>3</v>
      </c>
      <c r="AF212" s="5">
        <v>0</v>
      </c>
      <c r="AG212" s="5">
        <v>0</v>
      </c>
      <c r="AH212" s="4" t="s">
        <v>66</v>
      </c>
      <c r="AI212" s="4" t="s">
        <v>65</v>
      </c>
      <c r="AJ212" s="4" t="s">
        <v>87</v>
      </c>
    </row>
    <row r="213" spans="1:36" ht="27.75" customHeight="1" x14ac:dyDescent="0.2">
      <c r="A213" s="3">
        <v>1390</v>
      </c>
      <c r="B213" s="4" t="s">
        <v>766</v>
      </c>
      <c r="C213" s="4" t="s">
        <v>472</v>
      </c>
      <c r="D213" s="4" t="s">
        <v>760</v>
      </c>
      <c r="E213" s="4" t="s">
        <v>749</v>
      </c>
      <c r="F213" s="4" t="s">
        <v>63</v>
      </c>
      <c r="G213" s="4" t="s">
        <v>473</v>
      </c>
      <c r="H213" s="3" t="b">
        <f>FALSE()</f>
        <v>0</v>
      </c>
      <c r="I213" s="3" t="b">
        <f>FALSE()</f>
        <v>0</v>
      </c>
      <c r="J213" s="3" t="b">
        <f>FALSE()</f>
        <v>0</v>
      </c>
      <c r="K213" s="4" t="s">
        <v>65</v>
      </c>
      <c r="L213" s="3">
        <v>100</v>
      </c>
      <c r="M213" s="5">
        <v>316</v>
      </c>
      <c r="N213" s="5">
        <v>40</v>
      </c>
      <c r="O213" s="5">
        <v>0.5</v>
      </c>
      <c r="P213" s="5">
        <v>0</v>
      </c>
      <c r="Q213" s="5">
        <v>0</v>
      </c>
      <c r="R213" s="5">
        <v>17</v>
      </c>
      <c r="S213" s="5">
        <v>6</v>
      </c>
      <c r="T213" s="5">
        <v>8.5</v>
      </c>
      <c r="U213" s="5">
        <v>1.8</v>
      </c>
      <c r="V213" s="5">
        <v>0</v>
      </c>
      <c r="W213" s="5">
        <v>0</v>
      </c>
      <c r="X213" s="5">
        <v>1800</v>
      </c>
      <c r="Y213" s="5">
        <v>420</v>
      </c>
      <c r="Z213" s="5">
        <v>8</v>
      </c>
      <c r="AA213" s="5">
        <v>28</v>
      </c>
      <c r="AB213" s="5">
        <v>1.5</v>
      </c>
      <c r="AC213" s="5">
        <v>2.4</v>
      </c>
      <c r="AD213" s="5">
        <v>0</v>
      </c>
      <c r="AE213" s="5">
        <v>4</v>
      </c>
      <c r="AF213" s="5">
        <v>0</v>
      </c>
      <c r="AG213" s="5">
        <v>0</v>
      </c>
      <c r="AH213" s="4" t="s">
        <v>77</v>
      </c>
      <c r="AI213" s="4" t="s">
        <v>65</v>
      </c>
      <c r="AJ213" s="4" t="s">
        <v>65</v>
      </c>
    </row>
    <row r="214" spans="1:36" ht="27.75" customHeight="1" x14ac:dyDescent="0.2">
      <c r="A214" s="3">
        <v>1393</v>
      </c>
      <c r="B214" s="4" t="s">
        <v>769</v>
      </c>
      <c r="C214" s="4" t="s">
        <v>472</v>
      </c>
      <c r="D214" s="4" t="s">
        <v>770</v>
      </c>
      <c r="E214" s="4" t="s">
        <v>76</v>
      </c>
      <c r="F214" s="4" t="s">
        <v>63</v>
      </c>
      <c r="G214" s="4" t="s">
        <v>603</v>
      </c>
      <c r="H214" s="3" t="b">
        <f>FALSE()</f>
        <v>0</v>
      </c>
      <c r="I214" s="3" t="b">
        <f>FALSE()</f>
        <v>0</v>
      </c>
      <c r="J214" s="3" t="b">
        <f>FALSE()</f>
        <v>0</v>
      </c>
      <c r="K214" s="4" t="s">
        <v>87</v>
      </c>
      <c r="L214" s="3">
        <v>100</v>
      </c>
      <c r="M214" s="5">
        <v>311</v>
      </c>
      <c r="N214" s="5">
        <v>15.6</v>
      </c>
      <c r="O214" s="5">
        <v>3</v>
      </c>
      <c r="P214" s="5">
        <v>1</v>
      </c>
      <c r="Q214" s="5">
        <v>0</v>
      </c>
      <c r="R214" s="5">
        <v>26</v>
      </c>
      <c r="S214" s="5">
        <v>9.5</v>
      </c>
      <c r="T214" s="5">
        <v>11</v>
      </c>
      <c r="U214" s="5">
        <v>2.8</v>
      </c>
      <c r="V214" s="5">
        <v>0.1</v>
      </c>
      <c r="W214" s="5">
        <v>0</v>
      </c>
      <c r="X214" s="5">
        <v>1050</v>
      </c>
      <c r="Y214" s="5">
        <v>200</v>
      </c>
      <c r="Z214" s="5">
        <v>10</v>
      </c>
      <c r="AA214" s="5">
        <v>15</v>
      </c>
      <c r="AB214" s="5">
        <v>1.2</v>
      </c>
      <c r="AC214" s="5">
        <v>1.9</v>
      </c>
      <c r="AD214" s="5">
        <v>0</v>
      </c>
      <c r="AE214" s="5">
        <v>3</v>
      </c>
      <c r="AF214" s="5">
        <v>0</v>
      </c>
      <c r="AG214" s="5">
        <v>0</v>
      </c>
      <c r="AH214" s="4" t="s">
        <v>66</v>
      </c>
      <c r="AI214" s="4" t="s">
        <v>65</v>
      </c>
      <c r="AJ214" s="4" t="s">
        <v>87</v>
      </c>
    </row>
    <row r="215" spans="1:36" ht="27.75" customHeight="1" x14ac:dyDescent="0.2">
      <c r="A215" s="3">
        <v>1396</v>
      </c>
      <c r="B215" s="4" t="s">
        <v>773</v>
      </c>
      <c r="C215" s="4" t="s">
        <v>472</v>
      </c>
      <c r="D215" s="4" t="s">
        <v>774</v>
      </c>
      <c r="E215" s="4" t="s">
        <v>749</v>
      </c>
      <c r="F215" s="4" t="s">
        <v>63</v>
      </c>
      <c r="G215" s="4" t="s">
        <v>473</v>
      </c>
      <c r="H215" s="3" t="b">
        <f>FALSE()</f>
        <v>0</v>
      </c>
      <c r="I215" s="3" t="b">
        <f>FALSE()</f>
        <v>0</v>
      </c>
      <c r="J215" s="3" t="b">
        <f>FALSE()</f>
        <v>0</v>
      </c>
      <c r="K215" s="4" t="s">
        <v>65</v>
      </c>
      <c r="L215" s="3">
        <v>100</v>
      </c>
      <c r="M215" s="5">
        <v>541</v>
      </c>
      <c r="N215" s="5">
        <v>37</v>
      </c>
      <c r="O215" s="5">
        <v>1.4</v>
      </c>
      <c r="P215" s="5">
        <v>0</v>
      </c>
      <c r="Q215" s="5">
        <v>0</v>
      </c>
      <c r="R215" s="5">
        <v>42</v>
      </c>
      <c r="S215" s="5">
        <v>14</v>
      </c>
      <c r="T215" s="5">
        <v>19</v>
      </c>
      <c r="U215" s="5">
        <v>5</v>
      </c>
      <c r="V215" s="5">
        <v>0.1</v>
      </c>
      <c r="W215" s="5">
        <v>0</v>
      </c>
      <c r="X215" s="5">
        <v>1500</v>
      </c>
      <c r="Y215" s="5">
        <v>280</v>
      </c>
      <c r="Z215" s="5">
        <v>10</v>
      </c>
      <c r="AA215" s="5">
        <v>20</v>
      </c>
      <c r="AB215" s="5">
        <v>1.3</v>
      </c>
      <c r="AC215" s="5">
        <v>2.6</v>
      </c>
      <c r="AD215" s="5">
        <v>0</v>
      </c>
      <c r="AE215" s="5">
        <v>3</v>
      </c>
      <c r="AF215" s="5">
        <v>0</v>
      </c>
      <c r="AG215" s="5">
        <v>0</v>
      </c>
      <c r="AH215" s="4" t="s">
        <v>66</v>
      </c>
      <c r="AI215" s="4" t="s">
        <v>65</v>
      </c>
      <c r="AJ215" s="4" t="s">
        <v>65</v>
      </c>
    </row>
    <row r="216" spans="1:36" ht="27.75" customHeight="1" x14ac:dyDescent="0.2">
      <c r="A216" s="3">
        <v>1399</v>
      </c>
      <c r="B216" s="4" t="s">
        <v>777</v>
      </c>
      <c r="C216" s="4" t="s">
        <v>509</v>
      </c>
      <c r="D216" s="4" t="s">
        <v>522</v>
      </c>
      <c r="E216" s="4" t="s">
        <v>749</v>
      </c>
      <c r="F216" s="4" t="s">
        <v>63</v>
      </c>
      <c r="G216" s="4" t="s">
        <v>473</v>
      </c>
      <c r="H216" s="3" t="b">
        <f>FALSE()</f>
        <v>0</v>
      </c>
      <c r="I216" s="3" t="b">
        <f>TRUE()</f>
        <v>1</v>
      </c>
      <c r="J216" s="3" t="b">
        <f>FALSE()</f>
        <v>0</v>
      </c>
      <c r="K216" s="4" t="s">
        <v>65</v>
      </c>
      <c r="L216" s="3">
        <v>100</v>
      </c>
      <c r="M216" s="5">
        <v>400</v>
      </c>
      <c r="N216" s="5">
        <v>26</v>
      </c>
      <c r="O216" s="5">
        <v>0.1</v>
      </c>
      <c r="P216" s="5">
        <v>0.1</v>
      </c>
      <c r="Q216" s="5">
        <v>0</v>
      </c>
      <c r="R216" s="5">
        <v>33</v>
      </c>
      <c r="S216" s="5">
        <v>20</v>
      </c>
      <c r="T216" s="5">
        <v>10</v>
      </c>
      <c r="U216" s="5">
        <v>1</v>
      </c>
      <c r="V216" s="5">
        <v>0.1</v>
      </c>
      <c r="W216" s="5">
        <v>0</v>
      </c>
      <c r="X216" s="5">
        <v>800</v>
      </c>
      <c r="Y216" s="5">
        <v>100</v>
      </c>
      <c r="Z216" s="5">
        <v>835</v>
      </c>
      <c r="AA216" s="5">
        <v>30</v>
      </c>
      <c r="AB216" s="5">
        <v>0.6</v>
      </c>
      <c r="AC216" s="5">
        <v>3.5</v>
      </c>
      <c r="AD216" s="5">
        <v>0</v>
      </c>
      <c r="AE216" s="5">
        <v>18</v>
      </c>
      <c r="AF216" s="5">
        <v>0</v>
      </c>
      <c r="AG216" s="5">
        <v>0</v>
      </c>
      <c r="AH216" s="4" t="s">
        <v>66</v>
      </c>
      <c r="AI216" s="4" t="s">
        <v>65</v>
      </c>
      <c r="AJ216" s="4" t="s">
        <v>65</v>
      </c>
    </row>
    <row r="217" spans="1:36" ht="27.75" customHeight="1" x14ac:dyDescent="0.2">
      <c r="A217" s="3">
        <v>1402</v>
      </c>
      <c r="B217" s="4" t="s">
        <v>780</v>
      </c>
      <c r="C217" s="4" t="s">
        <v>509</v>
      </c>
      <c r="D217" s="4" t="s">
        <v>522</v>
      </c>
      <c r="E217" s="4" t="s">
        <v>781</v>
      </c>
      <c r="F217" s="4" t="s">
        <v>63</v>
      </c>
      <c r="G217" s="4" t="s">
        <v>473</v>
      </c>
      <c r="H217" s="3" t="b">
        <f>FALSE()</f>
        <v>0</v>
      </c>
      <c r="I217" s="3" t="b">
        <f>TRUE()</f>
        <v>1</v>
      </c>
      <c r="J217" s="3" t="b">
        <f>FALSE()</f>
        <v>0</v>
      </c>
      <c r="K217" s="4" t="s">
        <v>65</v>
      </c>
      <c r="L217" s="3">
        <v>100</v>
      </c>
      <c r="M217" s="5">
        <v>280</v>
      </c>
      <c r="N217" s="5">
        <v>18</v>
      </c>
      <c r="O217" s="5">
        <v>2.2000000000000002</v>
      </c>
      <c r="P217" s="5">
        <v>1</v>
      </c>
      <c r="Q217" s="5">
        <v>0</v>
      </c>
      <c r="R217" s="5">
        <v>22</v>
      </c>
      <c r="S217" s="5">
        <v>14</v>
      </c>
      <c r="T217" s="5">
        <v>6</v>
      </c>
      <c r="U217" s="5">
        <v>0.6</v>
      </c>
      <c r="V217" s="5">
        <v>0</v>
      </c>
      <c r="W217" s="5">
        <v>0</v>
      </c>
      <c r="X217" s="5">
        <v>373</v>
      </c>
      <c r="Y217" s="5">
        <v>95</v>
      </c>
      <c r="Z217" s="5">
        <v>505</v>
      </c>
      <c r="AA217" s="5">
        <v>20</v>
      </c>
      <c r="AB217" s="5">
        <v>0.3</v>
      </c>
      <c r="AC217" s="5">
        <v>2.9</v>
      </c>
      <c r="AD217" s="5">
        <v>0</v>
      </c>
      <c r="AE217" s="5">
        <v>8</v>
      </c>
      <c r="AF217" s="5">
        <v>0</v>
      </c>
      <c r="AG217" s="5">
        <v>0</v>
      </c>
      <c r="AH217" s="4" t="s">
        <v>66</v>
      </c>
      <c r="AI217" s="4" t="s">
        <v>65</v>
      </c>
      <c r="AJ217" s="4" t="s">
        <v>65</v>
      </c>
    </row>
    <row r="218" spans="1:36" ht="27.75" customHeight="1" x14ac:dyDescent="0.2">
      <c r="A218" s="3">
        <v>1405</v>
      </c>
      <c r="B218" s="4" t="s">
        <v>784</v>
      </c>
      <c r="C218" s="4" t="s">
        <v>509</v>
      </c>
      <c r="D218" s="4" t="s">
        <v>522</v>
      </c>
      <c r="E218" s="4" t="s">
        <v>749</v>
      </c>
      <c r="F218" s="4" t="s">
        <v>63</v>
      </c>
      <c r="G218" s="4" t="s">
        <v>473</v>
      </c>
      <c r="H218" s="3" t="b">
        <f>FALSE()</f>
        <v>0</v>
      </c>
      <c r="I218" s="3" t="b">
        <f>TRUE()</f>
        <v>1</v>
      </c>
      <c r="J218" s="3" t="b">
        <f>FALSE()</f>
        <v>0</v>
      </c>
      <c r="K218" s="4" t="s">
        <v>65</v>
      </c>
      <c r="L218" s="3">
        <v>100</v>
      </c>
      <c r="M218" s="5">
        <v>431</v>
      </c>
      <c r="N218" s="5">
        <v>38</v>
      </c>
      <c r="O218" s="5">
        <v>4.0999999999999996</v>
      </c>
      <c r="P218" s="5">
        <v>0.9</v>
      </c>
      <c r="Q218" s="5">
        <v>0</v>
      </c>
      <c r="R218" s="5">
        <v>29</v>
      </c>
      <c r="S218" s="5">
        <v>19</v>
      </c>
      <c r="T218" s="5">
        <v>8</v>
      </c>
      <c r="U218" s="5">
        <v>0.7</v>
      </c>
      <c r="V218" s="5">
        <v>0</v>
      </c>
      <c r="W218" s="5">
        <v>0</v>
      </c>
      <c r="X218" s="5">
        <v>1602</v>
      </c>
      <c r="Y218" s="5">
        <v>125</v>
      </c>
      <c r="Z218" s="5">
        <v>1184</v>
      </c>
      <c r="AA218" s="5">
        <v>44</v>
      </c>
      <c r="AB218" s="5">
        <v>0.8</v>
      </c>
      <c r="AC218" s="5">
        <v>2.8</v>
      </c>
      <c r="AD218" s="5">
        <v>0</v>
      </c>
      <c r="AE218" s="5">
        <v>7</v>
      </c>
      <c r="AF218" s="5">
        <v>0</v>
      </c>
      <c r="AG218" s="5">
        <v>0</v>
      </c>
      <c r="AH218" s="4" t="s">
        <v>66</v>
      </c>
      <c r="AI218" s="4" t="s">
        <v>65</v>
      </c>
      <c r="AJ218" s="4" t="s">
        <v>65</v>
      </c>
    </row>
    <row r="219" spans="1:36" ht="27.75" customHeight="1" x14ac:dyDescent="0.2">
      <c r="A219" s="3">
        <v>1408</v>
      </c>
      <c r="B219" s="4" t="s">
        <v>787</v>
      </c>
      <c r="C219" s="4" t="s">
        <v>509</v>
      </c>
      <c r="D219" s="4" t="s">
        <v>522</v>
      </c>
      <c r="E219" s="4" t="s">
        <v>781</v>
      </c>
      <c r="F219" s="4" t="s">
        <v>63</v>
      </c>
      <c r="G219" s="4" t="s">
        <v>473</v>
      </c>
      <c r="H219" s="3" t="b">
        <f>FALSE()</f>
        <v>0</v>
      </c>
      <c r="I219" s="3" t="b">
        <f>TRUE()</f>
        <v>1</v>
      </c>
      <c r="J219" s="3" t="b">
        <f>FALSE()</f>
        <v>0</v>
      </c>
      <c r="K219" s="4" t="s">
        <v>65</v>
      </c>
      <c r="L219" s="3">
        <v>100</v>
      </c>
      <c r="M219" s="5">
        <v>78</v>
      </c>
      <c r="N219" s="5">
        <v>12</v>
      </c>
      <c r="O219" s="5">
        <v>3.4</v>
      </c>
      <c r="P219" s="5">
        <v>3.4</v>
      </c>
      <c r="Q219" s="5">
        <v>0</v>
      </c>
      <c r="R219" s="5">
        <v>1.8</v>
      </c>
      <c r="S219" s="5">
        <v>1.1000000000000001</v>
      </c>
      <c r="T219" s="5">
        <v>0.5</v>
      </c>
      <c r="U219" s="5">
        <v>0.1</v>
      </c>
      <c r="V219" s="5">
        <v>0</v>
      </c>
      <c r="W219" s="5">
        <v>0</v>
      </c>
      <c r="X219" s="5">
        <v>300</v>
      </c>
      <c r="Y219" s="5">
        <v>110</v>
      </c>
      <c r="Z219" s="5">
        <v>90</v>
      </c>
      <c r="AA219" s="5">
        <v>8</v>
      </c>
      <c r="AB219" s="5">
        <v>0.1</v>
      </c>
      <c r="AC219" s="5">
        <v>0.6</v>
      </c>
      <c r="AD219" s="5">
        <v>0</v>
      </c>
      <c r="AE219" s="5">
        <v>10</v>
      </c>
      <c r="AF219" s="5">
        <v>0</v>
      </c>
      <c r="AG219" s="5">
        <v>0</v>
      </c>
      <c r="AH219" s="4" t="s">
        <v>77</v>
      </c>
      <c r="AI219" s="4" t="s">
        <v>65</v>
      </c>
      <c r="AJ219" s="4" t="s">
        <v>65</v>
      </c>
    </row>
    <row r="220" spans="1:36" ht="27.75" customHeight="1" x14ac:dyDescent="0.2">
      <c r="A220" s="3">
        <v>1411</v>
      </c>
      <c r="B220" s="4" t="s">
        <v>790</v>
      </c>
      <c r="C220" s="4" t="s">
        <v>509</v>
      </c>
      <c r="D220" s="4" t="s">
        <v>522</v>
      </c>
      <c r="E220" s="4" t="s">
        <v>781</v>
      </c>
      <c r="F220" s="4" t="s">
        <v>63</v>
      </c>
      <c r="G220" s="4" t="s">
        <v>603</v>
      </c>
      <c r="H220" s="3" t="b">
        <f>FALSE()</f>
        <v>0</v>
      </c>
      <c r="I220" s="3" t="b">
        <f>TRUE()</f>
        <v>1</v>
      </c>
      <c r="J220" s="3" t="b">
        <f>FALSE()</f>
        <v>0</v>
      </c>
      <c r="K220" s="4" t="s">
        <v>65</v>
      </c>
      <c r="L220" s="3">
        <v>100</v>
      </c>
      <c r="M220" s="5">
        <v>342</v>
      </c>
      <c r="N220" s="5">
        <v>6</v>
      </c>
      <c r="O220" s="5">
        <v>4</v>
      </c>
      <c r="P220" s="5">
        <v>3.5</v>
      </c>
      <c r="Q220" s="5">
        <v>0</v>
      </c>
      <c r="R220" s="5">
        <v>34</v>
      </c>
      <c r="S220" s="5">
        <v>21</v>
      </c>
      <c r="T220" s="5">
        <v>9</v>
      </c>
      <c r="U220" s="5">
        <v>1</v>
      </c>
      <c r="V220" s="5">
        <v>0</v>
      </c>
      <c r="W220" s="5">
        <v>0</v>
      </c>
      <c r="X220" s="5">
        <v>300</v>
      </c>
      <c r="Y220" s="5">
        <v>95</v>
      </c>
      <c r="Z220" s="5">
        <v>98</v>
      </c>
      <c r="AA220" s="5">
        <v>8</v>
      </c>
      <c r="AB220" s="5">
        <v>0.2</v>
      </c>
      <c r="AC220" s="5">
        <v>0.4</v>
      </c>
      <c r="AD220" s="5">
        <v>0</v>
      </c>
      <c r="AE220" s="5">
        <v>12</v>
      </c>
      <c r="AF220" s="5">
        <v>0</v>
      </c>
      <c r="AG220" s="5">
        <v>0</v>
      </c>
      <c r="AH220" s="4" t="s">
        <v>77</v>
      </c>
      <c r="AI220" s="4" t="s">
        <v>65</v>
      </c>
      <c r="AJ220" s="4" t="s">
        <v>65</v>
      </c>
    </row>
    <row r="221" spans="1:36" ht="27.75" customHeight="1" x14ac:dyDescent="0.2">
      <c r="A221" s="3">
        <v>1414</v>
      </c>
      <c r="B221" s="4" t="s">
        <v>793</v>
      </c>
      <c r="C221" s="4" t="s">
        <v>509</v>
      </c>
      <c r="D221" s="4" t="s">
        <v>522</v>
      </c>
      <c r="E221" s="4" t="s">
        <v>781</v>
      </c>
      <c r="F221" s="4" t="s">
        <v>63</v>
      </c>
      <c r="G221" s="4" t="s">
        <v>494</v>
      </c>
      <c r="H221" s="3" t="b">
        <f>FALSE()</f>
        <v>0</v>
      </c>
      <c r="I221" s="3" t="b">
        <f>TRUE()</f>
        <v>1</v>
      </c>
      <c r="J221" s="3" t="b">
        <f>FALSE()</f>
        <v>0</v>
      </c>
      <c r="K221" s="4" t="s">
        <v>65</v>
      </c>
      <c r="L221" s="3">
        <v>100</v>
      </c>
      <c r="M221" s="5">
        <v>98</v>
      </c>
      <c r="N221" s="5">
        <v>11</v>
      </c>
      <c r="O221" s="5">
        <v>3.4</v>
      </c>
      <c r="P221" s="5">
        <v>3.4</v>
      </c>
      <c r="Q221" s="5">
        <v>0</v>
      </c>
      <c r="R221" s="5">
        <v>4.3</v>
      </c>
      <c r="S221" s="5">
        <v>2.7</v>
      </c>
      <c r="T221" s="5">
        <v>1.2</v>
      </c>
      <c r="U221" s="5">
        <v>0.1</v>
      </c>
      <c r="V221" s="5">
        <v>0</v>
      </c>
      <c r="W221" s="5">
        <v>0</v>
      </c>
      <c r="X221" s="5">
        <v>364</v>
      </c>
      <c r="Y221" s="5">
        <v>137</v>
      </c>
      <c r="Z221" s="5">
        <v>61</v>
      </c>
      <c r="AA221" s="5">
        <v>7</v>
      </c>
      <c r="AB221" s="5">
        <v>0.1</v>
      </c>
      <c r="AC221" s="5">
        <v>0.4</v>
      </c>
      <c r="AD221" s="5">
        <v>0</v>
      </c>
      <c r="AE221" s="5">
        <v>12</v>
      </c>
      <c r="AF221" s="5">
        <v>0</v>
      </c>
      <c r="AG221" s="5">
        <v>0</v>
      </c>
      <c r="AH221" s="4" t="s">
        <v>77</v>
      </c>
      <c r="AI221" s="4" t="s">
        <v>65</v>
      </c>
      <c r="AJ221" s="4" t="s">
        <v>65</v>
      </c>
    </row>
    <row r="222" spans="1:36" ht="27.75" customHeight="1" x14ac:dyDescent="0.2">
      <c r="A222" s="3">
        <v>1417</v>
      </c>
      <c r="B222" s="4" t="s">
        <v>796</v>
      </c>
      <c r="C222" s="4" t="s">
        <v>509</v>
      </c>
      <c r="D222" s="4" t="s">
        <v>522</v>
      </c>
      <c r="E222" s="4" t="s">
        <v>749</v>
      </c>
      <c r="F222" s="4" t="s">
        <v>63</v>
      </c>
      <c r="G222" s="4" t="s">
        <v>473</v>
      </c>
      <c r="H222" s="3" t="b">
        <f>FALSE()</f>
        <v>0</v>
      </c>
      <c r="I222" s="3" t="b">
        <f>TRUE()</f>
        <v>1</v>
      </c>
      <c r="J222" s="3" t="b">
        <f>FALSE()</f>
        <v>0</v>
      </c>
      <c r="K222" s="4" t="s">
        <v>65</v>
      </c>
      <c r="L222" s="3">
        <v>100</v>
      </c>
      <c r="M222" s="5">
        <v>364</v>
      </c>
      <c r="N222" s="5">
        <v>21.6</v>
      </c>
      <c r="O222" s="5">
        <v>0.1</v>
      </c>
      <c r="P222" s="5">
        <v>0.1</v>
      </c>
      <c r="Q222" s="5">
        <v>0</v>
      </c>
      <c r="R222" s="5">
        <v>30</v>
      </c>
      <c r="S222" s="5">
        <v>21</v>
      </c>
      <c r="T222" s="5">
        <v>7.8</v>
      </c>
      <c r="U222" s="5">
        <v>0.8</v>
      </c>
      <c r="V222" s="5">
        <v>0.1</v>
      </c>
      <c r="W222" s="5">
        <v>0</v>
      </c>
      <c r="X222" s="5">
        <v>515</v>
      </c>
      <c r="Y222" s="5">
        <v>140</v>
      </c>
      <c r="Z222" s="5">
        <v>298</v>
      </c>
      <c r="AA222" s="5">
        <v>18</v>
      </c>
      <c r="AB222" s="5">
        <v>1.6</v>
      </c>
      <c r="AC222" s="5">
        <v>2.6</v>
      </c>
      <c r="AD222" s="5">
        <v>0</v>
      </c>
      <c r="AE222" s="5">
        <v>30</v>
      </c>
      <c r="AF222" s="5">
        <v>0</v>
      </c>
      <c r="AG222" s="5">
        <v>0</v>
      </c>
      <c r="AH222" s="4" t="s">
        <v>66</v>
      </c>
      <c r="AI222" s="4" t="s">
        <v>65</v>
      </c>
      <c r="AJ222" s="4" t="s">
        <v>65</v>
      </c>
    </row>
    <row r="223" spans="1:36" ht="27.75" customHeight="1" x14ac:dyDescent="0.2">
      <c r="A223" s="3">
        <v>1420</v>
      </c>
      <c r="B223" s="4" t="s">
        <v>1331</v>
      </c>
      <c r="C223" s="4" t="s">
        <v>485</v>
      </c>
      <c r="D223" s="4" t="s">
        <v>500</v>
      </c>
      <c r="E223" s="4" t="s">
        <v>62</v>
      </c>
      <c r="F223" s="4" t="s">
        <v>63</v>
      </c>
      <c r="G223" s="4" t="s">
        <v>64</v>
      </c>
      <c r="H223" s="3" t="b">
        <f>FALSE()</f>
        <v>0</v>
      </c>
      <c r="I223" s="3" t="b">
        <f>FALSE()</f>
        <v>0</v>
      </c>
      <c r="J223" s="3" t="b">
        <f>FALSE()</f>
        <v>0</v>
      </c>
      <c r="K223" s="4" t="s">
        <v>65</v>
      </c>
      <c r="L223" s="3">
        <v>100</v>
      </c>
      <c r="M223" s="5">
        <v>86</v>
      </c>
      <c r="N223" s="5">
        <v>16.5</v>
      </c>
      <c r="O223" s="5">
        <v>0</v>
      </c>
      <c r="P223" s="5">
        <v>0</v>
      </c>
      <c r="Q223" s="5">
        <v>0</v>
      </c>
      <c r="R223" s="5">
        <v>1.9</v>
      </c>
      <c r="S223" s="5">
        <v>0.4</v>
      </c>
      <c r="T223" s="5">
        <v>0.5</v>
      </c>
      <c r="U223" s="5">
        <v>0.6</v>
      </c>
      <c r="V223" s="5">
        <v>0.3</v>
      </c>
      <c r="W223" s="5">
        <v>0</v>
      </c>
      <c r="X223" s="5">
        <v>90</v>
      </c>
      <c r="Y223" s="5">
        <v>320</v>
      </c>
      <c r="Z223" s="5">
        <v>15</v>
      </c>
      <c r="AA223" s="5">
        <v>25</v>
      </c>
      <c r="AB223" s="5">
        <v>0.3</v>
      </c>
      <c r="AC223" s="5">
        <v>0.5</v>
      </c>
      <c r="AD223" s="5">
        <v>0</v>
      </c>
      <c r="AE223" s="5">
        <v>10</v>
      </c>
      <c r="AF223" s="5">
        <v>0</v>
      </c>
      <c r="AG223" s="5">
        <v>0</v>
      </c>
      <c r="AH223" s="4" t="s">
        <v>77</v>
      </c>
      <c r="AI223" s="4" t="s">
        <v>65</v>
      </c>
      <c r="AJ223" s="4" t="s">
        <v>65</v>
      </c>
    </row>
    <row r="224" spans="1:36" ht="27.75" customHeight="1" x14ac:dyDescent="0.2">
      <c r="A224" s="3">
        <v>1423</v>
      </c>
      <c r="B224" s="4" t="s">
        <v>803</v>
      </c>
      <c r="C224" s="4" t="s">
        <v>485</v>
      </c>
      <c r="D224" s="4" t="s">
        <v>500</v>
      </c>
      <c r="E224" s="4" t="s">
        <v>458</v>
      </c>
      <c r="F224" s="4" t="s">
        <v>63</v>
      </c>
      <c r="G224" s="4" t="s">
        <v>64</v>
      </c>
      <c r="H224" s="3" t="b">
        <f>FALSE()</f>
        <v>0</v>
      </c>
      <c r="I224" s="3" t="b">
        <f>FALSE()</f>
        <v>0</v>
      </c>
      <c r="J224" s="3" t="b">
        <f>FALSE()</f>
        <v>0</v>
      </c>
      <c r="K224" s="4" t="s">
        <v>65</v>
      </c>
      <c r="L224" s="3">
        <v>100</v>
      </c>
      <c r="M224" s="5">
        <v>107.5</v>
      </c>
      <c r="N224" s="5">
        <v>18.97</v>
      </c>
      <c r="O224" s="5">
        <v>0</v>
      </c>
      <c r="P224" s="5">
        <v>0</v>
      </c>
      <c r="Q224" s="5">
        <v>0</v>
      </c>
      <c r="R224" s="5">
        <v>2.1800000000000002</v>
      </c>
      <c r="S224" s="5">
        <v>0.46</v>
      </c>
      <c r="T224" s="5">
        <v>0.56999999999999995</v>
      </c>
      <c r="U224" s="5">
        <v>0.69</v>
      </c>
      <c r="V224" s="5">
        <v>0.34</v>
      </c>
      <c r="W224" s="5">
        <v>0</v>
      </c>
      <c r="X224" s="5">
        <v>90</v>
      </c>
      <c r="Y224" s="5">
        <v>320</v>
      </c>
      <c r="Z224" s="5">
        <v>15</v>
      </c>
      <c r="AA224" s="5">
        <v>25</v>
      </c>
      <c r="AB224" s="5">
        <v>0.3</v>
      </c>
      <c r="AC224" s="5">
        <v>0.5</v>
      </c>
      <c r="AD224" s="5">
        <v>0</v>
      </c>
      <c r="AE224" s="5">
        <v>10</v>
      </c>
      <c r="AF224" s="5">
        <v>0</v>
      </c>
      <c r="AG224" s="5">
        <v>0</v>
      </c>
      <c r="AH224" s="4" t="s">
        <v>77</v>
      </c>
      <c r="AI224" s="4" t="s">
        <v>65</v>
      </c>
      <c r="AJ224" s="4" t="s">
        <v>65</v>
      </c>
    </row>
    <row r="225" spans="1:36" ht="27.75" customHeight="1" x14ac:dyDescent="0.2">
      <c r="A225" s="3">
        <v>1426</v>
      </c>
      <c r="B225" s="4" t="s">
        <v>806</v>
      </c>
      <c r="C225" s="4" t="s">
        <v>485</v>
      </c>
      <c r="D225" s="4" t="s">
        <v>500</v>
      </c>
      <c r="E225" s="4" t="s">
        <v>488</v>
      </c>
      <c r="F225" s="4" t="s">
        <v>63</v>
      </c>
      <c r="G225" s="4" t="s">
        <v>64</v>
      </c>
      <c r="H225" s="3" t="b">
        <f>FALSE()</f>
        <v>0</v>
      </c>
      <c r="I225" s="3" t="b">
        <f>FALSE()</f>
        <v>0</v>
      </c>
      <c r="J225" s="3" t="b">
        <f>FALSE()</f>
        <v>0</v>
      </c>
      <c r="K225" s="4" t="s">
        <v>65</v>
      </c>
      <c r="L225" s="3">
        <v>100</v>
      </c>
      <c r="M225" s="5">
        <v>104.9</v>
      </c>
      <c r="N225" s="5">
        <v>18.48</v>
      </c>
      <c r="O225" s="5">
        <v>0</v>
      </c>
      <c r="P225" s="5">
        <v>0</v>
      </c>
      <c r="Q225" s="5">
        <v>0</v>
      </c>
      <c r="R225" s="5">
        <v>2.13</v>
      </c>
      <c r="S225" s="5">
        <v>0.45</v>
      </c>
      <c r="T225" s="5">
        <v>0.56000000000000005</v>
      </c>
      <c r="U225" s="5">
        <v>0.67</v>
      </c>
      <c r="V225" s="5">
        <v>0.34</v>
      </c>
      <c r="W225" s="5">
        <v>0</v>
      </c>
      <c r="X225" s="5">
        <v>90</v>
      </c>
      <c r="Y225" s="5">
        <v>320</v>
      </c>
      <c r="Z225" s="5">
        <v>15</v>
      </c>
      <c r="AA225" s="5">
        <v>25</v>
      </c>
      <c r="AB225" s="5">
        <v>0.3</v>
      </c>
      <c r="AC225" s="5">
        <v>0.5</v>
      </c>
      <c r="AD225" s="5">
        <v>0</v>
      </c>
      <c r="AE225" s="5">
        <v>10</v>
      </c>
      <c r="AF225" s="5">
        <v>0</v>
      </c>
      <c r="AG225" s="5">
        <v>0</v>
      </c>
      <c r="AH225" s="4" t="s">
        <v>77</v>
      </c>
      <c r="AI225" s="4" t="s">
        <v>65</v>
      </c>
      <c r="AJ225" s="4" t="s">
        <v>65</v>
      </c>
    </row>
    <row r="226" spans="1:36" ht="27.75" customHeight="1" x14ac:dyDescent="0.2">
      <c r="A226" s="3">
        <v>1429</v>
      </c>
      <c r="B226" s="4" t="s">
        <v>1332</v>
      </c>
      <c r="C226" s="4" t="s">
        <v>485</v>
      </c>
      <c r="D226" s="4" t="s">
        <v>500</v>
      </c>
      <c r="E226" s="4" t="s">
        <v>62</v>
      </c>
      <c r="F226" s="4" t="s">
        <v>63</v>
      </c>
      <c r="G226" s="4" t="s">
        <v>64</v>
      </c>
      <c r="H226" s="3" t="b">
        <f>FALSE()</f>
        <v>0</v>
      </c>
      <c r="I226" s="3" t="b">
        <f>FALSE()</f>
        <v>0</v>
      </c>
      <c r="J226" s="3" t="b">
        <f>FALSE()</f>
        <v>0</v>
      </c>
      <c r="K226" s="4" t="s">
        <v>65</v>
      </c>
      <c r="L226" s="3">
        <v>100</v>
      </c>
      <c r="M226" s="5">
        <v>92</v>
      </c>
      <c r="N226" s="5">
        <v>16</v>
      </c>
      <c r="O226" s="5">
        <v>0</v>
      </c>
      <c r="P226" s="5">
        <v>0</v>
      </c>
      <c r="Q226" s="5">
        <v>0</v>
      </c>
      <c r="R226" s="5">
        <v>3</v>
      </c>
      <c r="S226" s="5">
        <v>0.6</v>
      </c>
      <c r="T226" s="5">
        <v>1</v>
      </c>
      <c r="U226" s="5">
        <v>0.8</v>
      </c>
      <c r="V226" s="5">
        <v>0.4</v>
      </c>
      <c r="W226" s="5">
        <v>0</v>
      </c>
      <c r="X226" s="5">
        <v>95</v>
      </c>
      <c r="Y226" s="5">
        <v>350</v>
      </c>
      <c r="Z226" s="5">
        <v>15</v>
      </c>
      <c r="AA226" s="5">
        <v>27</v>
      </c>
      <c r="AB226" s="5">
        <v>0.4</v>
      </c>
      <c r="AC226" s="5">
        <v>0.5</v>
      </c>
      <c r="AD226" s="5">
        <v>0</v>
      </c>
      <c r="AE226" s="5">
        <v>8</v>
      </c>
      <c r="AF226" s="5">
        <v>0</v>
      </c>
      <c r="AG226" s="5">
        <v>0</v>
      </c>
      <c r="AH226" s="4" t="s">
        <v>77</v>
      </c>
      <c r="AI226" s="4" t="s">
        <v>65</v>
      </c>
      <c r="AJ226" s="4" t="s">
        <v>65</v>
      </c>
    </row>
    <row r="227" spans="1:36" ht="27.75" customHeight="1" x14ac:dyDescent="0.2">
      <c r="A227" s="3">
        <v>1432</v>
      </c>
      <c r="B227" s="4" t="s">
        <v>812</v>
      </c>
      <c r="C227" s="4" t="s">
        <v>485</v>
      </c>
      <c r="D227" s="4" t="s">
        <v>500</v>
      </c>
      <c r="E227" s="4" t="s">
        <v>458</v>
      </c>
      <c r="F227" s="4" t="s">
        <v>63</v>
      </c>
      <c r="G227" s="4" t="s">
        <v>64</v>
      </c>
      <c r="H227" s="3" t="b">
        <f>FALSE()</f>
        <v>0</v>
      </c>
      <c r="I227" s="3" t="b">
        <f>FALSE()</f>
        <v>0</v>
      </c>
      <c r="J227" s="3" t="b">
        <f>FALSE()</f>
        <v>0</v>
      </c>
      <c r="K227" s="4" t="s">
        <v>65</v>
      </c>
      <c r="L227" s="3">
        <v>100</v>
      </c>
      <c r="M227" s="5">
        <v>115</v>
      </c>
      <c r="N227" s="5">
        <v>18.399999999999999</v>
      </c>
      <c r="O227" s="5">
        <v>0</v>
      </c>
      <c r="P227" s="5">
        <v>0</v>
      </c>
      <c r="Q227" s="5">
        <v>0</v>
      </c>
      <c r="R227" s="5">
        <v>3.45</v>
      </c>
      <c r="S227" s="5">
        <v>0.69</v>
      </c>
      <c r="T227" s="5">
        <v>1.1499999999999999</v>
      </c>
      <c r="U227" s="5">
        <v>0.92</v>
      </c>
      <c r="V227" s="5">
        <v>0.46</v>
      </c>
      <c r="W227" s="5">
        <v>0</v>
      </c>
      <c r="X227" s="5">
        <v>95</v>
      </c>
      <c r="Y227" s="5">
        <v>350</v>
      </c>
      <c r="Z227" s="5">
        <v>15</v>
      </c>
      <c r="AA227" s="5">
        <v>27</v>
      </c>
      <c r="AB227" s="5">
        <v>0.4</v>
      </c>
      <c r="AC227" s="5">
        <v>0.5</v>
      </c>
      <c r="AD227" s="5">
        <v>0</v>
      </c>
      <c r="AE227" s="5">
        <v>8</v>
      </c>
      <c r="AF227" s="5">
        <v>0</v>
      </c>
      <c r="AG227" s="5">
        <v>0</v>
      </c>
      <c r="AH227" s="4" t="s">
        <v>77</v>
      </c>
      <c r="AI227" s="4" t="s">
        <v>65</v>
      </c>
      <c r="AJ227" s="4" t="s">
        <v>65</v>
      </c>
    </row>
    <row r="228" spans="1:36" ht="27.75" customHeight="1" x14ac:dyDescent="0.2">
      <c r="A228" s="3">
        <v>1435</v>
      </c>
      <c r="B228" s="4" t="s">
        <v>815</v>
      </c>
      <c r="C228" s="4" t="s">
        <v>485</v>
      </c>
      <c r="D228" s="4" t="s">
        <v>500</v>
      </c>
      <c r="E228" s="4" t="s">
        <v>488</v>
      </c>
      <c r="F228" s="4" t="s">
        <v>63</v>
      </c>
      <c r="G228" s="4" t="s">
        <v>64</v>
      </c>
      <c r="H228" s="3" t="b">
        <f>FALSE()</f>
        <v>0</v>
      </c>
      <c r="I228" s="3" t="b">
        <f>FALSE()</f>
        <v>0</v>
      </c>
      <c r="J228" s="3" t="b">
        <f>FALSE()</f>
        <v>0</v>
      </c>
      <c r="K228" s="4" t="s">
        <v>65</v>
      </c>
      <c r="L228" s="3">
        <v>100</v>
      </c>
      <c r="M228" s="5">
        <v>112.2</v>
      </c>
      <c r="N228" s="5">
        <v>17.920000000000002</v>
      </c>
      <c r="O228" s="5">
        <v>0</v>
      </c>
      <c r="P228" s="5">
        <v>0</v>
      </c>
      <c r="Q228" s="5">
        <v>0</v>
      </c>
      <c r="R228" s="5">
        <v>3.36</v>
      </c>
      <c r="S228" s="5">
        <v>0.67</v>
      </c>
      <c r="T228" s="5">
        <v>1.1200000000000001</v>
      </c>
      <c r="U228" s="5">
        <v>0.9</v>
      </c>
      <c r="V228" s="5">
        <v>0.45</v>
      </c>
      <c r="W228" s="5">
        <v>0</v>
      </c>
      <c r="X228" s="5">
        <v>95</v>
      </c>
      <c r="Y228" s="5">
        <v>350</v>
      </c>
      <c r="Z228" s="5">
        <v>15</v>
      </c>
      <c r="AA228" s="5">
        <v>27</v>
      </c>
      <c r="AB228" s="5">
        <v>0.4</v>
      </c>
      <c r="AC228" s="5">
        <v>0.5</v>
      </c>
      <c r="AD228" s="5">
        <v>0</v>
      </c>
      <c r="AE228" s="5">
        <v>8</v>
      </c>
      <c r="AF228" s="5">
        <v>0</v>
      </c>
      <c r="AG228" s="5">
        <v>0</v>
      </c>
      <c r="AH228" s="4" t="s">
        <v>77</v>
      </c>
      <c r="AI228" s="4" t="s">
        <v>65</v>
      </c>
      <c r="AJ228" s="4" t="s">
        <v>65</v>
      </c>
    </row>
    <row r="229" spans="1:36" ht="27.75" customHeight="1" x14ac:dyDescent="0.2">
      <c r="A229" s="3">
        <v>1438</v>
      </c>
      <c r="B229" s="4" t="s">
        <v>818</v>
      </c>
      <c r="C229" s="4" t="s">
        <v>485</v>
      </c>
      <c r="D229" s="4" t="s">
        <v>500</v>
      </c>
      <c r="E229" s="4" t="s">
        <v>62</v>
      </c>
      <c r="F229" s="4" t="s">
        <v>63</v>
      </c>
      <c r="G229" s="4" t="s">
        <v>64</v>
      </c>
      <c r="H229" s="3" t="b">
        <f>FALSE()</f>
        <v>0</v>
      </c>
      <c r="I229" s="3" t="b">
        <f>FALSE()</f>
        <v>0</v>
      </c>
      <c r="J229" s="3" t="b">
        <f>FALSE()</f>
        <v>0</v>
      </c>
      <c r="K229" s="4" t="s">
        <v>65</v>
      </c>
      <c r="L229" s="3">
        <v>100</v>
      </c>
      <c r="M229" s="5">
        <v>97</v>
      </c>
      <c r="N229" s="5">
        <v>18.399999999999999</v>
      </c>
      <c r="O229" s="5">
        <v>0</v>
      </c>
      <c r="P229" s="5">
        <v>0</v>
      </c>
      <c r="Q229" s="5">
        <v>0</v>
      </c>
      <c r="R229" s="5">
        <v>2.5</v>
      </c>
      <c r="S229" s="5">
        <v>0.6</v>
      </c>
      <c r="T229" s="5">
        <v>0.8</v>
      </c>
      <c r="U229" s="5">
        <v>0.7</v>
      </c>
      <c r="V229" s="5">
        <v>0.4</v>
      </c>
      <c r="W229" s="5">
        <v>0</v>
      </c>
      <c r="X229" s="5">
        <v>68</v>
      </c>
      <c r="Y229" s="5">
        <v>350</v>
      </c>
      <c r="Z229" s="5">
        <v>20</v>
      </c>
      <c r="AA229" s="5">
        <v>29</v>
      </c>
      <c r="AB229" s="5">
        <v>0.3</v>
      </c>
      <c r="AC229" s="5">
        <v>0.4</v>
      </c>
      <c r="AD229" s="5">
        <v>0</v>
      </c>
      <c r="AE229" s="5">
        <v>10</v>
      </c>
      <c r="AF229" s="5">
        <v>0</v>
      </c>
      <c r="AG229" s="5">
        <v>0</v>
      </c>
      <c r="AH229" s="4" t="s">
        <v>77</v>
      </c>
      <c r="AI229" s="4" t="s">
        <v>65</v>
      </c>
      <c r="AJ229" s="4" t="s">
        <v>65</v>
      </c>
    </row>
    <row r="230" spans="1:36" ht="27.75" customHeight="1" x14ac:dyDescent="0.2">
      <c r="A230" s="3">
        <v>1441</v>
      </c>
      <c r="B230" s="4" t="s">
        <v>821</v>
      </c>
      <c r="C230" s="4" t="s">
        <v>485</v>
      </c>
      <c r="D230" s="4" t="s">
        <v>500</v>
      </c>
      <c r="E230" s="4" t="s">
        <v>458</v>
      </c>
      <c r="F230" s="4" t="s">
        <v>63</v>
      </c>
      <c r="G230" s="4" t="s">
        <v>64</v>
      </c>
      <c r="H230" s="3" t="b">
        <f>FALSE()</f>
        <v>0</v>
      </c>
      <c r="I230" s="3" t="b">
        <f>FALSE()</f>
        <v>0</v>
      </c>
      <c r="J230" s="3" t="b">
        <f>FALSE()</f>
        <v>0</v>
      </c>
      <c r="K230" s="4" t="s">
        <v>65</v>
      </c>
      <c r="L230" s="3">
        <v>100</v>
      </c>
      <c r="M230" s="5">
        <v>121.2</v>
      </c>
      <c r="N230" s="5">
        <v>21.16</v>
      </c>
      <c r="O230" s="5">
        <v>0</v>
      </c>
      <c r="P230" s="5">
        <v>0</v>
      </c>
      <c r="Q230" s="5">
        <v>0</v>
      </c>
      <c r="R230" s="5">
        <v>2.88</v>
      </c>
      <c r="S230" s="5">
        <v>0.69</v>
      </c>
      <c r="T230" s="5">
        <v>0.92</v>
      </c>
      <c r="U230" s="5">
        <v>0.8</v>
      </c>
      <c r="V230" s="5">
        <v>0.46</v>
      </c>
      <c r="W230" s="5">
        <v>0</v>
      </c>
      <c r="X230" s="5">
        <v>68</v>
      </c>
      <c r="Y230" s="5">
        <v>350</v>
      </c>
      <c r="Z230" s="5">
        <v>20</v>
      </c>
      <c r="AA230" s="5">
        <v>29</v>
      </c>
      <c r="AB230" s="5">
        <v>0.3</v>
      </c>
      <c r="AC230" s="5">
        <v>0.4</v>
      </c>
      <c r="AD230" s="5">
        <v>0</v>
      </c>
      <c r="AE230" s="5">
        <v>10</v>
      </c>
      <c r="AF230" s="5">
        <v>0</v>
      </c>
      <c r="AG230" s="5">
        <v>0</v>
      </c>
      <c r="AH230" s="4" t="s">
        <v>77</v>
      </c>
      <c r="AI230" s="4" t="s">
        <v>65</v>
      </c>
      <c r="AJ230" s="4" t="s">
        <v>65</v>
      </c>
    </row>
    <row r="231" spans="1:36" ht="27.75" customHeight="1" x14ac:dyDescent="0.2">
      <c r="A231" s="3">
        <v>1444</v>
      </c>
      <c r="B231" s="4" t="s">
        <v>824</v>
      </c>
      <c r="C231" s="4" t="s">
        <v>485</v>
      </c>
      <c r="D231" s="4" t="s">
        <v>500</v>
      </c>
      <c r="E231" s="4" t="s">
        <v>488</v>
      </c>
      <c r="F231" s="4" t="s">
        <v>63</v>
      </c>
      <c r="G231" s="4" t="s">
        <v>64</v>
      </c>
      <c r="H231" s="3" t="b">
        <f>FALSE()</f>
        <v>0</v>
      </c>
      <c r="I231" s="3" t="b">
        <f>FALSE()</f>
        <v>0</v>
      </c>
      <c r="J231" s="3" t="b">
        <f>FALSE()</f>
        <v>0</v>
      </c>
      <c r="K231" s="4" t="s">
        <v>65</v>
      </c>
      <c r="L231" s="3">
        <v>100</v>
      </c>
      <c r="M231" s="5">
        <v>118.3</v>
      </c>
      <c r="N231" s="5">
        <v>20.61</v>
      </c>
      <c r="O231" s="5">
        <v>0</v>
      </c>
      <c r="P231" s="5">
        <v>0</v>
      </c>
      <c r="Q231" s="5">
        <v>0</v>
      </c>
      <c r="R231" s="5">
        <v>2.8</v>
      </c>
      <c r="S231" s="5">
        <v>0.67</v>
      </c>
      <c r="T231" s="5">
        <v>0.9</v>
      </c>
      <c r="U231" s="5">
        <v>0.78</v>
      </c>
      <c r="V231" s="5">
        <v>0.45</v>
      </c>
      <c r="W231" s="5">
        <v>0</v>
      </c>
      <c r="X231" s="5">
        <v>68</v>
      </c>
      <c r="Y231" s="5">
        <v>350</v>
      </c>
      <c r="Z231" s="5">
        <v>20</v>
      </c>
      <c r="AA231" s="5">
        <v>29</v>
      </c>
      <c r="AB231" s="5">
        <v>0.3</v>
      </c>
      <c r="AC231" s="5">
        <v>0.4</v>
      </c>
      <c r="AD231" s="5">
        <v>0</v>
      </c>
      <c r="AE231" s="5">
        <v>10</v>
      </c>
      <c r="AF231" s="5">
        <v>0</v>
      </c>
      <c r="AG231" s="5">
        <v>0</v>
      </c>
      <c r="AH231" s="4" t="s">
        <v>77</v>
      </c>
      <c r="AI231" s="4" t="s">
        <v>65</v>
      </c>
      <c r="AJ231" s="4" t="s">
        <v>65</v>
      </c>
    </row>
    <row r="232" spans="1:36" ht="27.75" customHeight="1" x14ac:dyDescent="0.2">
      <c r="A232" s="3">
        <v>1447</v>
      </c>
      <c r="B232" s="4" t="s">
        <v>827</v>
      </c>
      <c r="C232" s="4" t="s">
        <v>485</v>
      </c>
      <c r="D232" s="4" t="s">
        <v>500</v>
      </c>
      <c r="E232" s="4" t="s">
        <v>62</v>
      </c>
      <c r="F232" s="4" t="s">
        <v>63</v>
      </c>
      <c r="G232" s="4" t="s">
        <v>64</v>
      </c>
      <c r="H232" s="3" t="b">
        <f>FALSE()</f>
        <v>0</v>
      </c>
      <c r="I232" s="3" t="b">
        <f>FALSE()</f>
        <v>0</v>
      </c>
      <c r="J232" s="3" t="b">
        <f>FALSE()</f>
        <v>0</v>
      </c>
      <c r="K232" s="4" t="s">
        <v>65</v>
      </c>
      <c r="L232" s="3">
        <v>100</v>
      </c>
      <c r="M232" s="5">
        <v>121</v>
      </c>
      <c r="N232" s="5">
        <v>20</v>
      </c>
      <c r="O232" s="5">
        <v>0</v>
      </c>
      <c r="P232" s="5">
        <v>0</v>
      </c>
      <c r="Q232" s="5">
        <v>0</v>
      </c>
      <c r="R232" s="5">
        <v>4</v>
      </c>
      <c r="S232" s="5">
        <v>0.9</v>
      </c>
      <c r="T232" s="5">
        <v>1.6</v>
      </c>
      <c r="U232" s="5">
        <v>1</v>
      </c>
      <c r="V232" s="5">
        <v>0.5</v>
      </c>
      <c r="W232" s="5">
        <v>0</v>
      </c>
      <c r="X232" s="5">
        <v>65</v>
      </c>
      <c r="Y232" s="5">
        <v>380</v>
      </c>
      <c r="Z232" s="5">
        <v>20</v>
      </c>
      <c r="AA232" s="5">
        <v>30</v>
      </c>
      <c r="AB232" s="5">
        <v>0.5</v>
      </c>
      <c r="AC232" s="5">
        <v>0.6</v>
      </c>
      <c r="AD232" s="5">
        <v>0</v>
      </c>
      <c r="AE232" s="5">
        <v>10</v>
      </c>
      <c r="AF232" s="5">
        <v>0</v>
      </c>
      <c r="AG232" s="5">
        <v>0</v>
      </c>
      <c r="AH232" s="4" t="s">
        <v>77</v>
      </c>
      <c r="AI232" s="4" t="s">
        <v>65</v>
      </c>
      <c r="AJ232" s="4" t="s">
        <v>65</v>
      </c>
    </row>
    <row r="233" spans="1:36" ht="27.75" customHeight="1" x14ac:dyDescent="0.2">
      <c r="A233" s="3">
        <v>1450</v>
      </c>
      <c r="B233" s="4" t="s">
        <v>830</v>
      </c>
      <c r="C233" s="4" t="s">
        <v>485</v>
      </c>
      <c r="D233" s="4" t="s">
        <v>500</v>
      </c>
      <c r="E233" s="4" t="s">
        <v>458</v>
      </c>
      <c r="F233" s="4" t="s">
        <v>63</v>
      </c>
      <c r="G233" s="4" t="s">
        <v>64</v>
      </c>
      <c r="H233" s="3" t="b">
        <f>FALSE()</f>
        <v>0</v>
      </c>
      <c r="I233" s="3" t="b">
        <f>FALSE()</f>
        <v>0</v>
      </c>
      <c r="J233" s="3" t="b">
        <f>FALSE()</f>
        <v>0</v>
      </c>
      <c r="K233" s="4" t="s">
        <v>65</v>
      </c>
      <c r="L233" s="3">
        <v>100</v>
      </c>
      <c r="M233" s="5">
        <v>151.19999999999999</v>
      </c>
      <c r="N233" s="5">
        <v>23</v>
      </c>
      <c r="O233" s="5">
        <v>0</v>
      </c>
      <c r="P233" s="5">
        <v>0</v>
      </c>
      <c r="Q233" s="5">
        <v>0</v>
      </c>
      <c r="R233" s="5">
        <v>4.5999999999999996</v>
      </c>
      <c r="S233" s="5">
        <v>1.03</v>
      </c>
      <c r="T233" s="5">
        <v>1.84</v>
      </c>
      <c r="U233" s="5">
        <v>1.1499999999999999</v>
      </c>
      <c r="V233" s="5">
        <v>0.56999999999999995</v>
      </c>
      <c r="W233" s="5">
        <v>0</v>
      </c>
      <c r="X233" s="5">
        <v>65</v>
      </c>
      <c r="Y233" s="5">
        <v>380</v>
      </c>
      <c r="Z233" s="5">
        <v>20</v>
      </c>
      <c r="AA233" s="5">
        <v>30</v>
      </c>
      <c r="AB233" s="5">
        <v>0.5</v>
      </c>
      <c r="AC233" s="5">
        <v>0.6</v>
      </c>
      <c r="AD233" s="5">
        <v>0</v>
      </c>
      <c r="AE233" s="5">
        <v>10</v>
      </c>
      <c r="AF233" s="5">
        <v>0</v>
      </c>
      <c r="AG233" s="5">
        <v>0</v>
      </c>
      <c r="AH233" s="4" t="s">
        <v>77</v>
      </c>
      <c r="AI233" s="4" t="s">
        <v>65</v>
      </c>
      <c r="AJ233" s="4" t="s">
        <v>65</v>
      </c>
    </row>
    <row r="234" spans="1:36" ht="27.75" customHeight="1" x14ac:dyDescent="0.2">
      <c r="A234" s="3">
        <v>1453</v>
      </c>
      <c r="B234" s="4" t="s">
        <v>833</v>
      </c>
      <c r="C234" s="4" t="s">
        <v>485</v>
      </c>
      <c r="D234" s="4" t="s">
        <v>500</v>
      </c>
      <c r="E234" s="4" t="s">
        <v>488</v>
      </c>
      <c r="F234" s="4" t="s">
        <v>63</v>
      </c>
      <c r="G234" s="4" t="s">
        <v>64</v>
      </c>
      <c r="H234" s="3" t="b">
        <f>FALSE()</f>
        <v>0</v>
      </c>
      <c r="I234" s="3" t="b">
        <f>FALSE()</f>
        <v>0</v>
      </c>
      <c r="J234" s="3" t="b">
        <f>FALSE()</f>
        <v>0</v>
      </c>
      <c r="K234" s="4" t="s">
        <v>65</v>
      </c>
      <c r="L234" s="3">
        <v>100</v>
      </c>
      <c r="M234" s="5">
        <v>147.6</v>
      </c>
      <c r="N234" s="5">
        <v>22.4</v>
      </c>
      <c r="O234" s="5">
        <v>0</v>
      </c>
      <c r="P234" s="5">
        <v>0</v>
      </c>
      <c r="Q234" s="5">
        <v>0</v>
      </c>
      <c r="R234" s="5">
        <v>4.4800000000000004</v>
      </c>
      <c r="S234" s="5">
        <v>1.01</v>
      </c>
      <c r="T234" s="5">
        <v>1.79</v>
      </c>
      <c r="U234" s="5">
        <v>1.1200000000000001</v>
      </c>
      <c r="V234" s="5">
        <v>0.56000000000000005</v>
      </c>
      <c r="W234" s="5">
        <v>0</v>
      </c>
      <c r="X234" s="5">
        <v>65</v>
      </c>
      <c r="Y234" s="5">
        <v>380</v>
      </c>
      <c r="Z234" s="5">
        <v>20</v>
      </c>
      <c r="AA234" s="5">
        <v>30</v>
      </c>
      <c r="AB234" s="5">
        <v>0.5</v>
      </c>
      <c r="AC234" s="5">
        <v>0.6</v>
      </c>
      <c r="AD234" s="5">
        <v>0</v>
      </c>
      <c r="AE234" s="5">
        <v>10</v>
      </c>
      <c r="AF234" s="5">
        <v>0</v>
      </c>
      <c r="AG234" s="5">
        <v>0</v>
      </c>
      <c r="AH234" s="4" t="s">
        <v>77</v>
      </c>
      <c r="AI234" s="4" t="s">
        <v>65</v>
      </c>
      <c r="AJ234" s="4" t="s">
        <v>65</v>
      </c>
    </row>
    <row r="235" spans="1:36" ht="35" customHeight="1" x14ac:dyDescent="0.2">
      <c r="A235" s="3">
        <v>1456</v>
      </c>
      <c r="B235" s="4" t="s">
        <v>836</v>
      </c>
      <c r="C235" s="4" t="s">
        <v>485</v>
      </c>
      <c r="D235" s="4" t="s">
        <v>500</v>
      </c>
      <c r="E235" s="4" t="s">
        <v>62</v>
      </c>
      <c r="F235" s="4" t="s">
        <v>63</v>
      </c>
      <c r="G235" s="4" t="s">
        <v>64</v>
      </c>
      <c r="H235" s="3" t="b">
        <f>FALSE()</f>
        <v>0</v>
      </c>
      <c r="I235" s="3" t="b">
        <f>FALSE()</f>
        <v>0</v>
      </c>
      <c r="J235" s="3" t="b">
        <f>FALSE()</f>
        <v>0</v>
      </c>
      <c r="K235" s="4" t="s">
        <v>65</v>
      </c>
      <c r="L235" s="3">
        <v>100</v>
      </c>
      <c r="M235" s="5">
        <v>121</v>
      </c>
      <c r="N235" s="5">
        <v>19.8</v>
      </c>
      <c r="O235" s="5">
        <v>0</v>
      </c>
      <c r="P235" s="5">
        <v>0</v>
      </c>
      <c r="Q235" s="5">
        <v>0</v>
      </c>
      <c r="R235" s="5">
        <v>4</v>
      </c>
      <c r="S235" s="5">
        <v>1.1000000000000001</v>
      </c>
      <c r="T235" s="5">
        <v>1.6</v>
      </c>
      <c r="U235" s="5">
        <v>1</v>
      </c>
      <c r="V235" s="5">
        <v>0.6</v>
      </c>
      <c r="W235" s="5">
        <v>0</v>
      </c>
      <c r="X235" s="5">
        <v>90</v>
      </c>
      <c r="Y235" s="5">
        <v>350</v>
      </c>
      <c r="Z235" s="5">
        <v>5</v>
      </c>
      <c r="AA235" s="5">
        <v>28</v>
      </c>
      <c r="AB235" s="5">
        <v>0.8</v>
      </c>
      <c r="AC235" s="5">
        <v>0.6</v>
      </c>
      <c r="AD235" s="5">
        <v>0</v>
      </c>
      <c r="AE235" s="5">
        <v>2</v>
      </c>
      <c r="AF235" s="5">
        <v>0</v>
      </c>
      <c r="AG235" s="5">
        <v>0</v>
      </c>
      <c r="AH235" s="4" t="s">
        <v>77</v>
      </c>
      <c r="AI235" s="4" t="s">
        <v>65</v>
      </c>
      <c r="AJ235" s="4" t="s">
        <v>65</v>
      </c>
    </row>
    <row r="236" spans="1:36" ht="35" customHeight="1" x14ac:dyDescent="0.2">
      <c r="A236" s="3">
        <v>1459</v>
      </c>
      <c r="B236" s="4" t="s">
        <v>839</v>
      </c>
      <c r="C236" s="4" t="s">
        <v>485</v>
      </c>
      <c r="D236" s="4" t="s">
        <v>500</v>
      </c>
      <c r="E236" s="4" t="s">
        <v>458</v>
      </c>
      <c r="F236" s="4" t="s">
        <v>63</v>
      </c>
      <c r="G236" s="4" t="s">
        <v>64</v>
      </c>
      <c r="H236" s="3" t="b">
        <f>FALSE()</f>
        <v>0</v>
      </c>
      <c r="I236" s="3" t="b">
        <f>FALSE()</f>
        <v>0</v>
      </c>
      <c r="J236" s="3" t="b">
        <f>FALSE()</f>
        <v>0</v>
      </c>
      <c r="K236" s="4" t="s">
        <v>65</v>
      </c>
      <c r="L236" s="3">
        <v>100</v>
      </c>
      <c r="M236" s="5">
        <v>151.19999999999999</v>
      </c>
      <c r="N236" s="5">
        <v>22.77</v>
      </c>
      <c r="O236" s="5">
        <v>0</v>
      </c>
      <c r="P236" s="5">
        <v>0</v>
      </c>
      <c r="Q236" s="5">
        <v>0</v>
      </c>
      <c r="R236" s="5">
        <v>4.5999999999999996</v>
      </c>
      <c r="S236" s="5">
        <v>1.26</v>
      </c>
      <c r="T236" s="5">
        <v>1.84</v>
      </c>
      <c r="U236" s="5">
        <v>1.1499999999999999</v>
      </c>
      <c r="V236" s="5">
        <v>0.69</v>
      </c>
      <c r="W236" s="5">
        <v>0</v>
      </c>
      <c r="X236" s="5">
        <v>90</v>
      </c>
      <c r="Y236" s="5">
        <v>350</v>
      </c>
      <c r="Z236" s="5">
        <v>5</v>
      </c>
      <c r="AA236" s="5">
        <v>28</v>
      </c>
      <c r="AB236" s="5">
        <v>0.8</v>
      </c>
      <c r="AC236" s="5">
        <v>0.6</v>
      </c>
      <c r="AD236" s="5">
        <v>0</v>
      </c>
      <c r="AE236" s="5">
        <v>2</v>
      </c>
      <c r="AF236" s="5">
        <v>0</v>
      </c>
      <c r="AG236" s="5">
        <v>0</v>
      </c>
      <c r="AH236" s="4" t="s">
        <v>77</v>
      </c>
      <c r="AI236" s="4" t="s">
        <v>65</v>
      </c>
      <c r="AJ236" s="4" t="s">
        <v>65</v>
      </c>
    </row>
    <row r="237" spans="1:36" ht="27.75" customHeight="1" x14ac:dyDescent="0.2">
      <c r="A237" s="3">
        <v>1465</v>
      </c>
      <c r="B237" s="4" t="s">
        <v>845</v>
      </c>
      <c r="C237" s="4" t="s">
        <v>485</v>
      </c>
      <c r="D237" s="4" t="s">
        <v>486</v>
      </c>
      <c r="E237" s="4" t="s">
        <v>62</v>
      </c>
      <c r="F237" s="4" t="s">
        <v>63</v>
      </c>
      <c r="G237" s="4" t="s">
        <v>64</v>
      </c>
      <c r="H237" s="3" t="b">
        <f>FALSE()</f>
        <v>0</v>
      </c>
      <c r="I237" s="3" t="b">
        <f>FALSE()</f>
        <v>0</v>
      </c>
      <c r="J237" s="3" t="b">
        <f>FALSE()</f>
        <v>0</v>
      </c>
      <c r="K237" s="4" t="s">
        <v>65</v>
      </c>
      <c r="L237" s="3">
        <v>100</v>
      </c>
      <c r="M237" s="5">
        <v>205</v>
      </c>
      <c r="N237" s="5">
        <v>18.600000000000001</v>
      </c>
      <c r="O237" s="5">
        <v>0</v>
      </c>
      <c r="P237" s="5">
        <v>0</v>
      </c>
      <c r="Q237" s="5">
        <v>0</v>
      </c>
      <c r="R237" s="5">
        <v>13.9</v>
      </c>
      <c r="S237" s="5">
        <v>3.3</v>
      </c>
      <c r="T237" s="5">
        <v>5.4</v>
      </c>
      <c r="U237" s="5">
        <v>3.6</v>
      </c>
      <c r="V237" s="5">
        <v>2.6</v>
      </c>
      <c r="W237" s="5">
        <v>0</v>
      </c>
      <c r="X237" s="5">
        <v>90</v>
      </c>
      <c r="Y237" s="5">
        <v>314</v>
      </c>
      <c r="Z237" s="5">
        <v>12</v>
      </c>
      <c r="AA237" s="5">
        <v>76</v>
      </c>
      <c r="AB237" s="5">
        <v>1.6</v>
      </c>
      <c r="AC237" s="5">
        <v>0.8</v>
      </c>
      <c r="AD237" s="5">
        <v>0</v>
      </c>
      <c r="AE237" s="5">
        <v>1</v>
      </c>
      <c r="AF237" s="5">
        <v>0</v>
      </c>
      <c r="AG237" s="5">
        <v>0</v>
      </c>
      <c r="AH237" s="4" t="s">
        <v>77</v>
      </c>
      <c r="AI237" s="4" t="s">
        <v>65</v>
      </c>
      <c r="AJ237" s="4" t="s">
        <v>65</v>
      </c>
    </row>
    <row r="238" spans="1:36" ht="27.75" customHeight="1" x14ac:dyDescent="0.2">
      <c r="A238" s="3">
        <v>1468</v>
      </c>
      <c r="B238" s="4" t="s">
        <v>848</v>
      </c>
      <c r="C238" s="4" t="s">
        <v>485</v>
      </c>
      <c r="D238" s="4" t="s">
        <v>486</v>
      </c>
      <c r="E238" s="4" t="s">
        <v>458</v>
      </c>
      <c r="F238" s="4" t="s">
        <v>63</v>
      </c>
      <c r="G238" s="4" t="s">
        <v>64</v>
      </c>
      <c r="H238" s="3" t="b">
        <f>FALSE()</f>
        <v>0</v>
      </c>
      <c r="I238" s="3" t="b">
        <f>FALSE()</f>
        <v>0</v>
      </c>
      <c r="J238" s="3" t="b">
        <f>FALSE()</f>
        <v>0</v>
      </c>
      <c r="K238" s="4" t="s">
        <v>65</v>
      </c>
      <c r="L238" s="3">
        <v>100</v>
      </c>
      <c r="M238" s="5">
        <v>256.2</v>
      </c>
      <c r="N238" s="5">
        <v>21.39</v>
      </c>
      <c r="O238" s="5">
        <v>0</v>
      </c>
      <c r="P238" s="5">
        <v>0</v>
      </c>
      <c r="Q238" s="5">
        <v>0</v>
      </c>
      <c r="R238" s="5">
        <v>15.98</v>
      </c>
      <c r="S238" s="5">
        <v>3.79</v>
      </c>
      <c r="T238" s="5">
        <v>6.21</v>
      </c>
      <c r="U238" s="5">
        <v>4.1399999999999997</v>
      </c>
      <c r="V238" s="5">
        <v>2.99</v>
      </c>
      <c r="W238" s="5">
        <v>0</v>
      </c>
      <c r="X238" s="5">
        <v>90</v>
      </c>
      <c r="Y238" s="5">
        <v>314</v>
      </c>
      <c r="Z238" s="5">
        <v>12</v>
      </c>
      <c r="AA238" s="5">
        <v>76</v>
      </c>
      <c r="AB238" s="5">
        <v>1.6</v>
      </c>
      <c r="AC238" s="5">
        <v>0.8</v>
      </c>
      <c r="AD238" s="5">
        <v>0</v>
      </c>
      <c r="AE238" s="5">
        <v>1</v>
      </c>
      <c r="AF238" s="5">
        <v>0</v>
      </c>
      <c r="AG238" s="5">
        <v>0</v>
      </c>
      <c r="AH238" s="4" t="s">
        <v>77</v>
      </c>
      <c r="AI238" s="4" t="s">
        <v>65</v>
      </c>
      <c r="AJ238" s="4" t="s">
        <v>65</v>
      </c>
    </row>
    <row r="239" spans="1:36" ht="27.75" customHeight="1" x14ac:dyDescent="0.2">
      <c r="A239" s="3">
        <v>1474</v>
      </c>
      <c r="B239" s="4" t="s">
        <v>854</v>
      </c>
      <c r="C239" s="4" t="s">
        <v>485</v>
      </c>
      <c r="D239" s="4" t="s">
        <v>500</v>
      </c>
      <c r="E239" s="4" t="s">
        <v>62</v>
      </c>
      <c r="F239" s="4" t="s">
        <v>63</v>
      </c>
      <c r="G239" s="4" t="s">
        <v>64</v>
      </c>
      <c r="H239" s="3" t="b">
        <f>FALSE()</f>
        <v>0</v>
      </c>
      <c r="I239" s="3" t="b">
        <f>FALSE()</f>
        <v>0</v>
      </c>
      <c r="J239" s="3" t="b">
        <f>FALSE()</f>
        <v>0</v>
      </c>
      <c r="K239" s="4" t="s">
        <v>65</v>
      </c>
      <c r="L239" s="3">
        <v>100</v>
      </c>
      <c r="M239" s="5">
        <v>100</v>
      </c>
      <c r="N239" s="5">
        <v>19</v>
      </c>
      <c r="O239" s="5">
        <v>0</v>
      </c>
      <c r="P239" s="5">
        <v>0</v>
      </c>
      <c r="Q239" s="5">
        <v>0</v>
      </c>
      <c r="R239" s="5">
        <v>2.6</v>
      </c>
      <c r="S239" s="5">
        <v>0.6</v>
      </c>
      <c r="T239" s="5">
        <v>0.9</v>
      </c>
      <c r="U239" s="5">
        <v>0.7</v>
      </c>
      <c r="V239" s="5">
        <v>0.4</v>
      </c>
      <c r="W239" s="5">
        <v>0</v>
      </c>
      <c r="X239" s="5">
        <v>75</v>
      </c>
      <c r="Y239" s="5">
        <v>350</v>
      </c>
      <c r="Z239" s="5">
        <v>15</v>
      </c>
      <c r="AA239" s="5">
        <v>28</v>
      </c>
      <c r="AB239" s="5">
        <v>0.4</v>
      </c>
      <c r="AC239" s="5">
        <v>0.5</v>
      </c>
      <c r="AD239" s="5">
        <v>0</v>
      </c>
      <c r="AE239" s="5">
        <v>8</v>
      </c>
      <c r="AF239" s="5">
        <v>0</v>
      </c>
      <c r="AG239" s="5">
        <v>0</v>
      </c>
      <c r="AH239" s="4" t="s">
        <v>77</v>
      </c>
      <c r="AI239" s="4" t="s">
        <v>65</v>
      </c>
      <c r="AJ239" s="4" t="s">
        <v>65</v>
      </c>
    </row>
    <row r="240" spans="1:36" ht="27.75" customHeight="1" x14ac:dyDescent="0.2">
      <c r="A240" s="3">
        <v>1477</v>
      </c>
      <c r="B240" s="4" t="s">
        <v>857</v>
      </c>
      <c r="C240" s="4" t="s">
        <v>485</v>
      </c>
      <c r="D240" s="4" t="s">
        <v>500</v>
      </c>
      <c r="E240" s="4" t="s">
        <v>458</v>
      </c>
      <c r="F240" s="4" t="s">
        <v>63</v>
      </c>
      <c r="G240" s="4" t="s">
        <v>64</v>
      </c>
      <c r="H240" s="3" t="b">
        <f>FALSE()</f>
        <v>0</v>
      </c>
      <c r="I240" s="3" t="b">
        <f>FALSE()</f>
        <v>0</v>
      </c>
      <c r="J240" s="3" t="b">
        <f>FALSE()</f>
        <v>0</v>
      </c>
      <c r="K240" s="4" t="s">
        <v>65</v>
      </c>
      <c r="L240" s="3">
        <v>100</v>
      </c>
      <c r="M240" s="5">
        <v>125</v>
      </c>
      <c r="N240" s="5">
        <v>21.85</v>
      </c>
      <c r="O240" s="5">
        <v>0</v>
      </c>
      <c r="P240" s="5">
        <v>0</v>
      </c>
      <c r="Q240" s="5">
        <v>0</v>
      </c>
      <c r="R240" s="5">
        <v>2.99</v>
      </c>
      <c r="S240" s="5">
        <v>0.69</v>
      </c>
      <c r="T240" s="5">
        <v>1.03</v>
      </c>
      <c r="U240" s="5">
        <v>0.8</v>
      </c>
      <c r="V240" s="5">
        <v>0.46</v>
      </c>
      <c r="W240" s="5">
        <v>0</v>
      </c>
      <c r="X240" s="5">
        <v>75</v>
      </c>
      <c r="Y240" s="5">
        <v>350</v>
      </c>
      <c r="Z240" s="5">
        <v>15</v>
      </c>
      <c r="AA240" s="5">
        <v>28</v>
      </c>
      <c r="AB240" s="5">
        <v>0.4</v>
      </c>
      <c r="AC240" s="5">
        <v>0.5</v>
      </c>
      <c r="AD240" s="5">
        <v>0</v>
      </c>
      <c r="AE240" s="5">
        <v>8</v>
      </c>
      <c r="AF240" s="5">
        <v>0</v>
      </c>
      <c r="AG240" s="5">
        <v>0</v>
      </c>
      <c r="AH240" s="4" t="s">
        <v>77</v>
      </c>
      <c r="AI240" s="4" t="s">
        <v>65</v>
      </c>
      <c r="AJ240" s="4" t="s">
        <v>65</v>
      </c>
    </row>
    <row r="241" spans="1:36" ht="27.75" customHeight="1" x14ac:dyDescent="0.2">
      <c r="A241" s="3">
        <v>1483</v>
      </c>
      <c r="B241" s="4" t="s">
        <v>863</v>
      </c>
      <c r="C241" s="4" t="s">
        <v>506</v>
      </c>
      <c r="D241" s="4" t="s">
        <v>864</v>
      </c>
      <c r="E241" s="4" t="s">
        <v>62</v>
      </c>
      <c r="F241" s="4" t="s">
        <v>63</v>
      </c>
      <c r="G241" s="4" t="s">
        <v>64</v>
      </c>
      <c r="H241" s="3" t="b">
        <f>FALSE()</f>
        <v>0</v>
      </c>
      <c r="I241" s="3" t="b">
        <f>FALSE()</f>
        <v>0</v>
      </c>
      <c r="J241" s="3" t="b">
        <f>FALSE()</f>
        <v>0</v>
      </c>
      <c r="K241" s="4" t="s">
        <v>65</v>
      </c>
      <c r="L241" s="3">
        <v>100</v>
      </c>
      <c r="M241" s="5">
        <v>82</v>
      </c>
      <c r="N241" s="5">
        <v>14.9</v>
      </c>
      <c r="O241" s="5">
        <v>2.2000000000000002</v>
      </c>
      <c r="P241" s="5">
        <v>0</v>
      </c>
      <c r="Q241" s="5">
        <v>0</v>
      </c>
      <c r="R241" s="5">
        <v>1</v>
      </c>
      <c r="S241" s="5">
        <v>0.2</v>
      </c>
      <c r="T241" s="5">
        <v>0.2</v>
      </c>
      <c r="U241" s="5">
        <v>0.3</v>
      </c>
      <c r="V241" s="5">
        <v>0.2</v>
      </c>
      <c r="W241" s="5">
        <v>0</v>
      </c>
      <c r="X241" s="5">
        <v>230</v>
      </c>
      <c r="Y241" s="5">
        <v>350</v>
      </c>
      <c r="Z241" s="5">
        <v>53</v>
      </c>
      <c r="AA241" s="5">
        <v>30</v>
      </c>
      <c r="AB241" s="5">
        <v>5.3</v>
      </c>
      <c r="AC241" s="5">
        <v>1.7</v>
      </c>
      <c r="AD241" s="5">
        <v>0</v>
      </c>
      <c r="AE241" s="5">
        <v>16</v>
      </c>
      <c r="AF241" s="5">
        <v>0</v>
      </c>
      <c r="AG241" s="5">
        <v>0</v>
      </c>
      <c r="AH241" s="4" t="s">
        <v>77</v>
      </c>
      <c r="AI241" s="4" t="s">
        <v>65</v>
      </c>
      <c r="AJ241" s="4" t="s">
        <v>65</v>
      </c>
    </row>
    <row r="242" spans="1:36" ht="27.75" customHeight="1" x14ac:dyDescent="0.2">
      <c r="A242" s="3">
        <v>1486</v>
      </c>
      <c r="B242" s="4" t="s">
        <v>867</v>
      </c>
      <c r="C242" s="4" t="s">
        <v>506</v>
      </c>
      <c r="D242" s="4" t="s">
        <v>864</v>
      </c>
      <c r="E242" s="4" t="s">
        <v>76</v>
      </c>
      <c r="F242" s="4" t="s">
        <v>63</v>
      </c>
      <c r="G242" s="4" t="s">
        <v>64</v>
      </c>
      <c r="H242" s="3" t="b">
        <f>FALSE()</f>
        <v>0</v>
      </c>
      <c r="I242" s="3" t="b">
        <f>FALSE()</f>
        <v>0</v>
      </c>
      <c r="J242" s="3" t="b">
        <f>FALSE()</f>
        <v>0</v>
      </c>
      <c r="K242" s="4" t="s">
        <v>65</v>
      </c>
      <c r="L242" s="3">
        <v>100</v>
      </c>
      <c r="M242" s="5">
        <v>88.6</v>
      </c>
      <c r="N242" s="5">
        <v>15.5</v>
      </c>
      <c r="O242" s="5">
        <v>2.29</v>
      </c>
      <c r="P242" s="5">
        <v>0</v>
      </c>
      <c r="Q242" s="5">
        <v>0</v>
      </c>
      <c r="R242" s="5">
        <v>1.04</v>
      </c>
      <c r="S242" s="5">
        <v>0.21</v>
      </c>
      <c r="T242" s="5">
        <v>0.21</v>
      </c>
      <c r="U242" s="5">
        <v>0.31</v>
      </c>
      <c r="V242" s="5">
        <v>0.21</v>
      </c>
      <c r="W242" s="5">
        <v>0</v>
      </c>
      <c r="X242" s="5">
        <v>230</v>
      </c>
      <c r="Y242" s="5">
        <v>350</v>
      </c>
      <c r="Z242" s="5">
        <v>53</v>
      </c>
      <c r="AA242" s="5">
        <v>30</v>
      </c>
      <c r="AB242" s="5">
        <v>5.3</v>
      </c>
      <c r="AC242" s="5">
        <v>1.7</v>
      </c>
      <c r="AD242" s="5">
        <v>0</v>
      </c>
      <c r="AE242" s="5">
        <v>16</v>
      </c>
      <c r="AF242" s="5">
        <v>0</v>
      </c>
      <c r="AG242" s="5">
        <v>0</v>
      </c>
      <c r="AH242" s="4" t="s">
        <v>77</v>
      </c>
      <c r="AI242" s="4" t="s">
        <v>65</v>
      </c>
      <c r="AJ242" s="4" t="s">
        <v>65</v>
      </c>
    </row>
    <row r="243" spans="1:36" ht="27.75" customHeight="1" x14ac:dyDescent="0.2">
      <c r="A243" s="3">
        <v>1492</v>
      </c>
      <c r="B243" s="4" t="s">
        <v>873</v>
      </c>
      <c r="C243" s="4" t="s">
        <v>506</v>
      </c>
      <c r="D243" s="4" t="s">
        <v>864</v>
      </c>
      <c r="E243" s="4" t="s">
        <v>62</v>
      </c>
      <c r="F243" s="4" t="s">
        <v>63</v>
      </c>
      <c r="G243" s="4" t="s">
        <v>64</v>
      </c>
      <c r="H243" s="3" t="b">
        <f>FALSE()</f>
        <v>0</v>
      </c>
      <c r="I243" s="3" t="b">
        <f>FALSE()</f>
        <v>0</v>
      </c>
      <c r="J243" s="3" t="b">
        <f>FALSE()</f>
        <v>0</v>
      </c>
      <c r="K243" s="4" t="s">
        <v>65</v>
      </c>
      <c r="L243" s="3">
        <v>100</v>
      </c>
      <c r="M243" s="5">
        <v>92</v>
      </c>
      <c r="N243" s="5">
        <v>15.6</v>
      </c>
      <c r="O243" s="5">
        <v>3.1</v>
      </c>
      <c r="P243" s="5">
        <v>0</v>
      </c>
      <c r="Q243" s="5">
        <v>0</v>
      </c>
      <c r="R243" s="5">
        <v>1.4</v>
      </c>
      <c r="S243" s="5">
        <v>0.4</v>
      </c>
      <c r="T243" s="5">
        <v>0.2</v>
      </c>
      <c r="U243" s="5">
        <v>0.5</v>
      </c>
      <c r="V243" s="5">
        <v>0.3</v>
      </c>
      <c r="W243" s="5">
        <v>0</v>
      </c>
      <c r="X243" s="5">
        <v>44</v>
      </c>
      <c r="Y243" s="5">
        <v>246</v>
      </c>
      <c r="Z243" s="5">
        <v>32</v>
      </c>
      <c r="AA243" s="5">
        <v>33</v>
      </c>
      <c r="AB243" s="5">
        <v>0.7</v>
      </c>
      <c r="AC243" s="5">
        <v>1.5</v>
      </c>
      <c r="AD243" s="5">
        <v>0</v>
      </c>
      <c r="AE243" s="5">
        <v>5</v>
      </c>
      <c r="AF243" s="5">
        <v>0</v>
      </c>
      <c r="AG243" s="5">
        <v>0</v>
      </c>
      <c r="AH243" s="4" t="s">
        <v>77</v>
      </c>
      <c r="AI243" s="4" t="s">
        <v>65</v>
      </c>
      <c r="AJ243" s="4" t="s">
        <v>65</v>
      </c>
    </row>
    <row r="244" spans="1:36" ht="27.75" customHeight="1" x14ac:dyDescent="0.2">
      <c r="A244" s="3">
        <v>1498</v>
      </c>
      <c r="B244" s="4" t="s">
        <v>879</v>
      </c>
      <c r="C244" s="4" t="s">
        <v>506</v>
      </c>
      <c r="D244" s="4" t="s">
        <v>864</v>
      </c>
      <c r="E244" s="4" t="s">
        <v>458</v>
      </c>
      <c r="F244" s="4" t="s">
        <v>63</v>
      </c>
      <c r="G244" s="4" t="s">
        <v>64</v>
      </c>
      <c r="H244" s="3" t="b">
        <f>FALSE()</f>
        <v>0</v>
      </c>
      <c r="I244" s="3" t="b">
        <f>FALSE()</f>
        <v>0</v>
      </c>
      <c r="J244" s="3" t="b">
        <f>FALSE()</f>
        <v>0</v>
      </c>
      <c r="K244" s="4" t="s">
        <v>65</v>
      </c>
      <c r="L244" s="3">
        <v>100</v>
      </c>
      <c r="M244" s="5">
        <v>108.6</v>
      </c>
      <c r="N244" s="5">
        <v>16.850000000000001</v>
      </c>
      <c r="O244" s="5">
        <v>3.35</v>
      </c>
      <c r="P244" s="5">
        <v>0</v>
      </c>
      <c r="Q244" s="5">
        <v>0</v>
      </c>
      <c r="R244" s="5">
        <v>1.51</v>
      </c>
      <c r="S244" s="5">
        <v>0.43</v>
      </c>
      <c r="T244" s="5">
        <v>0.22</v>
      </c>
      <c r="U244" s="5">
        <v>0.54</v>
      </c>
      <c r="V244" s="5">
        <v>0.32</v>
      </c>
      <c r="W244" s="5">
        <v>0</v>
      </c>
      <c r="X244" s="5">
        <v>44</v>
      </c>
      <c r="Y244" s="5">
        <v>246</v>
      </c>
      <c r="Z244" s="5">
        <v>32</v>
      </c>
      <c r="AA244" s="5">
        <v>33</v>
      </c>
      <c r="AB244" s="5">
        <v>0.7</v>
      </c>
      <c r="AC244" s="5">
        <v>1.5</v>
      </c>
      <c r="AD244" s="5">
        <v>0</v>
      </c>
      <c r="AE244" s="5">
        <v>5</v>
      </c>
      <c r="AF244" s="5">
        <v>0</v>
      </c>
      <c r="AG244" s="5">
        <v>0</v>
      </c>
      <c r="AH244" s="4" t="s">
        <v>77</v>
      </c>
      <c r="AI244" s="4" t="s">
        <v>65</v>
      </c>
      <c r="AJ244" s="4" t="s">
        <v>65</v>
      </c>
    </row>
    <row r="245" spans="1:36" ht="27.75" customHeight="1" x14ac:dyDescent="0.2">
      <c r="A245" s="3">
        <v>1501</v>
      </c>
      <c r="B245" s="4" t="s">
        <v>882</v>
      </c>
      <c r="C245" s="4" t="s">
        <v>506</v>
      </c>
      <c r="D245" s="4" t="s">
        <v>864</v>
      </c>
      <c r="E245" s="4" t="s">
        <v>62</v>
      </c>
      <c r="F245" s="4" t="s">
        <v>63</v>
      </c>
      <c r="G245" s="4" t="s">
        <v>64</v>
      </c>
      <c r="H245" s="3" t="b">
        <f>FALSE()</f>
        <v>0</v>
      </c>
      <c r="I245" s="3" t="b">
        <f>FALSE()</f>
        <v>0</v>
      </c>
      <c r="J245" s="3" t="b">
        <f>FALSE()</f>
        <v>0</v>
      </c>
      <c r="K245" s="4" t="s">
        <v>65</v>
      </c>
      <c r="L245" s="3">
        <v>100</v>
      </c>
      <c r="M245" s="5">
        <v>79</v>
      </c>
      <c r="N245" s="5">
        <v>16.2</v>
      </c>
      <c r="O245" s="5">
        <v>0.8</v>
      </c>
      <c r="P245" s="5">
        <v>0</v>
      </c>
      <c r="Q245" s="5">
        <v>0</v>
      </c>
      <c r="R245" s="5">
        <v>0.7</v>
      </c>
      <c r="S245" s="5">
        <v>0.1</v>
      </c>
      <c r="T245" s="5">
        <v>0.1</v>
      </c>
      <c r="U245" s="5">
        <v>0.2</v>
      </c>
      <c r="V245" s="5">
        <v>0.15</v>
      </c>
      <c r="W245" s="5">
        <v>0</v>
      </c>
      <c r="X245" s="5">
        <v>372</v>
      </c>
      <c r="Y245" s="5">
        <v>350</v>
      </c>
      <c r="Z245" s="5">
        <v>90</v>
      </c>
      <c r="AA245" s="5">
        <v>30</v>
      </c>
      <c r="AB245" s="5">
        <v>6</v>
      </c>
      <c r="AC245" s="5">
        <v>1.6</v>
      </c>
      <c r="AD245" s="5">
        <v>0</v>
      </c>
      <c r="AE245" s="5">
        <v>8</v>
      </c>
      <c r="AF245" s="5">
        <v>0</v>
      </c>
      <c r="AG245" s="5">
        <v>0</v>
      </c>
      <c r="AH245" s="4" t="s">
        <v>77</v>
      </c>
      <c r="AI245" s="4" t="s">
        <v>65</v>
      </c>
      <c r="AJ245" s="4" t="s">
        <v>65</v>
      </c>
    </row>
    <row r="246" spans="1:36" ht="27.75" customHeight="1" x14ac:dyDescent="0.2">
      <c r="A246" s="3">
        <v>1507</v>
      </c>
      <c r="B246" s="4" t="s">
        <v>888</v>
      </c>
      <c r="C246" s="4" t="s">
        <v>506</v>
      </c>
      <c r="D246" s="4" t="s">
        <v>864</v>
      </c>
      <c r="E246" s="4" t="s">
        <v>458</v>
      </c>
      <c r="F246" s="4" t="s">
        <v>63</v>
      </c>
      <c r="G246" s="4" t="s">
        <v>64</v>
      </c>
      <c r="H246" s="3" t="b">
        <f>FALSE()</f>
        <v>0</v>
      </c>
      <c r="I246" s="3" t="b">
        <f>FALSE()</f>
        <v>0</v>
      </c>
      <c r="J246" s="3" t="b">
        <f>FALSE()</f>
        <v>0</v>
      </c>
      <c r="K246" s="4" t="s">
        <v>65</v>
      </c>
      <c r="L246" s="3">
        <v>100</v>
      </c>
      <c r="M246" s="5">
        <v>93.2</v>
      </c>
      <c r="N246" s="5">
        <v>17.5</v>
      </c>
      <c r="O246" s="5">
        <v>0.86</v>
      </c>
      <c r="P246" s="5">
        <v>0</v>
      </c>
      <c r="Q246" s="5">
        <v>0</v>
      </c>
      <c r="R246" s="5">
        <v>0.76</v>
      </c>
      <c r="S246" s="5">
        <v>0.11</v>
      </c>
      <c r="T246" s="5">
        <v>0.11</v>
      </c>
      <c r="U246" s="5">
        <v>0.22</v>
      </c>
      <c r="V246" s="5">
        <v>0.16</v>
      </c>
      <c r="W246" s="5">
        <v>0</v>
      </c>
      <c r="X246" s="5">
        <v>372</v>
      </c>
      <c r="Y246" s="5">
        <v>350</v>
      </c>
      <c r="Z246" s="5">
        <v>90</v>
      </c>
      <c r="AA246" s="5">
        <v>30</v>
      </c>
      <c r="AB246" s="5">
        <v>6</v>
      </c>
      <c r="AC246" s="5">
        <v>1.6</v>
      </c>
      <c r="AD246" s="5">
        <v>0</v>
      </c>
      <c r="AE246" s="5">
        <v>8</v>
      </c>
      <c r="AF246" s="5">
        <v>0</v>
      </c>
      <c r="AG246" s="5">
        <v>0</v>
      </c>
      <c r="AH246" s="4" t="s">
        <v>77</v>
      </c>
      <c r="AI246" s="4" t="s">
        <v>65</v>
      </c>
      <c r="AJ246" s="4" t="s">
        <v>65</v>
      </c>
    </row>
    <row r="247" spans="1:36" ht="41.25" customHeight="1" x14ac:dyDescent="0.2">
      <c r="A247" s="3">
        <v>1510</v>
      </c>
      <c r="B247" s="4" t="s">
        <v>891</v>
      </c>
      <c r="C247" s="4" t="s">
        <v>509</v>
      </c>
      <c r="D247" s="4" t="s">
        <v>522</v>
      </c>
      <c r="E247" s="4" t="s">
        <v>781</v>
      </c>
      <c r="F247" s="4" t="s">
        <v>63</v>
      </c>
      <c r="G247" s="4" t="s">
        <v>473</v>
      </c>
      <c r="H247" s="3" t="b">
        <f>FALSE()</f>
        <v>0</v>
      </c>
      <c r="I247" s="3" t="b">
        <f>TRUE()</f>
        <v>1</v>
      </c>
      <c r="J247" s="3" t="b">
        <f>FALSE()</f>
        <v>0</v>
      </c>
      <c r="K247" s="4" t="s">
        <v>65</v>
      </c>
      <c r="L247" s="3">
        <v>100</v>
      </c>
      <c r="M247" s="5">
        <v>98</v>
      </c>
      <c r="N247" s="5">
        <v>11.1</v>
      </c>
      <c r="O247" s="5">
        <v>3.4</v>
      </c>
      <c r="P247" s="5">
        <v>2.6</v>
      </c>
      <c r="Q247" s="5">
        <v>0</v>
      </c>
      <c r="R247" s="5">
        <v>4.3</v>
      </c>
      <c r="S247" s="5">
        <v>2.7</v>
      </c>
      <c r="T247" s="5">
        <v>1.2</v>
      </c>
      <c r="U247" s="5">
        <v>0.1</v>
      </c>
      <c r="V247" s="5">
        <v>0</v>
      </c>
      <c r="W247" s="5">
        <v>0</v>
      </c>
      <c r="X247" s="5">
        <v>364</v>
      </c>
      <c r="Y247" s="5">
        <v>104</v>
      </c>
      <c r="Z247" s="5">
        <v>83</v>
      </c>
      <c r="AA247" s="5">
        <v>8</v>
      </c>
      <c r="AB247" s="5">
        <v>0.1</v>
      </c>
      <c r="AC247" s="5">
        <v>0.4</v>
      </c>
      <c r="AD247" s="5">
        <v>0</v>
      </c>
      <c r="AE247" s="5">
        <v>12</v>
      </c>
      <c r="AF247" s="5">
        <v>0</v>
      </c>
      <c r="AG247" s="5">
        <v>0</v>
      </c>
      <c r="AH247" s="4" t="s">
        <v>77</v>
      </c>
      <c r="AI247" s="4" t="s">
        <v>65</v>
      </c>
      <c r="AJ247" s="4" t="s">
        <v>65</v>
      </c>
    </row>
    <row r="248" spans="1:36" ht="54.75" customHeight="1" x14ac:dyDescent="0.2">
      <c r="A248" s="3">
        <v>1511</v>
      </c>
      <c r="B248" s="4" t="s">
        <v>892</v>
      </c>
      <c r="C248" s="4" t="s">
        <v>509</v>
      </c>
      <c r="D248" s="4" t="s">
        <v>893</v>
      </c>
      <c r="E248" s="4" t="s">
        <v>511</v>
      </c>
      <c r="F248" s="4" t="s">
        <v>894</v>
      </c>
      <c r="G248" s="4" t="s">
        <v>603</v>
      </c>
      <c r="H248" s="3" t="b">
        <f>FALSE()</f>
        <v>0</v>
      </c>
      <c r="I248" s="3" t="b">
        <f>TRUE()</f>
        <v>1</v>
      </c>
      <c r="J248" s="3" t="b">
        <f>FALSE()</f>
        <v>0</v>
      </c>
      <c r="K248" s="4" t="s">
        <v>65</v>
      </c>
      <c r="L248" s="3">
        <v>100</v>
      </c>
      <c r="M248" s="5">
        <v>57</v>
      </c>
      <c r="N248" s="5">
        <v>10</v>
      </c>
      <c r="O248" s="5">
        <v>3.9</v>
      </c>
      <c r="P248" s="5">
        <v>3.9</v>
      </c>
      <c r="Q248" s="5">
        <v>0</v>
      </c>
      <c r="R248" s="5">
        <v>0.2</v>
      </c>
      <c r="S248" s="5">
        <v>0.1</v>
      </c>
      <c r="T248" s="5">
        <v>0</v>
      </c>
      <c r="U248" s="5">
        <v>0</v>
      </c>
      <c r="V248" s="5">
        <v>0</v>
      </c>
      <c r="W248" s="5">
        <v>0</v>
      </c>
      <c r="X248" s="5">
        <v>45</v>
      </c>
      <c r="Y248" s="5">
        <v>150</v>
      </c>
      <c r="Z248" s="5">
        <v>120</v>
      </c>
      <c r="AA248" s="5">
        <v>12</v>
      </c>
      <c r="AB248" s="5">
        <v>0</v>
      </c>
      <c r="AC248" s="5">
        <v>0.5</v>
      </c>
      <c r="AD248" s="5">
        <v>0</v>
      </c>
      <c r="AE248" s="5">
        <v>5</v>
      </c>
      <c r="AF248" s="5">
        <v>30</v>
      </c>
      <c r="AG248" s="5">
        <v>1.2</v>
      </c>
      <c r="AH248" s="4" t="s">
        <v>77</v>
      </c>
      <c r="AI248" s="4" t="s">
        <v>65</v>
      </c>
      <c r="AJ248" s="4" t="s">
        <v>65</v>
      </c>
    </row>
    <row r="249" spans="1:36" ht="54.75" customHeight="1" x14ac:dyDescent="0.2">
      <c r="A249" s="3">
        <v>1512</v>
      </c>
      <c r="B249" s="4" t="s">
        <v>896</v>
      </c>
      <c r="C249" s="4" t="s">
        <v>509</v>
      </c>
      <c r="D249" s="4" t="s">
        <v>893</v>
      </c>
      <c r="E249" s="4" t="s">
        <v>897</v>
      </c>
      <c r="F249" s="4" t="s">
        <v>894</v>
      </c>
      <c r="G249" s="4" t="s">
        <v>603</v>
      </c>
      <c r="H249" s="3" t="b">
        <f>FALSE()</f>
        <v>0</v>
      </c>
      <c r="I249" s="3" t="b">
        <f>TRUE()</f>
        <v>1</v>
      </c>
      <c r="J249" s="3" t="b">
        <f>FALSE()</f>
        <v>0</v>
      </c>
      <c r="K249" s="4" t="s">
        <v>65</v>
      </c>
      <c r="L249" s="3">
        <v>100</v>
      </c>
      <c r="M249" s="5">
        <v>65</v>
      </c>
      <c r="N249" s="5">
        <v>10</v>
      </c>
      <c r="O249" s="5">
        <v>5.5</v>
      </c>
      <c r="P249" s="5">
        <v>5.5</v>
      </c>
      <c r="Q249" s="5">
        <v>0</v>
      </c>
      <c r="R249" s="5">
        <v>0.2</v>
      </c>
      <c r="S249" s="5">
        <v>0.1</v>
      </c>
      <c r="T249" s="5">
        <v>0</v>
      </c>
      <c r="U249" s="5">
        <v>0</v>
      </c>
      <c r="V249" s="5">
        <v>0</v>
      </c>
      <c r="W249" s="5">
        <v>0</v>
      </c>
      <c r="X249" s="5">
        <v>45</v>
      </c>
      <c r="Y249" s="5">
        <v>150</v>
      </c>
      <c r="Z249" s="5">
        <v>120</v>
      </c>
      <c r="AA249" s="5">
        <v>12</v>
      </c>
      <c r="AB249" s="5">
        <v>0</v>
      </c>
      <c r="AC249" s="5">
        <v>0.5</v>
      </c>
      <c r="AD249" s="5">
        <v>0</v>
      </c>
      <c r="AE249" s="5">
        <v>5</v>
      </c>
      <c r="AF249" s="5">
        <v>30</v>
      </c>
      <c r="AG249" s="5">
        <v>1.6</v>
      </c>
      <c r="AH249" s="4" t="s">
        <v>77</v>
      </c>
      <c r="AI249" s="4" t="s">
        <v>65</v>
      </c>
      <c r="AJ249" s="4" t="s">
        <v>65</v>
      </c>
    </row>
    <row r="250" spans="1:36" ht="54.75" customHeight="1" x14ac:dyDescent="0.2">
      <c r="A250" s="3">
        <v>1513</v>
      </c>
      <c r="B250" s="4" t="s">
        <v>898</v>
      </c>
      <c r="C250" s="4" t="s">
        <v>509</v>
      </c>
      <c r="D250" s="4" t="s">
        <v>893</v>
      </c>
      <c r="E250" s="4" t="s">
        <v>511</v>
      </c>
      <c r="F250" s="4" t="s">
        <v>899</v>
      </c>
      <c r="G250" s="4" t="s">
        <v>603</v>
      </c>
      <c r="H250" s="3" t="b">
        <f>FALSE()</f>
        <v>0</v>
      </c>
      <c r="I250" s="3" t="b">
        <f>TRUE()</f>
        <v>1</v>
      </c>
      <c r="J250" s="3" t="b">
        <f>FALSE()</f>
        <v>0</v>
      </c>
      <c r="K250" s="4" t="s">
        <v>65</v>
      </c>
      <c r="L250" s="3">
        <v>100</v>
      </c>
      <c r="M250" s="5">
        <v>60</v>
      </c>
      <c r="N250" s="5">
        <v>10</v>
      </c>
      <c r="O250" s="5">
        <v>4</v>
      </c>
      <c r="P250" s="5">
        <v>4</v>
      </c>
      <c r="Q250" s="5">
        <v>0</v>
      </c>
      <c r="R250" s="5">
        <v>0.2</v>
      </c>
      <c r="S250" s="5">
        <v>0.1</v>
      </c>
      <c r="T250" s="5">
        <v>0</v>
      </c>
      <c r="U250" s="5">
        <v>0</v>
      </c>
      <c r="V250" s="5">
        <v>0</v>
      </c>
      <c r="W250" s="5">
        <v>0</v>
      </c>
      <c r="X250" s="5">
        <v>45</v>
      </c>
      <c r="Y250" s="5">
        <v>150</v>
      </c>
      <c r="Z250" s="5">
        <v>130</v>
      </c>
      <c r="AA250" s="5">
        <v>12</v>
      </c>
      <c r="AB250" s="5">
        <v>0</v>
      </c>
      <c r="AC250" s="5">
        <v>0.5</v>
      </c>
      <c r="AD250" s="5">
        <v>0</v>
      </c>
      <c r="AE250" s="5">
        <v>5</v>
      </c>
      <c r="AF250" s="5">
        <v>30</v>
      </c>
      <c r="AG250" s="5">
        <v>1.2</v>
      </c>
      <c r="AH250" s="4" t="s">
        <v>77</v>
      </c>
      <c r="AI250" s="4" t="s">
        <v>65</v>
      </c>
      <c r="AJ250" s="4" t="s">
        <v>65</v>
      </c>
    </row>
    <row r="251" spans="1:36" ht="54.75" customHeight="1" x14ac:dyDescent="0.2">
      <c r="A251" s="3">
        <v>1514</v>
      </c>
      <c r="B251" s="4" t="s">
        <v>900</v>
      </c>
      <c r="C251" s="4" t="s">
        <v>509</v>
      </c>
      <c r="D251" s="4" t="s">
        <v>893</v>
      </c>
      <c r="E251" s="4" t="s">
        <v>897</v>
      </c>
      <c r="F251" s="4" t="s">
        <v>899</v>
      </c>
      <c r="G251" s="4" t="s">
        <v>603</v>
      </c>
      <c r="H251" s="3" t="b">
        <f>FALSE()</f>
        <v>0</v>
      </c>
      <c r="I251" s="3" t="b">
        <f>TRUE()</f>
        <v>1</v>
      </c>
      <c r="J251" s="3" t="b">
        <f>FALSE()</f>
        <v>0</v>
      </c>
      <c r="K251" s="4" t="s">
        <v>65</v>
      </c>
      <c r="L251" s="3">
        <v>100</v>
      </c>
      <c r="M251" s="5">
        <v>85</v>
      </c>
      <c r="N251" s="5">
        <v>10</v>
      </c>
      <c r="O251" s="5">
        <v>8</v>
      </c>
      <c r="P251" s="5">
        <v>7.5</v>
      </c>
      <c r="Q251" s="5">
        <v>0</v>
      </c>
      <c r="R251" s="5">
        <v>1.5</v>
      </c>
      <c r="S251" s="5">
        <v>0.9</v>
      </c>
      <c r="T251" s="5">
        <v>0.3</v>
      </c>
      <c r="U251" s="5">
        <v>0.1</v>
      </c>
      <c r="V251" s="5">
        <v>0</v>
      </c>
      <c r="W251" s="5">
        <v>0</v>
      </c>
      <c r="X251" s="5">
        <v>50</v>
      </c>
      <c r="Y251" s="5">
        <v>160</v>
      </c>
      <c r="Z251" s="5">
        <v>125</v>
      </c>
      <c r="AA251" s="5">
        <v>14</v>
      </c>
      <c r="AB251" s="5">
        <v>0.3</v>
      </c>
      <c r="AC251" s="5">
        <v>0.5</v>
      </c>
      <c r="AD251" s="5">
        <v>0</v>
      </c>
      <c r="AE251" s="5">
        <v>5</v>
      </c>
      <c r="AF251" s="5">
        <v>30</v>
      </c>
      <c r="AG251" s="5">
        <v>2.4</v>
      </c>
      <c r="AH251" s="4" t="s">
        <v>77</v>
      </c>
      <c r="AI251" s="4" t="s">
        <v>65</v>
      </c>
      <c r="AJ251" s="4" t="s">
        <v>65</v>
      </c>
    </row>
    <row r="252" spans="1:36" ht="54.75" customHeight="1" x14ac:dyDescent="0.2">
      <c r="A252" s="3">
        <v>1515</v>
      </c>
      <c r="B252" s="4" t="s">
        <v>901</v>
      </c>
      <c r="C252" s="4" t="s">
        <v>509</v>
      </c>
      <c r="D252" s="4" t="s">
        <v>893</v>
      </c>
      <c r="E252" s="4" t="s">
        <v>511</v>
      </c>
      <c r="F252" s="4" t="s">
        <v>902</v>
      </c>
      <c r="G252" s="4" t="s">
        <v>473</v>
      </c>
      <c r="H252" s="3" t="b">
        <f>FALSE()</f>
        <v>0</v>
      </c>
      <c r="I252" s="3" t="b">
        <f>TRUE()</f>
        <v>1</v>
      </c>
      <c r="J252" s="3" t="b">
        <f>FALSE()</f>
        <v>0</v>
      </c>
      <c r="K252" s="4" t="s">
        <v>65</v>
      </c>
      <c r="L252" s="3">
        <v>100</v>
      </c>
      <c r="M252" s="5">
        <v>63</v>
      </c>
      <c r="N252" s="5">
        <v>11</v>
      </c>
      <c r="O252" s="5">
        <v>4</v>
      </c>
      <c r="P252" s="5">
        <v>4</v>
      </c>
      <c r="Q252" s="5">
        <v>0</v>
      </c>
      <c r="R252" s="5">
        <v>0.2</v>
      </c>
      <c r="S252" s="5">
        <v>0.1</v>
      </c>
      <c r="T252" s="5">
        <v>0</v>
      </c>
      <c r="U252" s="5">
        <v>0</v>
      </c>
      <c r="V252" s="5">
        <v>0</v>
      </c>
      <c r="W252" s="5">
        <v>0</v>
      </c>
      <c r="X252" s="5">
        <v>50</v>
      </c>
      <c r="Y252" s="5">
        <v>160</v>
      </c>
      <c r="Z252" s="5">
        <v>150</v>
      </c>
      <c r="AA252" s="5">
        <v>12</v>
      </c>
      <c r="AB252" s="5">
        <v>0</v>
      </c>
      <c r="AC252" s="5">
        <v>0.6</v>
      </c>
      <c r="AD252" s="5">
        <v>0</v>
      </c>
      <c r="AE252" s="5">
        <v>5</v>
      </c>
      <c r="AF252" s="5">
        <v>30</v>
      </c>
      <c r="AG252" s="5">
        <v>1.2</v>
      </c>
      <c r="AH252" s="4" t="s">
        <v>77</v>
      </c>
      <c r="AI252" s="4" t="s">
        <v>65</v>
      </c>
      <c r="AJ252" s="4" t="s">
        <v>65</v>
      </c>
    </row>
    <row r="253" spans="1:36" ht="54.75" customHeight="1" x14ac:dyDescent="0.2">
      <c r="A253" s="3">
        <v>1516</v>
      </c>
      <c r="B253" s="4" t="s">
        <v>903</v>
      </c>
      <c r="C253" s="4" t="s">
        <v>509</v>
      </c>
      <c r="D253" s="4" t="s">
        <v>893</v>
      </c>
      <c r="E253" s="4" t="s">
        <v>511</v>
      </c>
      <c r="F253" s="4" t="s">
        <v>904</v>
      </c>
      <c r="G253" s="4" t="s">
        <v>603</v>
      </c>
      <c r="H253" s="3" t="b">
        <f>FALSE()</f>
        <v>0</v>
      </c>
      <c r="I253" s="3" t="b">
        <f>TRUE()</f>
        <v>1</v>
      </c>
      <c r="J253" s="3" t="b">
        <f>FALSE()</f>
        <v>0</v>
      </c>
      <c r="K253" s="4" t="s">
        <v>65</v>
      </c>
      <c r="L253" s="3">
        <v>100</v>
      </c>
      <c r="M253" s="5">
        <v>62</v>
      </c>
      <c r="N253" s="5">
        <v>10</v>
      </c>
      <c r="O253" s="5">
        <v>4.5</v>
      </c>
      <c r="P253" s="5">
        <v>4.5</v>
      </c>
      <c r="Q253" s="5">
        <v>0</v>
      </c>
      <c r="R253" s="5">
        <v>1</v>
      </c>
      <c r="S253" s="5">
        <v>0.6</v>
      </c>
      <c r="T253" s="5">
        <v>0.2</v>
      </c>
      <c r="U253" s="5">
        <v>0.1</v>
      </c>
      <c r="V253" s="5">
        <v>0</v>
      </c>
      <c r="W253" s="5">
        <v>0</v>
      </c>
      <c r="X253" s="5">
        <v>48</v>
      </c>
      <c r="Y253" s="5">
        <v>150</v>
      </c>
      <c r="Z253" s="5">
        <v>125</v>
      </c>
      <c r="AA253" s="5">
        <v>12</v>
      </c>
      <c r="AB253" s="5">
        <v>0</v>
      </c>
      <c r="AC253" s="5">
        <v>0.5</v>
      </c>
      <c r="AD253" s="5">
        <v>0</v>
      </c>
      <c r="AE253" s="5">
        <v>5</v>
      </c>
      <c r="AF253" s="5">
        <v>30</v>
      </c>
      <c r="AG253" s="5">
        <v>1.4</v>
      </c>
      <c r="AH253" s="4" t="s">
        <v>77</v>
      </c>
      <c r="AI253" s="4" t="s">
        <v>65</v>
      </c>
      <c r="AJ253" s="4" t="s">
        <v>65</v>
      </c>
    </row>
    <row r="254" spans="1:36" ht="54.75" customHeight="1" x14ac:dyDescent="0.2">
      <c r="A254" s="3">
        <v>1517</v>
      </c>
      <c r="B254" s="4" t="s">
        <v>905</v>
      </c>
      <c r="C254" s="4" t="s">
        <v>509</v>
      </c>
      <c r="D254" s="4" t="s">
        <v>893</v>
      </c>
      <c r="E254" s="4" t="s">
        <v>511</v>
      </c>
      <c r="F254" s="4" t="s">
        <v>906</v>
      </c>
      <c r="G254" s="4" t="s">
        <v>603</v>
      </c>
      <c r="H254" s="3" t="b">
        <f>FALSE()</f>
        <v>0</v>
      </c>
      <c r="I254" s="3" t="b">
        <f>FALSE()</f>
        <v>0</v>
      </c>
      <c r="J254" s="3" t="b">
        <f>FALSE()</f>
        <v>0</v>
      </c>
      <c r="K254" s="4" t="s">
        <v>65</v>
      </c>
      <c r="L254" s="3">
        <v>100</v>
      </c>
      <c r="M254" s="5">
        <v>60</v>
      </c>
      <c r="N254" s="5">
        <v>10</v>
      </c>
      <c r="O254" s="5">
        <v>4</v>
      </c>
      <c r="P254" s="5">
        <v>4</v>
      </c>
      <c r="Q254" s="5">
        <v>0</v>
      </c>
      <c r="R254" s="5">
        <v>1.5</v>
      </c>
      <c r="S254" s="5">
        <v>0.9</v>
      </c>
      <c r="T254" s="5">
        <v>0.3</v>
      </c>
      <c r="U254" s="5">
        <v>0.1</v>
      </c>
      <c r="V254" s="5">
        <v>0</v>
      </c>
      <c r="W254" s="5">
        <v>0</v>
      </c>
      <c r="X254" s="5">
        <v>48</v>
      </c>
      <c r="Y254" s="5">
        <v>150</v>
      </c>
      <c r="Z254" s="5">
        <v>125</v>
      </c>
      <c r="AA254" s="5">
        <v>12</v>
      </c>
      <c r="AB254" s="5">
        <v>0</v>
      </c>
      <c r="AC254" s="5">
        <v>0.5</v>
      </c>
      <c r="AD254" s="5">
        <v>0</v>
      </c>
      <c r="AE254" s="5">
        <v>5</v>
      </c>
      <c r="AF254" s="5">
        <v>30</v>
      </c>
      <c r="AG254" s="5">
        <v>1.2</v>
      </c>
      <c r="AH254" s="4" t="s">
        <v>77</v>
      </c>
      <c r="AI254" s="4" t="s">
        <v>65</v>
      </c>
      <c r="AJ254" s="4" t="s">
        <v>65</v>
      </c>
    </row>
    <row r="255" spans="1:36" ht="15" customHeight="1" x14ac:dyDescent="0.2">
      <c r="A255">
        <v>1518</v>
      </c>
      <c r="B255" t="s">
        <v>1044</v>
      </c>
      <c r="C255" t="s">
        <v>690</v>
      </c>
      <c r="D255" t="s">
        <v>1045</v>
      </c>
      <c r="E255" t="s">
        <v>692</v>
      </c>
      <c r="F255" t="s">
        <v>63</v>
      </c>
      <c r="G255" t="s">
        <v>473</v>
      </c>
      <c r="H255" t="b">
        <f>FALSE()</f>
        <v>0</v>
      </c>
      <c r="I255" t="b">
        <f>FALSE()</f>
        <v>0</v>
      </c>
      <c r="J255" t="b">
        <f>FALSE()</f>
        <v>0</v>
      </c>
      <c r="K255" t="s">
        <v>126</v>
      </c>
      <c r="L255">
        <v>100</v>
      </c>
      <c r="M255">
        <v>105</v>
      </c>
      <c r="N255">
        <v>6.5</v>
      </c>
      <c r="O255">
        <v>6</v>
      </c>
      <c r="P255">
        <v>4</v>
      </c>
      <c r="Q255">
        <v>0</v>
      </c>
      <c r="R255">
        <v>6</v>
      </c>
      <c r="S255">
        <v>2</v>
      </c>
      <c r="T255">
        <v>2.5</v>
      </c>
      <c r="U255">
        <v>0.8</v>
      </c>
      <c r="V255">
        <v>0</v>
      </c>
      <c r="W255">
        <v>0.5</v>
      </c>
      <c r="X255">
        <v>380</v>
      </c>
      <c r="Y255">
        <v>250</v>
      </c>
      <c r="Z255">
        <v>20</v>
      </c>
      <c r="AA255">
        <v>15</v>
      </c>
      <c r="AB255">
        <v>1</v>
      </c>
      <c r="AC255">
        <v>1.2</v>
      </c>
      <c r="AD255">
        <v>4</v>
      </c>
      <c r="AE255">
        <v>10</v>
      </c>
      <c r="AF255">
        <v>30</v>
      </c>
      <c r="AG255">
        <v>1.8</v>
      </c>
      <c r="AH255" t="s">
        <v>77</v>
      </c>
      <c r="AI255" t="s">
        <v>65</v>
      </c>
      <c r="AJ255" t="s">
        <v>87</v>
      </c>
    </row>
    <row r="256" spans="1:36" ht="15" customHeight="1" x14ac:dyDescent="0.2">
      <c r="A256">
        <v>1521</v>
      </c>
      <c r="B256" t="s">
        <v>1049</v>
      </c>
      <c r="C256" t="s">
        <v>690</v>
      </c>
      <c r="D256" t="s">
        <v>696</v>
      </c>
      <c r="E256" t="s">
        <v>686</v>
      </c>
      <c r="F256" t="s">
        <v>63</v>
      </c>
      <c r="G256" t="s">
        <v>473</v>
      </c>
      <c r="H256" t="b">
        <f>FALSE()</f>
        <v>0</v>
      </c>
      <c r="I256" t="b">
        <f>TRUE()</f>
        <v>1</v>
      </c>
      <c r="J256" t="b">
        <f>FALSE()</f>
        <v>0</v>
      </c>
      <c r="K256" t="s">
        <v>87</v>
      </c>
      <c r="L256">
        <v>100</v>
      </c>
      <c r="M256">
        <v>460</v>
      </c>
      <c r="N256">
        <v>4.5</v>
      </c>
      <c r="O256">
        <v>5</v>
      </c>
      <c r="P256">
        <v>1.5</v>
      </c>
      <c r="Q256">
        <v>0</v>
      </c>
      <c r="R256">
        <v>46</v>
      </c>
      <c r="S256">
        <v>7</v>
      </c>
      <c r="T256">
        <v>25</v>
      </c>
      <c r="U256">
        <v>12</v>
      </c>
      <c r="V256">
        <v>0</v>
      </c>
      <c r="W256">
        <v>0.5</v>
      </c>
      <c r="X256">
        <v>700</v>
      </c>
      <c r="Y256">
        <v>250</v>
      </c>
      <c r="Z256">
        <v>180</v>
      </c>
      <c r="AA256">
        <v>40</v>
      </c>
      <c r="AB256">
        <v>1.5</v>
      </c>
      <c r="AC256">
        <v>0.8</v>
      </c>
      <c r="AD256">
        <v>5</v>
      </c>
      <c r="AE256">
        <v>30</v>
      </c>
      <c r="AF256">
        <v>0</v>
      </c>
      <c r="AG256">
        <v>0</v>
      </c>
      <c r="AH256" t="s">
        <v>77</v>
      </c>
      <c r="AI256" t="s">
        <v>65</v>
      </c>
      <c r="AJ256" t="s">
        <v>65</v>
      </c>
    </row>
    <row r="257" spans="1:36" ht="15" customHeight="1" x14ac:dyDescent="0.2">
      <c r="A257">
        <v>1524</v>
      </c>
      <c r="B257" t="s">
        <v>1052</v>
      </c>
      <c r="C257" t="s">
        <v>710</v>
      </c>
      <c r="D257" t="s">
        <v>1053</v>
      </c>
      <c r="E257" t="s">
        <v>562</v>
      </c>
      <c r="F257" t="s">
        <v>63</v>
      </c>
      <c r="G257" t="s">
        <v>603</v>
      </c>
      <c r="H257" t="b">
        <f>FALSE()</f>
        <v>0</v>
      </c>
      <c r="I257" t="b">
        <f>FALSE()</f>
        <v>0</v>
      </c>
      <c r="J257" t="b">
        <f>TRUE()</f>
        <v>1</v>
      </c>
      <c r="K257" t="s">
        <v>65</v>
      </c>
      <c r="L257">
        <v>100</v>
      </c>
      <c r="M257">
        <v>42</v>
      </c>
      <c r="N257">
        <v>0</v>
      </c>
      <c r="O257">
        <v>10.6</v>
      </c>
      <c r="P257">
        <v>10.6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4</v>
      </c>
      <c r="Y257">
        <v>2</v>
      </c>
      <c r="Z257">
        <v>5</v>
      </c>
      <c r="AA257">
        <v>1</v>
      </c>
      <c r="AB257">
        <v>0</v>
      </c>
      <c r="AC257">
        <v>0</v>
      </c>
      <c r="AD257">
        <v>0</v>
      </c>
      <c r="AE257">
        <v>0</v>
      </c>
      <c r="AF257">
        <v>63</v>
      </c>
      <c r="AG257">
        <v>6.7</v>
      </c>
      <c r="AH257" t="s">
        <v>77</v>
      </c>
      <c r="AI257" t="s">
        <v>65</v>
      </c>
      <c r="AJ257" t="s">
        <v>65</v>
      </c>
    </row>
    <row r="258" spans="1:36" ht="15" customHeight="1" x14ac:dyDescent="0.2">
      <c r="A258">
        <v>1527</v>
      </c>
      <c r="B258" t="s">
        <v>1056</v>
      </c>
      <c r="C258" t="s">
        <v>710</v>
      </c>
      <c r="D258" t="s">
        <v>1057</v>
      </c>
      <c r="E258" t="s">
        <v>562</v>
      </c>
      <c r="F258" t="s">
        <v>63</v>
      </c>
      <c r="G258" t="s">
        <v>603</v>
      </c>
      <c r="H258" t="b">
        <f>FALSE()</f>
        <v>0</v>
      </c>
      <c r="I258" t="b">
        <f>FALSE()</f>
        <v>0</v>
      </c>
      <c r="J258" t="b">
        <f>TRUE()</f>
        <v>1</v>
      </c>
      <c r="K258" t="s">
        <v>65</v>
      </c>
      <c r="L258">
        <v>100</v>
      </c>
      <c r="M258">
        <v>0.3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5</v>
      </c>
      <c r="Y258">
        <v>2</v>
      </c>
      <c r="Z258">
        <v>5</v>
      </c>
      <c r="AA258">
        <v>1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 t="s">
        <v>77</v>
      </c>
      <c r="AI258" t="s">
        <v>65</v>
      </c>
      <c r="AJ258" t="s">
        <v>65</v>
      </c>
    </row>
    <row r="259" spans="1:36" ht="15" customHeight="1" x14ac:dyDescent="0.2">
      <c r="A259">
        <v>1530</v>
      </c>
      <c r="B259" t="s">
        <v>1060</v>
      </c>
      <c r="C259" t="s">
        <v>710</v>
      </c>
      <c r="D259" t="s">
        <v>1053</v>
      </c>
      <c r="E259" t="s">
        <v>562</v>
      </c>
      <c r="F259" t="s">
        <v>63</v>
      </c>
      <c r="G259" t="s">
        <v>603</v>
      </c>
      <c r="H259" t="b">
        <f>FALSE()</f>
        <v>0</v>
      </c>
      <c r="I259" t="b">
        <f>FALSE()</f>
        <v>0</v>
      </c>
      <c r="J259" t="b">
        <f>TRUE()</f>
        <v>1</v>
      </c>
      <c r="K259" t="s">
        <v>65</v>
      </c>
      <c r="L259">
        <v>100</v>
      </c>
      <c r="M259">
        <v>45</v>
      </c>
      <c r="N259">
        <v>0</v>
      </c>
      <c r="O259">
        <v>11</v>
      </c>
      <c r="P259">
        <v>11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9</v>
      </c>
      <c r="Y259">
        <v>2</v>
      </c>
      <c r="Z259">
        <v>5</v>
      </c>
      <c r="AA259">
        <v>1</v>
      </c>
      <c r="AB259">
        <v>0</v>
      </c>
      <c r="AC259">
        <v>0</v>
      </c>
      <c r="AD259">
        <v>2</v>
      </c>
      <c r="AE259">
        <v>0</v>
      </c>
      <c r="AF259">
        <v>60</v>
      </c>
      <c r="AG259">
        <v>6.6</v>
      </c>
      <c r="AH259" t="s">
        <v>77</v>
      </c>
      <c r="AI259" t="s">
        <v>65</v>
      </c>
      <c r="AJ259" t="s">
        <v>65</v>
      </c>
    </row>
    <row r="260" spans="1:36" ht="15" customHeight="1" x14ac:dyDescent="0.2">
      <c r="A260">
        <v>1536</v>
      </c>
      <c r="B260" t="s">
        <v>1066</v>
      </c>
      <c r="C260" t="s">
        <v>710</v>
      </c>
      <c r="D260" t="s">
        <v>1053</v>
      </c>
      <c r="E260" t="s">
        <v>562</v>
      </c>
      <c r="F260" t="s">
        <v>63</v>
      </c>
      <c r="G260" t="s">
        <v>603</v>
      </c>
      <c r="H260" t="b">
        <f>FALSE()</f>
        <v>0</v>
      </c>
      <c r="I260" t="b">
        <f>FALSE()</f>
        <v>0</v>
      </c>
      <c r="J260" t="b">
        <f>TRUE()</f>
        <v>1</v>
      </c>
      <c r="K260" t="s">
        <v>65</v>
      </c>
      <c r="L260">
        <v>100</v>
      </c>
      <c r="M260">
        <v>34</v>
      </c>
      <c r="N260">
        <v>0</v>
      </c>
      <c r="O260">
        <v>8.5</v>
      </c>
      <c r="P260">
        <v>8.5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8</v>
      </c>
      <c r="Y260">
        <v>2</v>
      </c>
      <c r="Z260">
        <v>5</v>
      </c>
      <c r="AA260">
        <v>1</v>
      </c>
      <c r="AB260">
        <v>0</v>
      </c>
      <c r="AC260">
        <v>0</v>
      </c>
      <c r="AD260">
        <v>0</v>
      </c>
      <c r="AE260">
        <v>0</v>
      </c>
      <c r="AF260">
        <v>60</v>
      </c>
      <c r="AG260">
        <v>5.0999999999999996</v>
      </c>
      <c r="AH260" t="s">
        <v>77</v>
      </c>
      <c r="AI260" t="s">
        <v>65</v>
      </c>
      <c r="AJ260" t="s">
        <v>65</v>
      </c>
    </row>
    <row r="261" spans="1:36" ht="15" customHeight="1" x14ac:dyDescent="0.2">
      <c r="A261">
        <v>1539</v>
      </c>
      <c r="B261" t="s">
        <v>1069</v>
      </c>
      <c r="C261" t="s">
        <v>527</v>
      </c>
      <c r="D261" t="s">
        <v>1070</v>
      </c>
      <c r="E261" t="s">
        <v>686</v>
      </c>
      <c r="F261" t="s">
        <v>63</v>
      </c>
      <c r="G261" t="s">
        <v>473</v>
      </c>
      <c r="H261" t="b">
        <f>FALSE()</f>
        <v>0</v>
      </c>
      <c r="I261" t="b">
        <f>FALSE()</f>
        <v>0</v>
      </c>
      <c r="J261" t="b">
        <f>TRUE()</f>
        <v>1</v>
      </c>
      <c r="K261" t="s">
        <v>87</v>
      </c>
      <c r="L261">
        <v>100</v>
      </c>
      <c r="M261">
        <v>42</v>
      </c>
      <c r="N261">
        <v>1</v>
      </c>
      <c r="O261">
        <v>4.5</v>
      </c>
      <c r="P261">
        <v>3.5</v>
      </c>
      <c r="Q261">
        <v>0</v>
      </c>
      <c r="R261">
        <v>2.2000000000000002</v>
      </c>
      <c r="S261">
        <v>0.3</v>
      </c>
      <c r="T261">
        <v>1.7</v>
      </c>
      <c r="U261">
        <v>0.2</v>
      </c>
      <c r="V261">
        <v>0</v>
      </c>
      <c r="W261">
        <v>1</v>
      </c>
      <c r="X261">
        <v>220</v>
      </c>
      <c r="Y261">
        <v>220</v>
      </c>
      <c r="Z261">
        <v>15</v>
      </c>
      <c r="AA261">
        <v>12</v>
      </c>
      <c r="AB261">
        <v>0.4</v>
      </c>
      <c r="AC261">
        <v>0.2</v>
      </c>
      <c r="AD261">
        <v>15</v>
      </c>
      <c r="AE261">
        <v>15</v>
      </c>
      <c r="AF261">
        <v>35</v>
      </c>
      <c r="AG261">
        <v>1.6</v>
      </c>
      <c r="AH261" t="s">
        <v>66</v>
      </c>
      <c r="AI261" t="s">
        <v>87</v>
      </c>
      <c r="AJ261" t="s">
        <v>65</v>
      </c>
    </row>
    <row r="262" spans="1:36" ht="15" customHeight="1" x14ac:dyDescent="0.2">
      <c r="A262">
        <v>1542</v>
      </c>
      <c r="B262" t="s">
        <v>1073</v>
      </c>
      <c r="C262" t="s">
        <v>527</v>
      </c>
      <c r="D262" t="s">
        <v>1070</v>
      </c>
      <c r="E262" t="s">
        <v>686</v>
      </c>
      <c r="F262" t="s">
        <v>63</v>
      </c>
      <c r="G262" t="s">
        <v>473</v>
      </c>
      <c r="H262" t="b">
        <f>TRUE()</f>
        <v>1</v>
      </c>
      <c r="I262" t="b">
        <f>FALSE()</f>
        <v>0</v>
      </c>
      <c r="J262" t="b">
        <f>FALSE()</f>
        <v>0</v>
      </c>
      <c r="K262" t="s">
        <v>87</v>
      </c>
      <c r="L262">
        <v>100</v>
      </c>
      <c r="M262">
        <v>95</v>
      </c>
      <c r="N262">
        <v>2</v>
      </c>
      <c r="O262">
        <v>8</v>
      </c>
      <c r="P262">
        <v>4</v>
      </c>
      <c r="Q262">
        <v>0</v>
      </c>
      <c r="R262">
        <v>6</v>
      </c>
      <c r="S262">
        <v>1</v>
      </c>
      <c r="T262">
        <v>4.5</v>
      </c>
      <c r="U262">
        <v>0.5</v>
      </c>
      <c r="V262">
        <v>0</v>
      </c>
      <c r="W262">
        <v>1.2</v>
      </c>
      <c r="X262">
        <v>280</v>
      </c>
      <c r="Y262">
        <v>180</v>
      </c>
      <c r="Z262">
        <v>15</v>
      </c>
      <c r="AA262">
        <v>10</v>
      </c>
      <c r="AB262">
        <v>0.5</v>
      </c>
      <c r="AC262">
        <v>0.3</v>
      </c>
      <c r="AD262">
        <v>10</v>
      </c>
      <c r="AE262">
        <v>12</v>
      </c>
      <c r="AF262">
        <v>40</v>
      </c>
      <c r="AG262">
        <v>3.2</v>
      </c>
      <c r="AH262" t="s">
        <v>66</v>
      </c>
      <c r="AI262" t="s">
        <v>87</v>
      </c>
      <c r="AJ262" t="s">
        <v>65</v>
      </c>
    </row>
    <row r="263" spans="1:36" ht="15" customHeight="1" x14ac:dyDescent="0.2">
      <c r="A263">
        <v>1545</v>
      </c>
      <c r="B263" t="s">
        <v>1076</v>
      </c>
      <c r="C263" t="s">
        <v>527</v>
      </c>
      <c r="D263" t="s">
        <v>1077</v>
      </c>
      <c r="E263" t="s">
        <v>541</v>
      </c>
      <c r="F263" t="s">
        <v>63</v>
      </c>
      <c r="G263" t="s">
        <v>473</v>
      </c>
      <c r="H263" t="b">
        <f>TRUE()</f>
        <v>1</v>
      </c>
      <c r="I263" t="b">
        <f>TRUE()</f>
        <v>1</v>
      </c>
      <c r="J263" t="b">
        <f>FALSE()</f>
        <v>0</v>
      </c>
      <c r="K263" t="s">
        <v>87</v>
      </c>
      <c r="L263">
        <v>100</v>
      </c>
      <c r="M263">
        <v>155</v>
      </c>
      <c r="N263">
        <v>9</v>
      </c>
      <c r="O263">
        <v>14</v>
      </c>
      <c r="P263">
        <v>3</v>
      </c>
      <c r="Q263">
        <v>0</v>
      </c>
      <c r="R263">
        <v>7</v>
      </c>
      <c r="S263">
        <v>3</v>
      </c>
      <c r="T263">
        <v>2.5</v>
      </c>
      <c r="U263">
        <v>1</v>
      </c>
      <c r="V263">
        <v>0</v>
      </c>
      <c r="W263">
        <v>1.2</v>
      </c>
      <c r="X263">
        <v>380</v>
      </c>
      <c r="Y263">
        <v>220</v>
      </c>
      <c r="Z263">
        <v>110</v>
      </c>
      <c r="AA263">
        <v>20</v>
      </c>
      <c r="AB263">
        <v>0.8</v>
      </c>
      <c r="AC263">
        <v>0.9</v>
      </c>
      <c r="AD263">
        <v>3</v>
      </c>
      <c r="AE263">
        <v>20</v>
      </c>
      <c r="AF263">
        <v>55</v>
      </c>
      <c r="AG263">
        <v>7.7</v>
      </c>
      <c r="AH263" t="s">
        <v>66</v>
      </c>
      <c r="AI263" t="s">
        <v>87</v>
      </c>
      <c r="AJ263" t="s">
        <v>87</v>
      </c>
    </row>
    <row r="264" spans="1:36" ht="15" customHeight="1" x14ac:dyDescent="0.2">
      <c r="A264">
        <v>1548</v>
      </c>
      <c r="B264" t="s">
        <v>1080</v>
      </c>
      <c r="C264" t="s">
        <v>527</v>
      </c>
      <c r="D264" t="s">
        <v>1077</v>
      </c>
      <c r="E264" t="s">
        <v>541</v>
      </c>
      <c r="F264" t="s">
        <v>63</v>
      </c>
      <c r="G264" t="s">
        <v>473</v>
      </c>
      <c r="H264" t="b">
        <f>TRUE()</f>
        <v>1</v>
      </c>
      <c r="I264" t="b">
        <f>TRUE()</f>
        <v>1</v>
      </c>
      <c r="J264" t="b">
        <f>FALSE()</f>
        <v>0</v>
      </c>
      <c r="K264" t="s">
        <v>87</v>
      </c>
      <c r="L264">
        <v>100</v>
      </c>
      <c r="M264">
        <v>140</v>
      </c>
      <c r="N264">
        <v>6.5</v>
      </c>
      <c r="O264">
        <v>14.5</v>
      </c>
      <c r="P264">
        <v>3.5</v>
      </c>
      <c r="Q264">
        <v>0</v>
      </c>
      <c r="R264">
        <v>6.5</v>
      </c>
      <c r="S264">
        <v>3.2</v>
      </c>
      <c r="T264">
        <v>2</v>
      </c>
      <c r="U264">
        <v>0.8</v>
      </c>
      <c r="V264">
        <v>0</v>
      </c>
      <c r="W264">
        <v>2</v>
      </c>
      <c r="X264">
        <v>340</v>
      </c>
      <c r="Y264">
        <v>260</v>
      </c>
      <c r="Z264">
        <v>130</v>
      </c>
      <c r="AA264">
        <v>25</v>
      </c>
      <c r="AB264">
        <v>1.2</v>
      </c>
      <c r="AC264">
        <v>0.7</v>
      </c>
      <c r="AD264">
        <v>6</v>
      </c>
      <c r="AE264">
        <v>45</v>
      </c>
      <c r="AF264">
        <v>55</v>
      </c>
      <c r="AG264">
        <v>8</v>
      </c>
      <c r="AH264" t="s">
        <v>66</v>
      </c>
      <c r="AI264" t="s">
        <v>87</v>
      </c>
      <c r="AJ264" t="s">
        <v>87</v>
      </c>
    </row>
    <row r="265" spans="1:36" ht="15" customHeight="1" x14ac:dyDescent="0.2">
      <c r="A265">
        <v>1551</v>
      </c>
      <c r="B265" t="s">
        <v>1083</v>
      </c>
      <c r="C265" t="s">
        <v>527</v>
      </c>
      <c r="D265" t="s">
        <v>1077</v>
      </c>
      <c r="E265" t="s">
        <v>541</v>
      </c>
      <c r="F265" t="s">
        <v>63</v>
      </c>
      <c r="G265" t="s">
        <v>473</v>
      </c>
      <c r="H265" t="b">
        <f>TRUE()</f>
        <v>1</v>
      </c>
      <c r="I265" t="b">
        <f>TRUE()</f>
        <v>1</v>
      </c>
      <c r="J265" t="b">
        <f>FALSE()</f>
        <v>0</v>
      </c>
      <c r="K265" t="s">
        <v>87</v>
      </c>
      <c r="L265">
        <v>100</v>
      </c>
      <c r="M265">
        <v>150</v>
      </c>
      <c r="N265">
        <v>9.5</v>
      </c>
      <c r="O265">
        <v>13.5</v>
      </c>
      <c r="P265">
        <v>3</v>
      </c>
      <c r="Q265">
        <v>0</v>
      </c>
      <c r="R265">
        <v>6.5</v>
      </c>
      <c r="S265">
        <v>3</v>
      </c>
      <c r="T265">
        <v>2.2000000000000002</v>
      </c>
      <c r="U265">
        <v>0.8</v>
      </c>
      <c r="V265">
        <v>0</v>
      </c>
      <c r="W265">
        <v>1</v>
      </c>
      <c r="X265">
        <v>350</v>
      </c>
      <c r="Y265">
        <v>210</v>
      </c>
      <c r="Z265">
        <v>105</v>
      </c>
      <c r="AA265">
        <v>18</v>
      </c>
      <c r="AB265">
        <v>0.7</v>
      </c>
      <c r="AC265">
        <v>0.9</v>
      </c>
      <c r="AD265">
        <v>2</v>
      </c>
      <c r="AE265">
        <v>18</v>
      </c>
      <c r="AF265">
        <v>55</v>
      </c>
      <c r="AG265">
        <v>7.4</v>
      </c>
      <c r="AH265" t="s">
        <v>66</v>
      </c>
      <c r="AI265" t="s">
        <v>87</v>
      </c>
      <c r="AJ265" t="s">
        <v>87</v>
      </c>
    </row>
    <row r="266" spans="1:36" ht="15" customHeight="1" x14ac:dyDescent="0.2">
      <c r="A266">
        <v>1554</v>
      </c>
      <c r="B266" t="s">
        <v>1086</v>
      </c>
      <c r="C266" t="s">
        <v>527</v>
      </c>
      <c r="D266" t="s">
        <v>1077</v>
      </c>
      <c r="E266" t="s">
        <v>541</v>
      </c>
      <c r="F266" t="s">
        <v>63</v>
      </c>
      <c r="G266" t="s">
        <v>473</v>
      </c>
      <c r="H266" t="b">
        <f>TRUE()</f>
        <v>1</v>
      </c>
      <c r="I266" t="b">
        <f>TRUE()</f>
        <v>1</v>
      </c>
      <c r="J266" t="b">
        <f>FALSE()</f>
        <v>0</v>
      </c>
      <c r="K266" t="s">
        <v>87</v>
      </c>
      <c r="L266">
        <v>100</v>
      </c>
      <c r="M266">
        <v>165</v>
      </c>
      <c r="N266">
        <v>10</v>
      </c>
      <c r="O266">
        <v>13.5</v>
      </c>
      <c r="P266">
        <v>3</v>
      </c>
      <c r="Q266">
        <v>0</v>
      </c>
      <c r="R266">
        <v>8.5</v>
      </c>
      <c r="S266">
        <v>4</v>
      </c>
      <c r="T266">
        <v>3</v>
      </c>
      <c r="U266">
        <v>0.8</v>
      </c>
      <c r="V266">
        <v>0</v>
      </c>
      <c r="W266">
        <v>1</v>
      </c>
      <c r="X266">
        <v>360</v>
      </c>
      <c r="Y266">
        <v>230</v>
      </c>
      <c r="Z266">
        <v>110</v>
      </c>
      <c r="AA266">
        <v>19</v>
      </c>
      <c r="AB266">
        <v>1.3</v>
      </c>
      <c r="AC266">
        <v>1.5</v>
      </c>
      <c r="AD266">
        <v>2</v>
      </c>
      <c r="AE266">
        <v>18</v>
      </c>
      <c r="AF266">
        <v>55</v>
      </c>
      <c r="AG266">
        <v>7.4</v>
      </c>
      <c r="AH266" t="s">
        <v>66</v>
      </c>
      <c r="AI266" t="s">
        <v>87</v>
      </c>
      <c r="AJ266" t="s">
        <v>87</v>
      </c>
    </row>
    <row r="267" spans="1:36" ht="15" customHeight="1" x14ac:dyDescent="0.2">
      <c r="A267">
        <v>1557</v>
      </c>
      <c r="B267" t="s">
        <v>1089</v>
      </c>
      <c r="C267" t="s">
        <v>527</v>
      </c>
      <c r="D267" t="s">
        <v>1077</v>
      </c>
      <c r="E267" t="s">
        <v>541</v>
      </c>
      <c r="F267" t="s">
        <v>63</v>
      </c>
      <c r="G267" t="s">
        <v>473</v>
      </c>
      <c r="H267" t="b">
        <f>TRUE()</f>
        <v>1</v>
      </c>
      <c r="I267" t="b">
        <f>TRUE()</f>
        <v>1</v>
      </c>
      <c r="J267" t="b">
        <f>FALSE()</f>
        <v>0</v>
      </c>
      <c r="K267" t="s">
        <v>87</v>
      </c>
      <c r="L267">
        <v>100</v>
      </c>
      <c r="M267">
        <v>148</v>
      </c>
      <c r="N267">
        <v>8</v>
      </c>
      <c r="O267">
        <v>14</v>
      </c>
      <c r="P267">
        <v>3</v>
      </c>
      <c r="Q267">
        <v>0</v>
      </c>
      <c r="R267">
        <v>6.5</v>
      </c>
      <c r="S267">
        <v>3</v>
      </c>
      <c r="T267">
        <v>2.2000000000000002</v>
      </c>
      <c r="U267">
        <v>0.8</v>
      </c>
      <c r="V267">
        <v>0</v>
      </c>
      <c r="W267">
        <v>1</v>
      </c>
      <c r="X267">
        <v>340</v>
      </c>
      <c r="Y267">
        <v>210</v>
      </c>
      <c r="Z267">
        <v>100</v>
      </c>
      <c r="AA267">
        <v>18</v>
      </c>
      <c r="AB267">
        <v>0.9</v>
      </c>
      <c r="AC267">
        <v>1</v>
      </c>
      <c r="AD267">
        <v>2</v>
      </c>
      <c r="AE267">
        <v>16</v>
      </c>
      <c r="AF267">
        <v>55</v>
      </c>
      <c r="AG267">
        <v>7.7</v>
      </c>
      <c r="AH267" t="s">
        <v>66</v>
      </c>
      <c r="AI267" t="s">
        <v>87</v>
      </c>
      <c r="AJ267" t="s">
        <v>87</v>
      </c>
    </row>
    <row r="268" spans="1:36" ht="15" customHeight="1" x14ac:dyDescent="0.2">
      <c r="A268">
        <v>1560</v>
      </c>
      <c r="B268" t="s">
        <v>1092</v>
      </c>
      <c r="C268" t="s">
        <v>527</v>
      </c>
      <c r="D268" t="s">
        <v>61</v>
      </c>
      <c r="E268" t="s">
        <v>692</v>
      </c>
      <c r="F268" t="s">
        <v>63</v>
      </c>
      <c r="G268" t="s">
        <v>473</v>
      </c>
      <c r="H268" t="b">
        <f>FALSE()</f>
        <v>0</v>
      </c>
      <c r="I268" t="b">
        <f>FALSE()</f>
        <v>0</v>
      </c>
      <c r="J268" t="b">
        <f>FALSE()</f>
        <v>0</v>
      </c>
      <c r="K268" t="s">
        <v>87</v>
      </c>
      <c r="L268">
        <v>100</v>
      </c>
      <c r="M268">
        <v>158</v>
      </c>
      <c r="N268">
        <v>8</v>
      </c>
      <c r="O268">
        <v>22</v>
      </c>
      <c r="P268">
        <v>1</v>
      </c>
      <c r="Q268">
        <v>0</v>
      </c>
      <c r="R268">
        <v>4</v>
      </c>
      <c r="S268">
        <v>0.8</v>
      </c>
      <c r="T268">
        <v>2.2999999999999998</v>
      </c>
      <c r="U268">
        <v>0.6</v>
      </c>
      <c r="V268">
        <v>0</v>
      </c>
      <c r="W268">
        <v>1</v>
      </c>
      <c r="X268">
        <v>320</v>
      </c>
      <c r="Y268">
        <v>180</v>
      </c>
      <c r="Z268">
        <v>25</v>
      </c>
      <c r="AA268">
        <v>20</v>
      </c>
      <c r="AB268">
        <v>1</v>
      </c>
      <c r="AC268">
        <v>0.9</v>
      </c>
      <c r="AD268">
        <v>6</v>
      </c>
      <c r="AE268">
        <v>15</v>
      </c>
      <c r="AF268">
        <v>68</v>
      </c>
      <c r="AG268">
        <v>15</v>
      </c>
      <c r="AH268" t="s">
        <v>66</v>
      </c>
      <c r="AI268" t="s">
        <v>87</v>
      </c>
      <c r="AJ268" t="s">
        <v>87</v>
      </c>
    </row>
    <row r="269" spans="1:36" ht="15" customHeight="1" x14ac:dyDescent="0.2">
      <c r="A269">
        <v>1563</v>
      </c>
      <c r="B269" t="s">
        <v>1095</v>
      </c>
      <c r="C269" t="s">
        <v>527</v>
      </c>
      <c r="D269" t="s">
        <v>61</v>
      </c>
      <c r="E269" t="s">
        <v>541</v>
      </c>
      <c r="F269" t="s">
        <v>63</v>
      </c>
      <c r="G269" t="s">
        <v>473</v>
      </c>
      <c r="H269" t="b">
        <f>FALSE()</f>
        <v>0</v>
      </c>
      <c r="I269" t="b">
        <f>FALSE()</f>
        <v>0</v>
      </c>
      <c r="J269" t="b">
        <f>FALSE()</f>
        <v>0</v>
      </c>
      <c r="K269" t="s">
        <v>87</v>
      </c>
      <c r="L269">
        <v>100</v>
      </c>
      <c r="M269">
        <v>145</v>
      </c>
      <c r="N269">
        <v>6</v>
      </c>
      <c r="O269">
        <v>22</v>
      </c>
      <c r="P269">
        <v>1</v>
      </c>
      <c r="Q269">
        <v>0</v>
      </c>
      <c r="R269">
        <v>3.5</v>
      </c>
      <c r="S269">
        <v>0.7</v>
      </c>
      <c r="T269">
        <v>2</v>
      </c>
      <c r="U269">
        <v>0.5</v>
      </c>
      <c r="V269">
        <v>0</v>
      </c>
      <c r="W269">
        <v>1.2</v>
      </c>
      <c r="X269">
        <v>300</v>
      </c>
      <c r="Y269">
        <v>150</v>
      </c>
      <c r="Z269">
        <v>20</v>
      </c>
      <c r="AA269">
        <v>16</v>
      </c>
      <c r="AB269">
        <v>0.8</v>
      </c>
      <c r="AC269">
        <v>0.7</v>
      </c>
      <c r="AD269">
        <v>3</v>
      </c>
      <c r="AE269">
        <v>12</v>
      </c>
      <c r="AF269">
        <v>70</v>
      </c>
      <c r="AG269">
        <v>15.4</v>
      </c>
      <c r="AH269" t="s">
        <v>66</v>
      </c>
      <c r="AI269" t="s">
        <v>87</v>
      </c>
      <c r="AJ269" t="s">
        <v>87</v>
      </c>
    </row>
    <row r="270" spans="1:36" ht="15" customHeight="1" x14ac:dyDescent="0.2">
      <c r="A270">
        <v>1566</v>
      </c>
      <c r="B270" t="s">
        <v>1098</v>
      </c>
      <c r="C270" t="s">
        <v>472</v>
      </c>
      <c r="D270" t="s">
        <v>1099</v>
      </c>
      <c r="E270" t="s">
        <v>62</v>
      </c>
      <c r="F270" t="s">
        <v>63</v>
      </c>
      <c r="G270" t="s">
        <v>473</v>
      </c>
      <c r="H270" t="b">
        <f>TRUE()</f>
        <v>1</v>
      </c>
      <c r="I270" t="b">
        <f>FALSE()</f>
        <v>0</v>
      </c>
      <c r="J270" t="b">
        <f>FALSE()</f>
        <v>0</v>
      </c>
      <c r="K270" t="s">
        <v>65</v>
      </c>
      <c r="L270">
        <v>100</v>
      </c>
      <c r="M270">
        <v>143</v>
      </c>
      <c r="N270">
        <v>17</v>
      </c>
      <c r="O270">
        <v>1</v>
      </c>
      <c r="P270">
        <v>0.3</v>
      </c>
      <c r="Q270">
        <v>0</v>
      </c>
      <c r="R270">
        <v>8</v>
      </c>
      <c r="S270">
        <v>2.2000000000000002</v>
      </c>
      <c r="T270">
        <v>3.3</v>
      </c>
      <c r="U270">
        <v>1.8</v>
      </c>
      <c r="V270">
        <v>0</v>
      </c>
      <c r="W270">
        <v>0.2</v>
      </c>
      <c r="X270">
        <v>380</v>
      </c>
      <c r="Y270">
        <v>250</v>
      </c>
      <c r="Z270">
        <v>15</v>
      </c>
      <c r="AA270">
        <v>20</v>
      </c>
      <c r="AB270">
        <v>1.5</v>
      </c>
      <c r="AC270">
        <v>2</v>
      </c>
      <c r="AD270">
        <v>0</v>
      </c>
      <c r="AE270">
        <v>10</v>
      </c>
      <c r="AF270">
        <v>0</v>
      </c>
      <c r="AG270">
        <v>0</v>
      </c>
      <c r="AH270" t="s">
        <v>66</v>
      </c>
      <c r="AI270" t="s">
        <v>65</v>
      </c>
      <c r="AJ270" t="s">
        <v>87</v>
      </c>
    </row>
    <row r="271" spans="1:36" ht="15" customHeight="1" x14ac:dyDescent="0.2">
      <c r="A271">
        <v>1569</v>
      </c>
      <c r="B271" t="s">
        <v>1102</v>
      </c>
      <c r="C271" t="s">
        <v>472</v>
      </c>
      <c r="D271" t="s">
        <v>1099</v>
      </c>
      <c r="E271" t="s">
        <v>458</v>
      </c>
      <c r="F271" t="s">
        <v>63</v>
      </c>
      <c r="G271" t="s">
        <v>473</v>
      </c>
      <c r="H271" t="b">
        <f>TRUE()</f>
        <v>1</v>
      </c>
      <c r="I271" t="b">
        <f>FALSE()</f>
        <v>0</v>
      </c>
      <c r="J271" t="b">
        <f>FALSE()</f>
        <v>0</v>
      </c>
      <c r="K271" t="s">
        <v>65</v>
      </c>
      <c r="L271">
        <v>100</v>
      </c>
      <c r="M271">
        <v>160.19999999999999</v>
      </c>
      <c r="N271">
        <v>18.36</v>
      </c>
      <c r="O271">
        <v>1</v>
      </c>
      <c r="P271">
        <v>0.3</v>
      </c>
      <c r="Q271">
        <v>0</v>
      </c>
      <c r="R271">
        <v>8.64</v>
      </c>
      <c r="S271">
        <v>2.38</v>
      </c>
      <c r="T271">
        <v>3.56</v>
      </c>
      <c r="U271">
        <v>1.94</v>
      </c>
      <c r="V271">
        <v>0</v>
      </c>
      <c r="W271">
        <v>0.2</v>
      </c>
      <c r="X271">
        <v>380</v>
      </c>
      <c r="Y271">
        <v>250</v>
      </c>
      <c r="Z271">
        <v>15</v>
      </c>
      <c r="AA271">
        <v>20</v>
      </c>
      <c r="AB271">
        <v>1.5</v>
      </c>
      <c r="AC271">
        <v>2</v>
      </c>
      <c r="AD271">
        <v>0</v>
      </c>
      <c r="AE271">
        <v>10</v>
      </c>
      <c r="AF271">
        <v>0</v>
      </c>
      <c r="AG271">
        <v>0</v>
      </c>
      <c r="AH271" t="s">
        <v>66</v>
      </c>
      <c r="AI271" t="s">
        <v>65</v>
      </c>
      <c r="AJ271" t="s">
        <v>87</v>
      </c>
    </row>
    <row r="272" spans="1:36" ht="15" customHeight="1" x14ac:dyDescent="0.2">
      <c r="A272">
        <v>1572</v>
      </c>
      <c r="B272" t="s">
        <v>1105</v>
      </c>
      <c r="C272" t="s">
        <v>472</v>
      </c>
      <c r="D272" t="s">
        <v>1099</v>
      </c>
      <c r="E272" t="s">
        <v>62</v>
      </c>
      <c r="F272" t="s">
        <v>63</v>
      </c>
      <c r="G272" t="s">
        <v>473</v>
      </c>
      <c r="H272" t="b">
        <f>FALSE()</f>
        <v>0</v>
      </c>
      <c r="I272" t="b">
        <f>FALSE()</f>
        <v>0</v>
      </c>
      <c r="J272" t="b">
        <f>FALSE()</f>
        <v>0</v>
      </c>
      <c r="K272" t="s">
        <v>65</v>
      </c>
      <c r="L272">
        <v>100</v>
      </c>
      <c r="M272">
        <v>215</v>
      </c>
      <c r="N272">
        <v>18</v>
      </c>
      <c r="O272">
        <v>1</v>
      </c>
      <c r="P272">
        <v>0.3</v>
      </c>
      <c r="Q272">
        <v>0</v>
      </c>
      <c r="R272">
        <v>15</v>
      </c>
      <c r="S272">
        <v>6</v>
      </c>
      <c r="T272">
        <v>6.5</v>
      </c>
      <c r="U272">
        <v>0.6</v>
      </c>
      <c r="V272">
        <v>0</v>
      </c>
      <c r="W272">
        <v>0.2</v>
      </c>
      <c r="X272">
        <v>380</v>
      </c>
      <c r="Y272">
        <v>250</v>
      </c>
      <c r="Z272">
        <v>15</v>
      </c>
      <c r="AA272">
        <v>20</v>
      </c>
      <c r="AB272">
        <v>1.5</v>
      </c>
      <c r="AC272">
        <v>2</v>
      </c>
      <c r="AD272">
        <v>0</v>
      </c>
      <c r="AE272">
        <v>10</v>
      </c>
      <c r="AF272">
        <v>0</v>
      </c>
      <c r="AG272">
        <v>0</v>
      </c>
      <c r="AH272" t="s">
        <v>66</v>
      </c>
      <c r="AI272" t="s">
        <v>65</v>
      </c>
      <c r="AJ272" t="s">
        <v>87</v>
      </c>
    </row>
    <row r="273" spans="1:36" ht="15" customHeight="1" x14ac:dyDescent="0.2">
      <c r="A273">
        <v>1575</v>
      </c>
      <c r="B273" t="s">
        <v>1108</v>
      </c>
      <c r="C273" t="s">
        <v>472</v>
      </c>
      <c r="D273" t="s">
        <v>1099</v>
      </c>
      <c r="E273" t="s">
        <v>458</v>
      </c>
      <c r="F273" t="s">
        <v>63</v>
      </c>
      <c r="G273" t="s">
        <v>473</v>
      </c>
      <c r="H273" t="b">
        <f>FALSE()</f>
        <v>0</v>
      </c>
      <c r="I273" t="b">
        <f>FALSE()</f>
        <v>0</v>
      </c>
      <c r="J273" t="b">
        <f>FALSE()</f>
        <v>0</v>
      </c>
      <c r="K273" t="s">
        <v>65</v>
      </c>
      <c r="L273">
        <v>100</v>
      </c>
      <c r="M273">
        <v>240.8</v>
      </c>
      <c r="N273">
        <v>19.440000000000001</v>
      </c>
      <c r="O273">
        <v>1</v>
      </c>
      <c r="P273">
        <v>0.3</v>
      </c>
      <c r="Q273">
        <v>0</v>
      </c>
      <c r="R273">
        <v>16.2</v>
      </c>
      <c r="S273">
        <v>6.48</v>
      </c>
      <c r="T273">
        <v>7.02</v>
      </c>
      <c r="U273">
        <v>0.65</v>
      </c>
      <c r="V273">
        <v>0</v>
      </c>
      <c r="W273">
        <v>0.2</v>
      </c>
      <c r="X273">
        <v>380</v>
      </c>
      <c r="Y273">
        <v>250</v>
      </c>
      <c r="Z273">
        <v>15</v>
      </c>
      <c r="AA273">
        <v>20</v>
      </c>
      <c r="AB273">
        <v>1.5</v>
      </c>
      <c r="AC273">
        <v>2</v>
      </c>
      <c r="AD273">
        <v>0</v>
      </c>
      <c r="AE273">
        <v>10</v>
      </c>
      <c r="AF273">
        <v>0</v>
      </c>
      <c r="AG273">
        <v>0</v>
      </c>
      <c r="AH273" t="s">
        <v>66</v>
      </c>
      <c r="AI273" t="s">
        <v>65</v>
      </c>
      <c r="AJ273" t="s">
        <v>87</v>
      </c>
    </row>
    <row r="274" spans="1:36" ht="15" customHeight="1" x14ac:dyDescent="0.2">
      <c r="A274">
        <v>1578</v>
      </c>
      <c r="B274" t="s">
        <v>1111</v>
      </c>
      <c r="C274" t="s">
        <v>472</v>
      </c>
      <c r="D274" t="s">
        <v>1099</v>
      </c>
      <c r="E274" t="s">
        <v>62</v>
      </c>
      <c r="F274" t="s">
        <v>63</v>
      </c>
      <c r="G274" t="s">
        <v>473</v>
      </c>
      <c r="H274" t="b">
        <f>FALSE()</f>
        <v>0</v>
      </c>
      <c r="I274" t="b">
        <f>FALSE()</f>
        <v>0</v>
      </c>
      <c r="J274" t="b">
        <f>FALSE()</f>
        <v>0</v>
      </c>
      <c r="K274" t="s">
        <v>65</v>
      </c>
      <c r="L274">
        <v>100</v>
      </c>
      <c r="M274">
        <v>210</v>
      </c>
      <c r="N274">
        <v>17</v>
      </c>
      <c r="O274">
        <v>1</v>
      </c>
      <c r="P274">
        <v>0.3</v>
      </c>
      <c r="Q274">
        <v>0</v>
      </c>
      <c r="R274">
        <v>15.5</v>
      </c>
      <c r="S274">
        <v>5.5</v>
      </c>
      <c r="T274">
        <v>7</v>
      </c>
      <c r="U274">
        <v>1.5</v>
      </c>
      <c r="V274">
        <v>0</v>
      </c>
      <c r="W274">
        <v>0.2</v>
      </c>
      <c r="X274">
        <v>380</v>
      </c>
      <c r="Y274">
        <v>250</v>
      </c>
      <c r="Z274">
        <v>15</v>
      </c>
      <c r="AA274">
        <v>20</v>
      </c>
      <c r="AB274">
        <v>1.5</v>
      </c>
      <c r="AC274">
        <v>2</v>
      </c>
      <c r="AD274">
        <v>0</v>
      </c>
      <c r="AE274">
        <v>10</v>
      </c>
      <c r="AF274">
        <v>0</v>
      </c>
      <c r="AG274">
        <v>0</v>
      </c>
      <c r="AH274" t="s">
        <v>66</v>
      </c>
      <c r="AI274" t="s">
        <v>65</v>
      </c>
      <c r="AJ274" t="s">
        <v>87</v>
      </c>
    </row>
    <row r="275" spans="1:36" ht="15" customHeight="1" x14ac:dyDescent="0.2">
      <c r="A275">
        <v>1581</v>
      </c>
      <c r="B275" t="s">
        <v>1114</v>
      </c>
      <c r="C275" t="s">
        <v>472</v>
      </c>
      <c r="D275" t="s">
        <v>1099</v>
      </c>
      <c r="E275" t="s">
        <v>458</v>
      </c>
      <c r="F275" t="s">
        <v>63</v>
      </c>
      <c r="G275" t="s">
        <v>473</v>
      </c>
      <c r="H275" t="b">
        <f>FALSE()</f>
        <v>0</v>
      </c>
      <c r="I275" t="b">
        <f>FALSE()</f>
        <v>0</v>
      </c>
      <c r="J275" t="b">
        <f>FALSE()</f>
        <v>0</v>
      </c>
      <c r="K275" t="s">
        <v>65</v>
      </c>
      <c r="L275">
        <v>100</v>
      </c>
      <c r="M275">
        <v>235.2</v>
      </c>
      <c r="N275">
        <v>18.36</v>
      </c>
      <c r="O275">
        <v>1</v>
      </c>
      <c r="P275">
        <v>0.3</v>
      </c>
      <c r="Q275">
        <v>0</v>
      </c>
      <c r="R275">
        <v>16.739999999999998</v>
      </c>
      <c r="S275">
        <v>5.94</v>
      </c>
      <c r="T275">
        <v>7.56</v>
      </c>
      <c r="U275">
        <v>1.62</v>
      </c>
      <c r="V275">
        <v>0</v>
      </c>
      <c r="W275">
        <v>0.2</v>
      </c>
      <c r="X275">
        <v>380</v>
      </c>
      <c r="Y275">
        <v>250</v>
      </c>
      <c r="Z275">
        <v>15</v>
      </c>
      <c r="AA275">
        <v>20</v>
      </c>
      <c r="AB275">
        <v>1.5</v>
      </c>
      <c r="AC275">
        <v>2</v>
      </c>
      <c r="AD275">
        <v>0</v>
      </c>
      <c r="AE275">
        <v>10</v>
      </c>
      <c r="AF275">
        <v>0</v>
      </c>
      <c r="AG275">
        <v>0</v>
      </c>
      <c r="AH275" t="s">
        <v>66</v>
      </c>
      <c r="AI275" t="s">
        <v>65</v>
      </c>
      <c r="AJ275" t="s">
        <v>87</v>
      </c>
    </row>
    <row r="276" spans="1:36" ht="15" customHeight="1" x14ac:dyDescent="0.2">
      <c r="A276">
        <v>1584</v>
      </c>
      <c r="B276" t="s">
        <v>1117</v>
      </c>
      <c r="C276" t="s">
        <v>472</v>
      </c>
      <c r="D276" t="s">
        <v>1099</v>
      </c>
      <c r="E276" t="s">
        <v>62</v>
      </c>
      <c r="F276" t="s">
        <v>63</v>
      </c>
      <c r="G276" t="s">
        <v>473</v>
      </c>
      <c r="H276" t="b">
        <f>TRUE()</f>
        <v>1</v>
      </c>
      <c r="I276" t="b">
        <f>FALSE()</f>
        <v>0</v>
      </c>
      <c r="J276" t="b">
        <f>FALSE()</f>
        <v>0</v>
      </c>
      <c r="K276" t="s">
        <v>65</v>
      </c>
      <c r="L276">
        <v>100</v>
      </c>
      <c r="M276">
        <v>135</v>
      </c>
      <c r="N276">
        <v>18</v>
      </c>
      <c r="O276">
        <v>1</v>
      </c>
      <c r="P276">
        <v>0.3</v>
      </c>
      <c r="Q276">
        <v>0</v>
      </c>
      <c r="R276">
        <v>6.5</v>
      </c>
      <c r="S276">
        <v>1.8</v>
      </c>
      <c r="T276">
        <v>2.5</v>
      </c>
      <c r="U276">
        <v>1.4</v>
      </c>
      <c r="V276">
        <v>0</v>
      </c>
      <c r="W276">
        <v>0.2</v>
      </c>
      <c r="X276">
        <v>370</v>
      </c>
      <c r="Y276">
        <v>250</v>
      </c>
      <c r="Z276">
        <v>15</v>
      </c>
      <c r="AA276">
        <v>20</v>
      </c>
      <c r="AB276">
        <v>1.5</v>
      </c>
      <c r="AC276">
        <v>2</v>
      </c>
      <c r="AD276">
        <v>0</v>
      </c>
      <c r="AE276">
        <v>10</v>
      </c>
      <c r="AF276">
        <v>0</v>
      </c>
      <c r="AG276">
        <v>0</v>
      </c>
      <c r="AH276" t="s">
        <v>66</v>
      </c>
      <c r="AI276" t="s">
        <v>65</v>
      </c>
      <c r="AJ276" t="s">
        <v>87</v>
      </c>
    </row>
    <row r="277" spans="1:36" ht="15" customHeight="1" x14ac:dyDescent="0.2">
      <c r="A277">
        <v>1587</v>
      </c>
      <c r="B277" t="s">
        <v>1120</v>
      </c>
      <c r="C277" t="s">
        <v>472</v>
      </c>
      <c r="D277" t="s">
        <v>1099</v>
      </c>
      <c r="E277" t="s">
        <v>458</v>
      </c>
      <c r="F277" t="s">
        <v>63</v>
      </c>
      <c r="G277" t="s">
        <v>473</v>
      </c>
      <c r="H277" t="b">
        <f>TRUE()</f>
        <v>1</v>
      </c>
      <c r="I277" t="b">
        <f>FALSE()</f>
        <v>0</v>
      </c>
      <c r="J277" t="b">
        <f>FALSE()</f>
        <v>0</v>
      </c>
      <c r="K277" t="s">
        <v>65</v>
      </c>
      <c r="L277">
        <v>100</v>
      </c>
      <c r="M277">
        <v>151.19999999999999</v>
      </c>
      <c r="N277">
        <v>19.440000000000001</v>
      </c>
      <c r="O277">
        <v>1</v>
      </c>
      <c r="P277">
        <v>0.3</v>
      </c>
      <c r="Q277">
        <v>0</v>
      </c>
      <c r="R277">
        <v>7.02</v>
      </c>
      <c r="S277">
        <v>1.94</v>
      </c>
      <c r="T277">
        <v>2.7</v>
      </c>
      <c r="U277">
        <v>1.51</v>
      </c>
      <c r="V277">
        <v>0</v>
      </c>
      <c r="W277">
        <v>0.2</v>
      </c>
      <c r="X277">
        <v>370</v>
      </c>
      <c r="Y277">
        <v>250</v>
      </c>
      <c r="Z277">
        <v>15</v>
      </c>
      <c r="AA277">
        <v>20</v>
      </c>
      <c r="AB277">
        <v>1.5</v>
      </c>
      <c r="AC277">
        <v>2</v>
      </c>
      <c r="AD277">
        <v>0</v>
      </c>
      <c r="AE277">
        <v>10</v>
      </c>
      <c r="AF277">
        <v>0</v>
      </c>
      <c r="AG277">
        <v>0</v>
      </c>
      <c r="AH277" t="s">
        <v>66</v>
      </c>
      <c r="AI277" t="s">
        <v>65</v>
      </c>
      <c r="AJ277" t="s">
        <v>87</v>
      </c>
    </row>
    <row r="278" spans="1:36" ht="15" customHeight="1" x14ac:dyDescent="0.2">
      <c r="A278">
        <v>1590</v>
      </c>
      <c r="B278" t="s">
        <v>1123</v>
      </c>
      <c r="C278" t="s">
        <v>472</v>
      </c>
      <c r="D278" t="s">
        <v>1099</v>
      </c>
      <c r="E278" t="s">
        <v>62</v>
      </c>
      <c r="F278" t="s">
        <v>63</v>
      </c>
      <c r="G278" t="s">
        <v>473</v>
      </c>
      <c r="H278" t="b">
        <f>TRUE()</f>
        <v>1</v>
      </c>
      <c r="I278" t="b">
        <f>FALSE()</f>
        <v>0</v>
      </c>
      <c r="J278" t="b">
        <f>TRUE()</f>
        <v>1</v>
      </c>
      <c r="K278" t="s">
        <v>65</v>
      </c>
      <c r="L278">
        <v>100</v>
      </c>
      <c r="M278">
        <v>120</v>
      </c>
      <c r="N278">
        <v>5</v>
      </c>
      <c r="O278">
        <v>12</v>
      </c>
      <c r="P278">
        <v>1.5</v>
      </c>
      <c r="Q278">
        <v>0</v>
      </c>
      <c r="R278">
        <v>5.5</v>
      </c>
      <c r="S278">
        <v>0.8</v>
      </c>
      <c r="T278">
        <v>2.5</v>
      </c>
      <c r="U278">
        <v>1.8</v>
      </c>
      <c r="V278">
        <v>0</v>
      </c>
      <c r="W278">
        <v>3</v>
      </c>
      <c r="X278">
        <v>420</v>
      </c>
      <c r="Y278">
        <v>250</v>
      </c>
      <c r="Z278">
        <v>15</v>
      </c>
      <c r="AA278">
        <v>20</v>
      </c>
      <c r="AB278">
        <v>1.5</v>
      </c>
      <c r="AC278">
        <v>2</v>
      </c>
      <c r="AD278">
        <v>0</v>
      </c>
      <c r="AE278">
        <v>10</v>
      </c>
      <c r="AF278">
        <v>0</v>
      </c>
      <c r="AG278">
        <v>0</v>
      </c>
      <c r="AH278" t="s">
        <v>66</v>
      </c>
      <c r="AI278" t="s">
        <v>65</v>
      </c>
      <c r="AJ278" t="s">
        <v>87</v>
      </c>
    </row>
    <row r="279" spans="1:36" ht="15" customHeight="1" x14ac:dyDescent="0.2">
      <c r="A279">
        <v>1593</v>
      </c>
      <c r="B279" t="s">
        <v>1126</v>
      </c>
      <c r="C279" t="s">
        <v>472</v>
      </c>
      <c r="D279" t="s">
        <v>1099</v>
      </c>
      <c r="E279" t="s">
        <v>458</v>
      </c>
      <c r="F279" t="s">
        <v>63</v>
      </c>
      <c r="G279" t="s">
        <v>473</v>
      </c>
      <c r="H279" t="b">
        <f>TRUE()</f>
        <v>1</v>
      </c>
      <c r="I279" t="b">
        <f>FALSE()</f>
        <v>0</v>
      </c>
      <c r="J279" t="b">
        <f>TRUE()</f>
        <v>1</v>
      </c>
      <c r="K279" t="s">
        <v>65</v>
      </c>
      <c r="L279">
        <v>100</v>
      </c>
      <c r="M279">
        <v>134.4</v>
      </c>
      <c r="N279">
        <v>5.4</v>
      </c>
      <c r="O279">
        <v>12</v>
      </c>
      <c r="P279">
        <v>1.5</v>
      </c>
      <c r="Q279">
        <v>0</v>
      </c>
      <c r="R279">
        <v>5.94</v>
      </c>
      <c r="S279">
        <v>0.86</v>
      </c>
      <c r="T279">
        <v>2.7</v>
      </c>
      <c r="U279">
        <v>1.94</v>
      </c>
      <c r="V279">
        <v>0</v>
      </c>
      <c r="W279">
        <v>3</v>
      </c>
      <c r="X279">
        <v>420</v>
      </c>
      <c r="Y279">
        <v>250</v>
      </c>
      <c r="Z279">
        <v>15</v>
      </c>
      <c r="AA279">
        <v>20</v>
      </c>
      <c r="AB279">
        <v>1.5</v>
      </c>
      <c r="AC279">
        <v>2</v>
      </c>
      <c r="AD279">
        <v>0</v>
      </c>
      <c r="AE279">
        <v>10</v>
      </c>
      <c r="AF279">
        <v>0</v>
      </c>
      <c r="AG279">
        <v>0</v>
      </c>
      <c r="AH279" t="s">
        <v>66</v>
      </c>
      <c r="AI279" t="s">
        <v>65</v>
      </c>
      <c r="AJ279" t="s">
        <v>87</v>
      </c>
    </row>
    <row r="280" spans="1:36" ht="15" customHeight="1" x14ac:dyDescent="0.2">
      <c r="A280">
        <v>1596</v>
      </c>
      <c r="B280" t="s">
        <v>1129</v>
      </c>
      <c r="C280" t="s">
        <v>527</v>
      </c>
      <c r="D280" t="s">
        <v>532</v>
      </c>
      <c r="E280" t="s">
        <v>692</v>
      </c>
      <c r="F280" t="s">
        <v>63</v>
      </c>
      <c r="G280" t="s">
        <v>473</v>
      </c>
      <c r="H280" t="b">
        <f>TRUE()</f>
        <v>1</v>
      </c>
      <c r="I280" t="b">
        <f>TRUE()</f>
        <v>1</v>
      </c>
      <c r="J280" t="b">
        <f>FALSE()</f>
        <v>0</v>
      </c>
      <c r="K280" t="s">
        <v>87</v>
      </c>
      <c r="L280">
        <v>100</v>
      </c>
      <c r="M280">
        <v>180</v>
      </c>
      <c r="N280">
        <v>8</v>
      </c>
      <c r="O280">
        <v>22</v>
      </c>
      <c r="P280">
        <v>6</v>
      </c>
      <c r="Q280">
        <v>0</v>
      </c>
      <c r="R280">
        <v>6.5</v>
      </c>
      <c r="S280">
        <v>1.5</v>
      </c>
      <c r="T280">
        <v>2.5</v>
      </c>
      <c r="U280">
        <v>2</v>
      </c>
      <c r="V280">
        <v>0.1</v>
      </c>
      <c r="W280">
        <v>3</v>
      </c>
      <c r="X280">
        <v>150</v>
      </c>
      <c r="Y280">
        <v>150</v>
      </c>
      <c r="Z280">
        <v>60</v>
      </c>
      <c r="AA280">
        <v>30</v>
      </c>
      <c r="AB280">
        <v>1.2</v>
      </c>
      <c r="AC280">
        <v>0.8</v>
      </c>
      <c r="AD280">
        <v>0</v>
      </c>
      <c r="AE280">
        <v>15</v>
      </c>
      <c r="AF280">
        <v>55</v>
      </c>
      <c r="AG280">
        <v>12.1</v>
      </c>
      <c r="AH280" t="s">
        <v>77</v>
      </c>
      <c r="AI280" t="s">
        <v>65</v>
      </c>
      <c r="AJ280" t="s">
        <v>65</v>
      </c>
    </row>
    <row r="281" spans="1:36" ht="15" customHeight="1" x14ac:dyDescent="0.2">
      <c r="A281">
        <v>1599</v>
      </c>
      <c r="B281" t="s">
        <v>1132</v>
      </c>
      <c r="C281" t="s">
        <v>527</v>
      </c>
      <c r="D281" t="s">
        <v>532</v>
      </c>
      <c r="E281" t="s">
        <v>692</v>
      </c>
      <c r="F281" t="s">
        <v>63</v>
      </c>
      <c r="G281" t="s">
        <v>473</v>
      </c>
      <c r="H281" t="b">
        <f>TRUE()</f>
        <v>1</v>
      </c>
      <c r="I281" t="b">
        <f>TRUE()</f>
        <v>1</v>
      </c>
      <c r="J281" t="b">
        <f>FALSE()</f>
        <v>0</v>
      </c>
      <c r="K281" t="s">
        <v>87</v>
      </c>
      <c r="L281">
        <v>100</v>
      </c>
      <c r="M281">
        <v>165</v>
      </c>
      <c r="N281">
        <v>7.5</v>
      </c>
      <c r="O281">
        <v>20</v>
      </c>
      <c r="P281">
        <v>3</v>
      </c>
      <c r="Q281">
        <v>0</v>
      </c>
      <c r="R281">
        <v>5.5</v>
      </c>
      <c r="S281">
        <v>1.3</v>
      </c>
      <c r="T281">
        <v>2.2000000000000002</v>
      </c>
      <c r="U281">
        <v>1.7</v>
      </c>
      <c r="V281">
        <v>0.1</v>
      </c>
      <c r="W281">
        <v>2.8</v>
      </c>
      <c r="X281">
        <v>140</v>
      </c>
      <c r="Y281">
        <v>150</v>
      </c>
      <c r="Z281">
        <v>60</v>
      </c>
      <c r="AA281">
        <v>30</v>
      </c>
      <c r="AB281">
        <v>1.2</v>
      </c>
      <c r="AC281">
        <v>0.8</v>
      </c>
      <c r="AD281">
        <v>0</v>
      </c>
      <c r="AE281">
        <v>15</v>
      </c>
      <c r="AF281">
        <v>55</v>
      </c>
      <c r="AG281">
        <v>11</v>
      </c>
      <c r="AH281" t="s">
        <v>77</v>
      </c>
      <c r="AI281" t="s">
        <v>65</v>
      </c>
      <c r="AJ281" t="s">
        <v>65</v>
      </c>
    </row>
    <row r="282" spans="1:36" ht="15" customHeight="1" x14ac:dyDescent="0.2">
      <c r="A282">
        <v>1602</v>
      </c>
      <c r="B282" t="s">
        <v>1135</v>
      </c>
      <c r="C282" t="s">
        <v>527</v>
      </c>
      <c r="D282" t="s">
        <v>1136</v>
      </c>
      <c r="E282" t="s">
        <v>1137</v>
      </c>
      <c r="F282" t="s">
        <v>63</v>
      </c>
      <c r="G282" t="s">
        <v>473</v>
      </c>
      <c r="H282" t="b">
        <f>FALSE()</f>
        <v>0</v>
      </c>
      <c r="I282" t="b">
        <f>FALSE()</f>
        <v>0</v>
      </c>
      <c r="J282" t="b">
        <f>FALSE()</f>
        <v>0</v>
      </c>
      <c r="K282" t="s">
        <v>87</v>
      </c>
      <c r="L282">
        <v>100</v>
      </c>
      <c r="M282">
        <v>204</v>
      </c>
      <c r="N282">
        <v>20.5</v>
      </c>
      <c r="O282">
        <v>1.5</v>
      </c>
      <c r="P282">
        <v>0.5</v>
      </c>
      <c r="Q282">
        <v>0</v>
      </c>
      <c r="R282">
        <v>12.5</v>
      </c>
      <c r="S282">
        <v>3.8</v>
      </c>
      <c r="T282">
        <v>6.5</v>
      </c>
      <c r="U282">
        <v>1.3</v>
      </c>
      <c r="V282">
        <v>0</v>
      </c>
      <c r="W282">
        <v>0.3</v>
      </c>
      <c r="X282">
        <v>480</v>
      </c>
      <c r="Y282">
        <v>300</v>
      </c>
      <c r="Z282">
        <v>15</v>
      </c>
      <c r="AA282">
        <v>20</v>
      </c>
      <c r="AB282">
        <v>3.2</v>
      </c>
      <c r="AC282">
        <v>4.5</v>
      </c>
      <c r="AD282">
        <v>1.5</v>
      </c>
      <c r="AE282">
        <v>8</v>
      </c>
      <c r="AF282">
        <v>0</v>
      </c>
      <c r="AG282">
        <v>0</v>
      </c>
      <c r="AH282" t="s">
        <v>66</v>
      </c>
      <c r="AI282" t="s">
        <v>65</v>
      </c>
      <c r="AJ282" t="s">
        <v>87</v>
      </c>
    </row>
    <row r="283" spans="1:36" ht="15" customHeight="1" x14ac:dyDescent="0.2">
      <c r="A283">
        <v>1605</v>
      </c>
      <c r="B283" t="s">
        <v>1141</v>
      </c>
      <c r="C283" t="s">
        <v>1142</v>
      </c>
      <c r="D283" t="s">
        <v>1143</v>
      </c>
      <c r="E283" t="s">
        <v>1144</v>
      </c>
      <c r="F283" t="s">
        <v>63</v>
      </c>
      <c r="G283" t="s">
        <v>603</v>
      </c>
      <c r="H283" t="b">
        <f>FALSE()</f>
        <v>0</v>
      </c>
      <c r="I283" t="b">
        <f>TRUE()</f>
        <v>1</v>
      </c>
      <c r="J283" t="b">
        <f>FALSE()</f>
        <v>0</v>
      </c>
      <c r="K283" t="s">
        <v>65</v>
      </c>
      <c r="L283">
        <v>100</v>
      </c>
      <c r="M283">
        <v>390</v>
      </c>
      <c r="N283">
        <v>78</v>
      </c>
      <c r="O283">
        <v>8</v>
      </c>
      <c r="P283">
        <v>5</v>
      </c>
      <c r="Q283">
        <v>3</v>
      </c>
      <c r="R283">
        <v>6.5</v>
      </c>
      <c r="S283">
        <v>4</v>
      </c>
      <c r="T283">
        <v>1.5</v>
      </c>
      <c r="U283">
        <v>0.5</v>
      </c>
      <c r="V283">
        <v>0</v>
      </c>
      <c r="W283">
        <v>1</v>
      </c>
      <c r="X283">
        <v>300</v>
      </c>
      <c r="Y283">
        <v>450</v>
      </c>
      <c r="Z283">
        <v>500</v>
      </c>
      <c r="AA283">
        <v>55</v>
      </c>
      <c r="AB283">
        <v>1</v>
      </c>
      <c r="AC283">
        <v>3</v>
      </c>
      <c r="AD283">
        <v>0</v>
      </c>
      <c r="AE283">
        <v>20</v>
      </c>
      <c r="AF283">
        <v>0</v>
      </c>
      <c r="AG283">
        <v>0</v>
      </c>
      <c r="AH283" t="s">
        <v>77</v>
      </c>
      <c r="AI283" t="s">
        <v>65</v>
      </c>
      <c r="AJ283" t="s">
        <v>65</v>
      </c>
    </row>
    <row r="284" spans="1:36" ht="15" customHeight="1" x14ac:dyDescent="0.2">
      <c r="A284">
        <v>1606</v>
      </c>
      <c r="B284" t="s">
        <v>1146</v>
      </c>
      <c r="C284" t="s">
        <v>527</v>
      </c>
      <c r="D284" t="s">
        <v>1147</v>
      </c>
      <c r="E284" t="s">
        <v>692</v>
      </c>
      <c r="F284" t="s">
        <v>63</v>
      </c>
      <c r="G284" t="s">
        <v>473</v>
      </c>
      <c r="H284" t="b">
        <f>TRUE()</f>
        <v>1</v>
      </c>
      <c r="I284" t="b">
        <f>FALSE()</f>
        <v>0</v>
      </c>
      <c r="J284" t="b">
        <f>FALSE()</f>
        <v>0</v>
      </c>
      <c r="K284" t="s">
        <v>87</v>
      </c>
      <c r="L284">
        <v>100</v>
      </c>
      <c r="M284">
        <v>165</v>
      </c>
      <c r="N284">
        <v>8.5</v>
      </c>
      <c r="O284">
        <v>22</v>
      </c>
      <c r="P284">
        <v>1</v>
      </c>
      <c r="Q284">
        <v>0</v>
      </c>
      <c r="R284">
        <v>5</v>
      </c>
      <c r="S284">
        <v>0.9</v>
      </c>
      <c r="T284">
        <v>2.8</v>
      </c>
      <c r="U284">
        <v>0.8</v>
      </c>
      <c r="V284">
        <v>0</v>
      </c>
      <c r="W284">
        <v>1.2</v>
      </c>
      <c r="X284">
        <v>340</v>
      </c>
      <c r="Y284">
        <v>190</v>
      </c>
      <c r="Z284">
        <v>25</v>
      </c>
      <c r="AA284">
        <v>20</v>
      </c>
      <c r="AB284">
        <v>1.1000000000000001</v>
      </c>
      <c r="AC284">
        <v>1</v>
      </c>
      <c r="AD284">
        <v>4</v>
      </c>
      <c r="AE284">
        <v>15</v>
      </c>
      <c r="AF284">
        <v>65</v>
      </c>
      <c r="AG284">
        <v>14.3</v>
      </c>
      <c r="AH284" t="s">
        <v>66</v>
      </c>
      <c r="AI284" t="s">
        <v>87</v>
      </c>
      <c r="AJ284" t="s">
        <v>87</v>
      </c>
    </row>
    <row r="285" spans="1:36" ht="15" customHeight="1" x14ac:dyDescent="0.2">
      <c r="A285">
        <v>1609</v>
      </c>
      <c r="B285" t="s">
        <v>1151</v>
      </c>
      <c r="C285" t="s">
        <v>472</v>
      </c>
      <c r="D285" t="s">
        <v>1152</v>
      </c>
      <c r="E285" t="s">
        <v>692</v>
      </c>
      <c r="F285" t="s">
        <v>63</v>
      </c>
      <c r="G285" t="s">
        <v>473</v>
      </c>
      <c r="H285" t="b">
        <f>TRUE()</f>
        <v>1</v>
      </c>
      <c r="I285" t="b">
        <f>FALSE()</f>
        <v>0</v>
      </c>
      <c r="J285" t="b">
        <f>FALSE()</f>
        <v>0</v>
      </c>
      <c r="K285" t="s">
        <v>65</v>
      </c>
      <c r="L285">
        <v>100</v>
      </c>
      <c r="M285">
        <v>180</v>
      </c>
      <c r="N285">
        <v>18</v>
      </c>
      <c r="O285">
        <v>6</v>
      </c>
      <c r="P285">
        <v>1</v>
      </c>
      <c r="Q285">
        <v>0</v>
      </c>
      <c r="R285">
        <v>9</v>
      </c>
      <c r="S285">
        <v>2.2000000000000002</v>
      </c>
      <c r="T285">
        <v>3.8</v>
      </c>
      <c r="U285">
        <v>1.8</v>
      </c>
      <c r="V285">
        <v>0</v>
      </c>
      <c r="W285">
        <v>0.5</v>
      </c>
      <c r="X285">
        <v>380</v>
      </c>
      <c r="Y285">
        <v>270</v>
      </c>
      <c r="Z285">
        <v>25</v>
      </c>
      <c r="AA285">
        <v>20</v>
      </c>
      <c r="AB285">
        <v>1</v>
      </c>
      <c r="AC285">
        <v>1.3</v>
      </c>
      <c r="AD285">
        <v>1</v>
      </c>
      <c r="AE285">
        <v>12</v>
      </c>
      <c r="AF285">
        <v>40</v>
      </c>
      <c r="AG285">
        <v>2.4</v>
      </c>
      <c r="AH285" t="s">
        <v>66</v>
      </c>
      <c r="AI285" t="s">
        <v>65</v>
      </c>
      <c r="AJ285" t="s">
        <v>65</v>
      </c>
    </row>
    <row r="286" spans="1:36" ht="15" customHeight="1" x14ac:dyDescent="0.2">
      <c r="A286">
        <v>1612</v>
      </c>
      <c r="B286" t="s">
        <v>1155</v>
      </c>
      <c r="C286" t="s">
        <v>472</v>
      </c>
      <c r="D286" t="s">
        <v>1156</v>
      </c>
      <c r="E286" t="s">
        <v>541</v>
      </c>
      <c r="F286" t="s">
        <v>63</v>
      </c>
      <c r="G286" t="s">
        <v>603</v>
      </c>
      <c r="H286" t="b">
        <f>TRUE()</f>
        <v>1</v>
      </c>
      <c r="I286" t="b">
        <f>FALSE()</f>
        <v>0</v>
      </c>
      <c r="J286" t="b">
        <f>FALSE()</f>
        <v>0</v>
      </c>
      <c r="K286" t="s">
        <v>65</v>
      </c>
      <c r="L286">
        <v>100</v>
      </c>
      <c r="M286">
        <v>220</v>
      </c>
      <c r="N286">
        <v>15</v>
      </c>
      <c r="O286">
        <v>16</v>
      </c>
      <c r="P286">
        <v>1</v>
      </c>
      <c r="Q286">
        <v>0</v>
      </c>
      <c r="R286">
        <v>11</v>
      </c>
      <c r="S286">
        <v>2</v>
      </c>
      <c r="T286">
        <v>4.5</v>
      </c>
      <c r="U286">
        <v>3.5</v>
      </c>
      <c r="V286">
        <v>0</v>
      </c>
      <c r="W286">
        <v>1</v>
      </c>
      <c r="X286">
        <v>480</v>
      </c>
      <c r="Y286">
        <v>230</v>
      </c>
      <c r="Z286">
        <v>15</v>
      </c>
      <c r="AA286">
        <v>18</v>
      </c>
      <c r="AB286">
        <v>0.9</v>
      </c>
      <c r="AC286">
        <v>1.1000000000000001</v>
      </c>
      <c r="AD286">
        <v>0</v>
      </c>
      <c r="AE286">
        <v>10</v>
      </c>
      <c r="AF286">
        <v>60</v>
      </c>
      <c r="AG286">
        <v>9.6</v>
      </c>
      <c r="AH286" t="s">
        <v>66</v>
      </c>
      <c r="AI286" t="s">
        <v>65</v>
      </c>
      <c r="AJ286" t="s">
        <v>65</v>
      </c>
    </row>
    <row r="287" spans="1:36" ht="15" customHeight="1" x14ac:dyDescent="0.2">
      <c r="A287">
        <v>1615</v>
      </c>
      <c r="B287" t="s">
        <v>1159</v>
      </c>
      <c r="C287" t="s">
        <v>610</v>
      </c>
      <c r="D287" t="s">
        <v>611</v>
      </c>
      <c r="E287" t="s">
        <v>1160</v>
      </c>
      <c r="F287" t="s">
        <v>63</v>
      </c>
      <c r="G287" t="s">
        <v>64</v>
      </c>
      <c r="H287" t="b">
        <f>FALSE()</f>
        <v>0</v>
      </c>
      <c r="I287" t="b">
        <f>FALSE()</f>
        <v>0</v>
      </c>
      <c r="J287" t="b">
        <f>TRUE()</f>
        <v>1</v>
      </c>
      <c r="K287" t="s">
        <v>65</v>
      </c>
      <c r="L287">
        <v>100</v>
      </c>
      <c r="M287">
        <v>602.20000000000005</v>
      </c>
      <c r="N287">
        <v>21.84</v>
      </c>
      <c r="O287">
        <v>22.25</v>
      </c>
      <c r="P287">
        <v>4.53</v>
      </c>
      <c r="Q287">
        <v>0.72</v>
      </c>
      <c r="R287">
        <v>51.4</v>
      </c>
      <c r="S287">
        <v>3.91</v>
      </c>
      <c r="T287">
        <v>32.549999999999997</v>
      </c>
      <c r="U287">
        <v>12.67</v>
      </c>
      <c r="V287">
        <v>0</v>
      </c>
      <c r="W287">
        <v>12.5</v>
      </c>
      <c r="X287">
        <v>1</v>
      </c>
      <c r="Y287">
        <v>733</v>
      </c>
      <c r="Z287">
        <v>269</v>
      </c>
      <c r="AA287">
        <v>270</v>
      </c>
      <c r="AB287">
        <v>3.7</v>
      </c>
      <c r="AC287">
        <v>3.1</v>
      </c>
      <c r="AD287">
        <v>0</v>
      </c>
      <c r="AE287">
        <v>37</v>
      </c>
      <c r="AF287">
        <v>15</v>
      </c>
      <c r="AG287">
        <v>3.3</v>
      </c>
      <c r="AH287" t="s">
        <v>66</v>
      </c>
      <c r="AI287" t="s">
        <v>87</v>
      </c>
      <c r="AJ287" t="s">
        <v>87</v>
      </c>
    </row>
    <row r="288" spans="1:36" ht="15" customHeight="1" x14ac:dyDescent="0.2">
      <c r="A288">
        <v>1618</v>
      </c>
      <c r="B288" t="s">
        <v>1163</v>
      </c>
      <c r="C288" t="s">
        <v>610</v>
      </c>
      <c r="D288" t="s">
        <v>611</v>
      </c>
      <c r="E288" t="s">
        <v>216</v>
      </c>
      <c r="F288" t="s">
        <v>63</v>
      </c>
      <c r="G288" t="s">
        <v>473</v>
      </c>
      <c r="H288" t="b">
        <f>FALSE()</f>
        <v>0</v>
      </c>
      <c r="I288" t="b">
        <f>FALSE()</f>
        <v>0</v>
      </c>
      <c r="J288" t="b">
        <f>TRUE()</f>
        <v>1</v>
      </c>
      <c r="K288" t="s">
        <v>65</v>
      </c>
      <c r="L288">
        <v>100</v>
      </c>
      <c r="M288">
        <v>694.8</v>
      </c>
      <c r="N288">
        <v>22.26</v>
      </c>
      <c r="O288">
        <v>22.68</v>
      </c>
      <c r="P288">
        <v>4.62</v>
      </c>
      <c r="Q288">
        <v>0.73</v>
      </c>
      <c r="R288">
        <v>67.37</v>
      </c>
      <c r="S288">
        <v>5.13</v>
      </c>
      <c r="T288">
        <v>44.79</v>
      </c>
      <c r="U288">
        <v>15.77</v>
      </c>
      <c r="V288">
        <v>0</v>
      </c>
      <c r="W288">
        <v>12.5</v>
      </c>
      <c r="X288">
        <v>420</v>
      </c>
      <c r="Y288">
        <v>733</v>
      </c>
      <c r="Z288">
        <v>269</v>
      </c>
      <c r="AA288">
        <v>270</v>
      </c>
      <c r="AB288">
        <v>3.7</v>
      </c>
      <c r="AC288">
        <v>3.1</v>
      </c>
      <c r="AD288">
        <v>0</v>
      </c>
      <c r="AE288">
        <v>33</v>
      </c>
      <c r="AF288">
        <v>15</v>
      </c>
      <c r="AG288">
        <v>3.4</v>
      </c>
      <c r="AH288" t="s">
        <v>66</v>
      </c>
      <c r="AI288" t="s">
        <v>87</v>
      </c>
      <c r="AJ288" t="s">
        <v>87</v>
      </c>
    </row>
    <row r="289" spans="1:36" ht="15" customHeight="1" x14ac:dyDescent="0.2">
      <c r="A289">
        <v>1627</v>
      </c>
      <c r="B289" t="s">
        <v>1172</v>
      </c>
      <c r="C289" t="s">
        <v>610</v>
      </c>
      <c r="D289" t="s">
        <v>611</v>
      </c>
      <c r="E289" t="s">
        <v>1160</v>
      </c>
      <c r="F289" t="s">
        <v>63</v>
      </c>
      <c r="G289" t="s">
        <v>64</v>
      </c>
      <c r="H289" t="b">
        <f>FALSE()</f>
        <v>0</v>
      </c>
      <c r="I289" t="b">
        <f>FALSE()</f>
        <v>0</v>
      </c>
      <c r="J289" t="b">
        <f>TRUE()</f>
        <v>1</v>
      </c>
      <c r="K289" t="s">
        <v>65</v>
      </c>
      <c r="L289">
        <v>100</v>
      </c>
      <c r="M289">
        <v>653.1</v>
      </c>
      <c r="N289">
        <v>15.45</v>
      </c>
      <c r="O289">
        <v>17.2</v>
      </c>
      <c r="P289">
        <v>4.43</v>
      </c>
      <c r="Q289">
        <v>0.1</v>
      </c>
      <c r="R289">
        <v>62.62</v>
      </c>
      <c r="S289">
        <v>4.63</v>
      </c>
      <c r="T289">
        <v>47.07</v>
      </c>
      <c r="U289">
        <v>8.14</v>
      </c>
      <c r="V289">
        <v>0.1</v>
      </c>
      <c r="W289">
        <v>9.6999999999999993</v>
      </c>
      <c r="X289">
        <v>1</v>
      </c>
      <c r="Y289">
        <v>680</v>
      </c>
      <c r="Z289">
        <v>114</v>
      </c>
      <c r="AA289">
        <v>163</v>
      </c>
      <c r="AB289">
        <v>4.7</v>
      </c>
      <c r="AC289">
        <v>2.5</v>
      </c>
      <c r="AD289">
        <v>3.8</v>
      </c>
      <c r="AE289">
        <v>96</v>
      </c>
      <c r="AF289">
        <v>15</v>
      </c>
      <c r="AG289">
        <v>2.6</v>
      </c>
      <c r="AH289" t="s">
        <v>66</v>
      </c>
      <c r="AI289" t="s">
        <v>87</v>
      </c>
      <c r="AJ289" t="s">
        <v>87</v>
      </c>
    </row>
    <row r="290" spans="1:36" ht="15" customHeight="1" x14ac:dyDescent="0.2">
      <c r="A290">
        <v>1633</v>
      </c>
      <c r="B290" t="s">
        <v>1178</v>
      </c>
      <c r="C290" t="s">
        <v>610</v>
      </c>
      <c r="D290" t="s">
        <v>611</v>
      </c>
      <c r="E290" t="s">
        <v>1160</v>
      </c>
      <c r="F290" t="s">
        <v>63</v>
      </c>
      <c r="G290" t="s">
        <v>64</v>
      </c>
      <c r="H290" t="b">
        <f>FALSE()</f>
        <v>0</v>
      </c>
      <c r="I290" t="b">
        <f>FALSE()</f>
        <v>0</v>
      </c>
      <c r="J290" t="b">
        <f>TRUE()</f>
        <v>1</v>
      </c>
      <c r="K290" t="s">
        <v>65</v>
      </c>
      <c r="L290">
        <v>100</v>
      </c>
      <c r="M290">
        <v>575.1</v>
      </c>
      <c r="N290">
        <v>18.75</v>
      </c>
      <c r="O290">
        <v>31.11</v>
      </c>
      <c r="P290">
        <v>6.08</v>
      </c>
      <c r="Q290">
        <v>24.21</v>
      </c>
      <c r="R290">
        <v>45.22</v>
      </c>
      <c r="S290">
        <v>8.0299999999999994</v>
      </c>
      <c r="T290">
        <v>24.51</v>
      </c>
      <c r="U290">
        <v>8.0299999999999994</v>
      </c>
      <c r="V290">
        <v>0.21</v>
      </c>
      <c r="W290">
        <v>3.3</v>
      </c>
      <c r="X290">
        <v>3</v>
      </c>
      <c r="Y290">
        <v>660</v>
      </c>
      <c r="Z290">
        <v>37</v>
      </c>
      <c r="AA290">
        <v>292</v>
      </c>
      <c r="AB290">
        <v>6.7</v>
      </c>
      <c r="AC290">
        <v>5.8</v>
      </c>
      <c r="AD290">
        <v>0.3</v>
      </c>
      <c r="AE290">
        <v>21</v>
      </c>
      <c r="AF290">
        <v>15</v>
      </c>
      <c r="AG290">
        <v>4.7</v>
      </c>
      <c r="AH290" t="s">
        <v>66</v>
      </c>
      <c r="AI290" t="s">
        <v>87</v>
      </c>
      <c r="AJ290" t="s">
        <v>87</v>
      </c>
    </row>
    <row r="291" spans="1:36" ht="15" customHeight="1" x14ac:dyDescent="0.2">
      <c r="A291">
        <v>1636</v>
      </c>
      <c r="B291" t="s">
        <v>1181</v>
      </c>
      <c r="C291" t="s">
        <v>610</v>
      </c>
      <c r="D291" t="s">
        <v>611</v>
      </c>
      <c r="E291" t="s">
        <v>216</v>
      </c>
      <c r="F291" t="s">
        <v>63</v>
      </c>
      <c r="G291" t="s">
        <v>473</v>
      </c>
      <c r="H291" t="b">
        <f>FALSE()</f>
        <v>0</v>
      </c>
      <c r="I291" t="b">
        <f>FALSE()</f>
        <v>0</v>
      </c>
      <c r="J291" t="b">
        <f>TRUE()</f>
        <v>1</v>
      </c>
      <c r="K291" t="s">
        <v>65</v>
      </c>
      <c r="L291">
        <v>100</v>
      </c>
      <c r="M291">
        <v>663.6</v>
      </c>
      <c r="N291">
        <v>19.11</v>
      </c>
      <c r="O291">
        <v>31.71</v>
      </c>
      <c r="P291">
        <v>6.2</v>
      </c>
      <c r="Q291">
        <v>24.68</v>
      </c>
      <c r="R291">
        <v>59.27</v>
      </c>
      <c r="S291">
        <v>10.53</v>
      </c>
      <c r="T291">
        <v>33.74</v>
      </c>
      <c r="U291">
        <v>10</v>
      </c>
      <c r="V291">
        <v>0.27</v>
      </c>
      <c r="W291">
        <v>3.3</v>
      </c>
      <c r="X291">
        <v>420</v>
      </c>
      <c r="Y291">
        <v>660</v>
      </c>
      <c r="Z291">
        <v>37</v>
      </c>
      <c r="AA291">
        <v>292</v>
      </c>
      <c r="AB291">
        <v>6.7</v>
      </c>
      <c r="AC291">
        <v>5.8</v>
      </c>
      <c r="AD291">
        <v>0.2</v>
      </c>
      <c r="AE291">
        <v>19</v>
      </c>
      <c r="AF291">
        <v>15</v>
      </c>
      <c r="AG291">
        <v>4.8</v>
      </c>
      <c r="AH291" t="s">
        <v>66</v>
      </c>
      <c r="AI291" t="s">
        <v>87</v>
      </c>
      <c r="AJ291" t="s">
        <v>87</v>
      </c>
    </row>
    <row r="292" spans="1:36" ht="15" customHeight="1" x14ac:dyDescent="0.2">
      <c r="A292">
        <v>1639</v>
      </c>
      <c r="B292" t="s">
        <v>1184</v>
      </c>
      <c r="C292" t="s">
        <v>610</v>
      </c>
      <c r="D292" t="s">
        <v>611</v>
      </c>
      <c r="E292" t="s">
        <v>1160</v>
      </c>
      <c r="F292" t="s">
        <v>63</v>
      </c>
      <c r="G292" t="s">
        <v>64</v>
      </c>
      <c r="H292" t="b">
        <f>FALSE()</f>
        <v>0</v>
      </c>
      <c r="I292" t="b">
        <f>FALSE()</f>
        <v>0</v>
      </c>
      <c r="J292" t="b">
        <f>TRUE()</f>
        <v>1</v>
      </c>
      <c r="K292" t="s">
        <v>65</v>
      </c>
      <c r="L292">
        <v>100</v>
      </c>
      <c r="M292">
        <v>582.4</v>
      </c>
      <c r="N292">
        <v>20.81</v>
      </c>
      <c r="O292">
        <v>28.32</v>
      </c>
      <c r="P292">
        <v>7.93</v>
      </c>
      <c r="Q292">
        <v>1.03</v>
      </c>
      <c r="R292">
        <v>46.76</v>
      </c>
      <c r="S292">
        <v>5.77</v>
      </c>
      <c r="T292">
        <v>24.51</v>
      </c>
      <c r="U292">
        <v>14.11</v>
      </c>
      <c r="V292">
        <v>0.31</v>
      </c>
      <c r="W292">
        <v>10</v>
      </c>
      <c r="X292">
        <v>1</v>
      </c>
      <c r="Y292">
        <v>1025</v>
      </c>
      <c r="Z292">
        <v>105</v>
      </c>
      <c r="AA292">
        <v>121</v>
      </c>
      <c r="AB292">
        <v>3.9</v>
      </c>
      <c r="AC292">
        <v>2.2000000000000002</v>
      </c>
      <c r="AD292">
        <v>3.4</v>
      </c>
      <c r="AE292">
        <v>43</v>
      </c>
      <c r="AF292">
        <v>15</v>
      </c>
      <c r="AG292">
        <v>4.2</v>
      </c>
      <c r="AH292" t="s">
        <v>66</v>
      </c>
      <c r="AI292" t="s">
        <v>87</v>
      </c>
      <c r="AJ292" t="s">
        <v>87</v>
      </c>
    </row>
    <row r="293" spans="1:36" ht="15" customHeight="1" x14ac:dyDescent="0.2">
      <c r="A293">
        <v>1645</v>
      </c>
      <c r="B293" t="s">
        <v>1190</v>
      </c>
      <c r="C293" t="s">
        <v>610</v>
      </c>
      <c r="D293" t="s">
        <v>611</v>
      </c>
      <c r="E293" t="s">
        <v>1160</v>
      </c>
      <c r="F293" t="s">
        <v>63</v>
      </c>
      <c r="G293" t="s">
        <v>64</v>
      </c>
      <c r="H293" t="b">
        <f>FALSE()</f>
        <v>0</v>
      </c>
      <c r="I293" t="b">
        <f>FALSE()</f>
        <v>0</v>
      </c>
      <c r="J293" t="b">
        <f>TRUE()</f>
        <v>1</v>
      </c>
      <c r="K293" t="s">
        <v>65</v>
      </c>
      <c r="L293">
        <v>100</v>
      </c>
      <c r="M293">
        <v>589.70000000000005</v>
      </c>
      <c r="N293">
        <v>26.57</v>
      </c>
      <c r="O293">
        <v>16.579999999999998</v>
      </c>
      <c r="P293">
        <v>4.12</v>
      </c>
      <c r="Q293">
        <v>6.18</v>
      </c>
      <c r="R293">
        <v>50.68</v>
      </c>
      <c r="S293">
        <v>7</v>
      </c>
      <c r="T293">
        <v>25.13</v>
      </c>
      <c r="U293">
        <v>16.07</v>
      </c>
      <c r="V293">
        <v>0</v>
      </c>
      <c r="W293">
        <v>8.5</v>
      </c>
      <c r="X293">
        <v>1</v>
      </c>
      <c r="Y293">
        <v>705</v>
      </c>
      <c r="Z293">
        <v>92</v>
      </c>
      <c r="AA293">
        <v>168</v>
      </c>
      <c r="AB293">
        <v>4.5999999999999996</v>
      </c>
      <c r="AC293">
        <v>3.3</v>
      </c>
      <c r="AD293">
        <v>0</v>
      </c>
      <c r="AE293">
        <v>204</v>
      </c>
      <c r="AF293">
        <v>15</v>
      </c>
      <c r="AG293">
        <v>2.5</v>
      </c>
      <c r="AH293" t="s">
        <v>66</v>
      </c>
      <c r="AI293" t="s">
        <v>87</v>
      </c>
      <c r="AJ293" t="s">
        <v>87</v>
      </c>
    </row>
    <row r="294" spans="1:36" ht="15" customHeight="1" x14ac:dyDescent="0.2">
      <c r="A294">
        <v>1648</v>
      </c>
      <c r="B294" t="s">
        <v>1193</v>
      </c>
      <c r="C294" t="s">
        <v>610</v>
      </c>
      <c r="D294" t="s">
        <v>611</v>
      </c>
      <c r="E294" t="s">
        <v>216</v>
      </c>
      <c r="F294" t="s">
        <v>63</v>
      </c>
      <c r="G294" t="s">
        <v>473</v>
      </c>
      <c r="H294" t="b">
        <f>FALSE()</f>
        <v>0</v>
      </c>
      <c r="I294" t="b">
        <f>FALSE()</f>
        <v>0</v>
      </c>
      <c r="J294" t="b">
        <f>TRUE()</f>
        <v>1</v>
      </c>
      <c r="K294" t="s">
        <v>65</v>
      </c>
      <c r="L294">
        <v>100</v>
      </c>
      <c r="M294">
        <v>680.4</v>
      </c>
      <c r="N294">
        <v>27.09</v>
      </c>
      <c r="O294">
        <v>16.91</v>
      </c>
      <c r="P294">
        <v>4.2</v>
      </c>
      <c r="Q294">
        <v>6.3</v>
      </c>
      <c r="R294">
        <v>66.42</v>
      </c>
      <c r="S294">
        <v>9.18</v>
      </c>
      <c r="T294">
        <v>34.590000000000003</v>
      </c>
      <c r="U294">
        <v>20.010000000000002</v>
      </c>
      <c r="V294">
        <v>0</v>
      </c>
      <c r="W294">
        <v>8.5</v>
      </c>
      <c r="X294">
        <v>420</v>
      </c>
      <c r="Y294">
        <v>705</v>
      </c>
      <c r="Z294">
        <v>92</v>
      </c>
      <c r="AA294">
        <v>168</v>
      </c>
      <c r="AB294">
        <v>4.5999999999999996</v>
      </c>
      <c r="AC294">
        <v>3.3</v>
      </c>
      <c r="AD294">
        <v>0</v>
      </c>
      <c r="AE294">
        <v>180</v>
      </c>
      <c r="AF294">
        <v>15</v>
      </c>
      <c r="AG294">
        <v>2.5</v>
      </c>
      <c r="AH294" t="s">
        <v>66</v>
      </c>
      <c r="AI294" t="s">
        <v>87</v>
      </c>
      <c r="AJ294" t="s">
        <v>87</v>
      </c>
    </row>
    <row r="295" spans="1:36" ht="15" customHeight="1" x14ac:dyDescent="0.2">
      <c r="A295">
        <v>1657</v>
      </c>
      <c r="B295" t="s">
        <v>1202</v>
      </c>
      <c r="C295" t="s">
        <v>1203</v>
      </c>
      <c r="D295" t="s">
        <v>1204</v>
      </c>
      <c r="E295" t="s">
        <v>511</v>
      </c>
      <c r="F295" t="s">
        <v>63</v>
      </c>
      <c r="G295" t="s">
        <v>64</v>
      </c>
      <c r="H295" t="b">
        <f>FALSE()</f>
        <v>0</v>
      </c>
      <c r="I295" t="b">
        <f>FALSE()</f>
        <v>0</v>
      </c>
      <c r="J295" t="b">
        <f>TRUE()</f>
        <v>1</v>
      </c>
      <c r="K295" t="s">
        <v>126</v>
      </c>
      <c r="L295">
        <v>100</v>
      </c>
      <c r="M295">
        <v>304</v>
      </c>
      <c r="N295">
        <v>0.3</v>
      </c>
      <c r="O295">
        <v>82.4</v>
      </c>
      <c r="P295">
        <v>82.1</v>
      </c>
      <c r="Q295">
        <v>0.1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0.2</v>
      </c>
      <c r="X295">
        <v>4</v>
      </c>
      <c r="Y295">
        <v>52</v>
      </c>
      <c r="Z295">
        <v>6</v>
      </c>
      <c r="AA295">
        <v>2</v>
      </c>
      <c r="AB295">
        <v>0.4</v>
      </c>
      <c r="AC295">
        <v>0.2</v>
      </c>
      <c r="AD295">
        <v>0.5</v>
      </c>
      <c r="AE295">
        <v>2</v>
      </c>
      <c r="AF295">
        <v>60</v>
      </c>
      <c r="AG295">
        <v>49.4</v>
      </c>
      <c r="AH295" t="s">
        <v>77</v>
      </c>
      <c r="AI295" t="s">
        <v>65</v>
      </c>
      <c r="AJ295" t="s">
        <v>87</v>
      </c>
    </row>
    <row r="296" spans="1:36" ht="15" customHeight="1" x14ac:dyDescent="0.2">
      <c r="A296">
        <v>1660</v>
      </c>
      <c r="B296" t="s">
        <v>1207</v>
      </c>
      <c r="C296" t="s">
        <v>610</v>
      </c>
      <c r="D296" t="s">
        <v>1208</v>
      </c>
      <c r="E296" t="s">
        <v>686</v>
      </c>
      <c r="F296" t="s">
        <v>63</v>
      </c>
      <c r="G296" t="s">
        <v>473</v>
      </c>
      <c r="H296" t="b">
        <f>FALSE()</f>
        <v>0</v>
      </c>
      <c r="I296" t="b">
        <f>FALSE()</f>
        <v>0</v>
      </c>
      <c r="J296" t="b">
        <f>TRUE()</f>
        <v>1</v>
      </c>
      <c r="K296" t="s">
        <v>65</v>
      </c>
      <c r="L296">
        <v>100</v>
      </c>
      <c r="M296">
        <v>588</v>
      </c>
      <c r="N296">
        <v>25</v>
      </c>
      <c r="O296">
        <v>20</v>
      </c>
      <c r="P296">
        <v>6</v>
      </c>
      <c r="Q296">
        <v>10</v>
      </c>
      <c r="R296">
        <v>50</v>
      </c>
      <c r="S296">
        <v>10</v>
      </c>
      <c r="T296">
        <v>24</v>
      </c>
      <c r="U296">
        <v>14</v>
      </c>
      <c r="V296">
        <v>0</v>
      </c>
      <c r="W296">
        <v>6</v>
      </c>
      <c r="X296">
        <v>5</v>
      </c>
      <c r="Y296">
        <v>650</v>
      </c>
      <c r="Z296">
        <v>43</v>
      </c>
      <c r="AA296">
        <v>178</v>
      </c>
      <c r="AB296">
        <v>1.9</v>
      </c>
      <c r="AC296">
        <v>2.9</v>
      </c>
      <c r="AD296">
        <v>0</v>
      </c>
      <c r="AE296">
        <v>60</v>
      </c>
      <c r="AF296">
        <v>15</v>
      </c>
      <c r="AG296">
        <v>3</v>
      </c>
      <c r="AH296" t="s">
        <v>66</v>
      </c>
      <c r="AI296" t="s">
        <v>87</v>
      </c>
      <c r="AJ296" t="s">
        <v>87</v>
      </c>
    </row>
    <row r="297" spans="1:36" ht="15" customHeight="1" x14ac:dyDescent="0.2">
      <c r="A297">
        <v>1663</v>
      </c>
      <c r="B297" t="s">
        <v>1212</v>
      </c>
      <c r="C297" t="s">
        <v>1203</v>
      </c>
      <c r="D297" t="s">
        <v>1213</v>
      </c>
      <c r="E297" t="s">
        <v>595</v>
      </c>
      <c r="F297" t="s">
        <v>63</v>
      </c>
      <c r="G297" t="s">
        <v>473</v>
      </c>
      <c r="H297" t="b">
        <f>FALSE()</f>
        <v>0</v>
      </c>
      <c r="I297" t="b">
        <f>FALSE()</f>
        <v>0</v>
      </c>
      <c r="J297" t="b">
        <f>TRUE()</f>
        <v>1</v>
      </c>
      <c r="K297" t="s">
        <v>65</v>
      </c>
      <c r="L297">
        <v>100</v>
      </c>
      <c r="M297">
        <v>598</v>
      </c>
      <c r="N297">
        <v>7.8</v>
      </c>
      <c r="O297">
        <v>45.9</v>
      </c>
      <c r="P297">
        <v>24</v>
      </c>
      <c r="Q297">
        <v>15</v>
      </c>
      <c r="R297">
        <v>42.6</v>
      </c>
      <c r="S297">
        <v>24.5</v>
      </c>
      <c r="T297">
        <v>14.9</v>
      </c>
      <c r="U297">
        <v>1.3</v>
      </c>
      <c r="V297">
        <v>0</v>
      </c>
      <c r="W297">
        <v>10.9</v>
      </c>
      <c r="X297">
        <v>20</v>
      </c>
      <c r="Y297">
        <v>715</v>
      </c>
      <c r="Z297">
        <v>73</v>
      </c>
      <c r="AA297">
        <v>228</v>
      </c>
      <c r="AB297">
        <v>11.9</v>
      </c>
      <c r="AC297">
        <v>3.3</v>
      </c>
      <c r="AD297">
        <v>0</v>
      </c>
      <c r="AE297">
        <v>8</v>
      </c>
      <c r="AF297">
        <v>25</v>
      </c>
      <c r="AG297">
        <v>11.5</v>
      </c>
      <c r="AH297" t="s">
        <v>77</v>
      </c>
      <c r="AI297" t="s">
        <v>65</v>
      </c>
      <c r="AJ297" t="s">
        <v>65</v>
      </c>
    </row>
    <row r="298" spans="1:36" x14ac:dyDescent="0.2">
      <c r="A298">
        <v>1666</v>
      </c>
      <c r="B298" t="s">
        <v>1216</v>
      </c>
      <c r="C298" t="s">
        <v>527</v>
      </c>
      <c r="D298" t="s">
        <v>100</v>
      </c>
      <c r="E298" t="s">
        <v>76</v>
      </c>
      <c r="F298" t="s">
        <v>63</v>
      </c>
      <c r="G298" t="s">
        <v>473</v>
      </c>
      <c r="H298" t="b">
        <f>TRUE()</f>
        <v>1</v>
      </c>
      <c r="I298" t="b">
        <f>FALSE()</f>
        <v>0</v>
      </c>
      <c r="J298" t="b">
        <f>TRUE()</f>
        <v>1</v>
      </c>
      <c r="K298" t="s">
        <v>87</v>
      </c>
      <c r="L298">
        <v>100</v>
      </c>
      <c r="M298">
        <v>150</v>
      </c>
      <c r="N298">
        <v>3.5</v>
      </c>
      <c r="O298">
        <v>31</v>
      </c>
      <c r="P298">
        <v>1</v>
      </c>
      <c r="Q298">
        <v>0</v>
      </c>
      <c r="R298">
        <v>0.8</v>
      </c>
      <c r="S298">
        <v>0.2</v>
      </c>
      <c r="T298">
        <v>0.2</v>
      </c>
      <c r="U298">
        <v>0.1</v>
      </c>
      <c r="V298">
        <v>0</v>
      </c>
      <c r="W298">
        <v>2</v>
      </c>
      <c r="X298">
        <v>350</v>
      </c>
      <c r="Y298">
        <v>280</v>
      </c>
      <c r="Z298">
        <v>15</v>
      </c>
      <c r="AA298">
        <v>18</v>
      </c>
      <c r="AB298">
        <v>0.8</v>
      </c>
      <c r="AC298">
        <v>0.4</v>
      </c>
      <c r="AD298">
        <v>5</v>
      </c>
      <c r="AE298">
        <v>12</v>
      </c>
      <c r="AF298">
        <v>68</v>
      </c>
      <c r="AG298">
        <v>21.1</v>
      </c>
      <c r="AH298" t="s">
        <v>66</v>
      </c>
      <c r="AI298" t="s">
        <v>87</v>
      </c>
      <c r="AJ298" t="s">
        <v>87</v>
      </c>
    </row>
    <row r="299" spans="1:36" x14ac:dyDescent="0.2">
      <c r="A299">
        <v>1669</v>
      </c>
      <c r="B299" t="s">
        <v>1219</v>
      </c>
      <c r="C299" t="s">
        <v>472</v>
      </c>
      <c r="D299" t="s">
        <v>1152</v>
      </c>
      <c r="E299" t="s">
        <v>692</v>
      </c>
      <c r="F299" t="s">
        <v>63</v>
      </c>
      <c r="G299" t="s">
        <v>473</v>
      </c>
      <c r="H299" t="b">
        <f>TRUE()</f>
        <v>1</v>
      </c>
      <c r="I299" t="b">
        <f>FALSE()</f>
        <v>0</v>
      </c>
      <c r="J299" t="b">
        <f>FALSE()</f>
        <v>0</v>
      </c>
      <c r="K299" t="s">
        <v>65</v>
      </c>
      <c r="L299">
        <v>100</v>
      </c>
      <c r="M299">
        <v>165</v>
      </c>
      <c r="N299">
        <v>19</v>
      </c>
      <c r="O299">
        <v>6</v>
      </c>
      <c r="P299">
        <v>1</v>
      </c>
      <c r="Q299">
        <v>0</v>
      </c>
      <c r="R299">
        <v>7</v>
      </c>
      <c r="S299">
        <v>1.8</v>
      </c>
      <c r="T299">
        <v>3</v>
      </c>
      <c r="U299">
        <v>1.4</v>
      </c>
      <c r="V299">
        <v>0</v>
      </c>
      <c r="W299">
        <v>0.5</v>
      </c>
      <c r="X299">
        <v>380</v>
      </c>
      <c r="Y299">
        <v>270</v>
      </c>
      <c r="Z299">
        <v>22</v>
      </c>
      <c r="AA299">
        <v>19</v>
      </c>
      <c r="AB299">
        <v>1</v>
      </c>
      <c r="AC299">
        <v>1.2</v>
      </c>
      <c r="AD299">
        <v>1</v>
      </c>
      <c r="AE299">
        <v>11</v>
      </c>
      <c r="AF299">
        <v>40</v>
      </c>
      <c r="AG299">
        <v>2.4</v>
      </c>
      <c r="AH299" t="s">
        <v>66</v>
      </c>
      <c r="AI299" t="s">
        <v>87</v>
      </c>
      <c r="AJ299" t="s">
        <v>87</v>
      </c>
    </row>
    <row r="300" spans="1:36" x14ac:dyDescent="0.2">
      <c r="A300">
        <v>1672</v>
      </c>
      <c r="B300" t="s">
        <v>1222</v>
      </c>
      <c r="C300" t="s">
        <v>472</v>
      </c>
      <c r="D300" t="s">
        <v>1152</v>
      </c>
      <c r="E300" t="s">
        <v>692</v>
      </c>
      <c r="F300" t="s">
        <v>63</v>
      </c>
      <c r="G300" t="s">
        <v>473</v>
      </c>
      <c r="H300" t="b">
        <f>TRUE()</f>
        <v>1</v>
      </c>
      <c r="I300" t="b">
        <f>FALSE()</f>
        <v>0</v>
      </c>
      <c r="J300" t="b">
        <f>FALSE()</f>
        <v>0</v>
      </c>
      <c r="K300" t="s">
        <v>65</v>
      </c>
      <c r="L300">
        <v>100</v>
      </c>
      <c r="M300">
        <v>210</v>
      </c>
      <c r="N300">
        <v>17</v>
      </c>
      <c r="O300">
        <v>6</v>
      </c>
      <c r="P300">
        <v>1</v>
      </c>
      <c r="Q300">
        <v>0</v>
      </c>
      <c r="R300">
        <v>13</v>
      </c>
      <c r="S300">
        <v>5</v>
      </c>
      <c r="T300">
        <v>5.5</v>
      </c>
      <c r="U300">
        <v>0.6</v>
      </c>
      <c r="V300">
        <v>0</v>
      </c>
      <c r="W300">
        <v>0.5</v>
      </c>
      <c r="X300">
        <v>390</v>
      </c>
      <c r="Y300">
        <v>280</v>
      </c>
      <c r="Z300">
        <v>22</v>
      </c>
      <c r="AA300">
        <v>19</v>
      </c>
      <c r="AB300">
        <v>1.8</v>
      </c>
      <c r="AC300">
        <v>3.5</v>
      </c>
      <c r="AD300">
        <v>1</v>
      </c>
      <c r="AE300">
        <v>11</v>
      </c>
      <c r="AF300">
        <v>40</v>
      </c>
      <c r="AG300">
        <v>2.4</v>
      </c>
      <c r="AH300" t="s">
        <v>66</v>
      </c>
      <c r="AI300" t="s">
        <v>87</v>
      </c>
      <c r="AJ300" t="s">
        <v>87</v>
      </c>
    </row>
    <row r="301" spans="1:36" x14ac:dyDescent="0.2">
      <c r="A301">
        <v>1675</v>
      </c>
      <c r="B301" t="s">
        <v>1225</v>
      </c>
      <c r="C301" t="s">
        <v>472</v>
      </c>
      <c r="D301" t="s">
        <v>1152</v>
      </c>
      <c r="E301" t="s">
        <v>692</v>
      </c>
      <c r="F301" t="s">
        <v>63</v>
      </c>
      <c r="G301" t="s">
        <v>473</v>
      </c>
      <c r="H301" t="b">
        <f>TRUE()</f>
        <v>1</v>
      </c>
      <c r="I301" t="b">
        <f>FALSE()</f>
        <v>0</v>
      </c>
      <c r="J301" t="b">
        <f>FALSE()</f>
        <v>0</v>
      </c>
      <c r="K301" t="s">
        <v>65</v>
      </c>
      <c r="L301">
        <v>100</v>
      </c>
      <c r="M301">
        <v>220</v>
      </c>
      <c r="N301">
        <v>16</v>
      </c>
      <c r="O301">
        <v>6</v>
      </c>
      <c r="P301">
        <v>1</v>
      </c>
      <c r="Q301">
        <v>0</v>
      </c>
      <c r="R301">
        <v>15</v>
      </c>
      <c r="S301">
        <v>5.5</v>
      </c>
      <c r="T301">
        <v>6.5</v>
      </c>
      <c r="U301">
        <v>1.5</v>
      </c>
      <c r="V301">
        <v>0</v>
      </c>
      <c r="W301">
        <v>0.5</v>
      </c>
      <c r="X301">
        <v>390</v>
      </c>
      <c r="Y301">
        <v>260</v>
      </c>
      <c r="Z301">
        <v>20</v>
      </c>
      <c r="AA301">
        <v>18</v>
      </c>
      <c r="AB301">
        <v>1</v>
      </c>
      <c r="AC301">
        <v>1.8</v>
      </c>
      <c r="AD301">
        <v>1</v>
      </c>
      <c r="AE301">
        <v>10</v>
      </c>
      <c r="AF301">
        <v>40</v>
      </c>
      <c r="AG301">
        <v>2.4</v>
      </c>
      <c r="AH301" t="s">
        <v>66</v>
      </c>
      <c r="AI301" t="s">
        <v>87</v>
      </c>
      <c r="AJ301" t="s">
        <v>87</v>
      </c>
    </row>
    <row r="302" spans="1:36" x14ac:dyDescent="0.2">
      <c r="A302">
        <v>1678</v>
      </c>
      <c r="B302" t="s">
        <v>1228</v>
      </c>
      <c r="C302" t="s">
        <v>455</v>
      </c>
      <c r="D302" t="s">
        <v>1229</v>
      </c>
      <c r="E302" t="s">
        <v>76</v>
      </c>
      <c r="F302" t="s">
        <v>63</v>
      </c>
      <c r="G302" t="s">
        <v>64</v>
      </c>
      <c r="H302" t="b">
        <f>FALSE()</f>
        <v>0</v>
      </c>
      <c r="I302" t="b">
        <f>FALSE()</f>
        <v>0</v>
      </c>
      <c r="J302" t="b">
        <f>FALSE()</f>
        <v>0</v>
      </c>
      <c r="K302" t="s">
        <v>65</v>
      </c>
      <c r="L302">
        <v>100</v>
      </c>
      <c r="M302">
        <v>175</v>
      </c>
      <c r="N302">
        <v>15.5</v>
      </c>
      <c r="O302">
        <v>0</v>
      </c>
      <c r="P302">
        <v>0</v>
      </c>
      <c r="Q302">
        <v>0</v>
      </c>
      <c r="R302">
        <v>12.5</v>
      </c>
      <c r="S302">
        <v>4.5</v>
      </c>
      <c r="T302">
        <v>5.5</v>
      </c>
      <c r="U302">
        <v>0.7</v>
      </c>
      <c r="V302">
        <v>0</v>
      </c>
      <c r="W302">
        <v>0</v>
      </c>
      <c r="X302">
        <v>75</v>
      </c>
      <c r="Y302">
        <v>180</v>
      </c>
      <c r="Z302">
        <v>25</v>
      </c>
      <c r="AA302">
        <v>12</v>
      </c>
      <c r="AB302">
        <v>1</v>
      </c>
      <c r="AC302">
        <v>2</v>
      </c>
      <c r="AD302">
        <v>0</v>
      </c>
      <c r="AE302">
        <v>3</v>
      </c>
      <c r="AF302">
        <v>0</v>
      </c>
      <c r="AG302">
        <v>0</v>
      </c>
      <c r="AH302" t="s">
        <v>66</v>
      </c>
      <c r="AI302" t="s">
        <v>87</v>
      </c>
      <c r="AJ302" t="s">
        <v>65</v>
      </c>
    </row>
    <row r="303" spans="1:36" x14ac:dyDescent="0.2">
      <c r="A303">
        <v>1681</v>
      </c>
      <c r="B303" t="s">
        <v>1233</v>
      </c>
      <c r="C303" t="s">
        <v>527</v>
      </c>
      <c r="D303" t="s">
        <v>1234</v>
      </c>
      <c r="E303" t="s">
        <v>1235</v>
      </c>
      <c r="F303" t="s">
        <v>63</v>
      </c>
      <c r="G303" t="s">
        <v>603</v>
      </c>
      <c r="H303" t="b">
        <f>FALSE()</f>
        <v>0</v>
      </c>
      <c r="I303" t="b">
        <f>FALSE()</f>
        <v>0</v>
      </c>
      <c r="J303" t="b">
        <f>FALSE()</f>
        <v>0</v>
      </c>
      <c r="K303" t="s">
        <v>87</v>
      </c>
      <c r="L303">
        <v>100</v>
      </c>
      <c r="M303">
        <v>195</v>
      </c>
      <c r="N303">
        <v>2.2000000000000002</v>
      </c>
      <c r="O303">
        <v>22</v>
      </c>
      <c r="P303">
        <v>1.5</v>
      </c>
      <c r="Q303">
        <v>0</v>
      </c>
      <c r="R303">
        <v>11</v>
      </c>
      <c r="S303">
        <v>1.6</v>
      </c>
      <c r="T303">
        <v>6</v>
      </c>
      <c r="U303">
        <v>2.5</v>
      </c>
      <c r="V303">
        <v>0</v>
      </c>
      <c r="W303">
        <v>2</v>
      </c>
      <c r="X303">
        <v>380</v>
      </c>
      <c r="Y303">
        <v>420</v>
      </c>
      <c r="Z303">
        <v>12</v>
      </c>
      <c r="AA303">
        <v>20</v>
      </c>
      <c r="AB303">
        <v>0.6</v>
      </c>
      <c r="AC303">
        <v>0.3</v>
      </c>
      <c r="AD303">
        <v>8</v>
      </c>
      <c r="AE303">
        <v>15</v>
      </c>
      <c r="AF303">
        <v>75</v>
      </c>
      <c r="AG303">
        <v>16.5</v>
      </c>
      <c r="AH303" t="s">
        <v>66</v>
      </c>
      <c r="AI303" t="s">
        <v>87</v>
      </c>
      <c r="AJ303" t="s">
        <v>87</v>
      </c>
    </row>
    <row r="304" spans="1:36" x14ac:dyDescent="0.2">
      <c r="A304">
        <v>1684</v>
      </c>
      <c r="B304" t="s">
        <v>1238</v>
      </c>
      <c r="C304" t="s">
        <v>527</v>
      </c>
      <c r="D304" t="s">
        <v>528</v>
      </c>
      <c r="E304" t="s">
        <v>686</v>
      </c>
      <c r="F304" t="s">
        <v>63</v>
      </c>
      <c r="G304" t="s">
        <v>473</v>
      </c>
      <c r="H304" t="b">
        <f>FALSE()</f>
        <v>0</v>
      </c>
      <c r="I304" t="b">
        <f>FALSE()</f>
        <v>0</v>
      </c>
      <c r="J304" t="b">
        <f>FALSE()</f>
        <v>0</v>
      </c>
      <c r="K304" t="s">
        <v>65</v>
      </c>
      <c r="L304">
        <v>100</v>
      </c>
      <c r="M304">
        <v>185</v>
      </c>
      <c r="N304">
        <v>5.5</v>
      </c>
      <c r="O304">
        <v>12</v>
      </c>
      <c r="P304">
        <v>2</v>
      </c>
      <c r="Q304">
        <v>0</v>
      </c>
      <c r="R304">
        <v>13</v>
      </c>
      <c r="S304">
        <v>2</v>
      </c>
      <c r="T304">
        <v>8</v>
      </c>
      <c r="U304">
        <v>2</v>
      </c>
      <c r="V304">
        <v>0</v>
      </c>
      <c r="W304">
        <v>1.5</v>
      </c>
      <c r="X304">
        <v>320</v>
      </c>
      <c r="Y304">
        <v>280</v>
      </c>
      <c r="Z304">
        <v>20</v>
      </c>
      <c r="AA304">
        <v>15</v>
      </c>
      <c r="AB304">
        <v>0.7</v>
      </c>
      <c r="AC304">
        <v>0.5</v>
      </c>
      <c r="AD304">
        <v>6</v>
      </c>
      <c r="AE304">
        <v>20</v>
      </c>
      <c r="AF304">
        <v>45</v>
      </c>
      <c r="AG304">
        <v>5.4</v>
      </c>
      <c r="AH304" t="s">
        <v>66</v>
      </c>
      <c r="AI304" t="s">
        <v>87</v>
      </c>
      <c r="AJ304" t="s">
        <v>87</v>
      </c>
    </row>
    <row r="305" spans="1:36" x14ac:dyDescent="0.2">
      <c r="A305">
        <v>1687</v>
      </c>
      <c r="B305" t="s">
        <v>1241</v>
      </c>
      <c r="C305" t="s">
        <v>527</v>
      </c>
      <c r="D305" t="s">
        <v>100</v>
      </c>
      <c r="E305" t="s">
        <v>692</v>
      </c>
      <c r="F305" t="s">
        <v>63</v>
      </c>
      <c r="G305" t="s">
        <v>473</v>
      </c>
      <c r="H305" t="b">
        <f>TRUE()</f>
        <v>1</v>
      </c>
      <c r="I305" t="b">
        <f>TRUE()</f>
        <v>1</v>
      </c>
      <c r="J305" t="b">
        <f>FALSE()</f>
        <v>0</v>
      </c>
      <c r="K305" t="s">
        <v>87</v>
      </c>
      <c r="L305">
        <v>100</v>
      </c>
      <c r="M305">
        <v>195</v>
      </c>
      <c r="N305">
        <v>8</v>
      </c>
      <c r="O305">
        <v>22</v>
      </c>
      <c r="P305">
        <v>1.5</v>
      </c>
      <c r="Q305">
        <v>0</v>
      </c>
      <c r="R305">
        <v>8.5</v>
      </c>
      <c r="S305">
        <v>4</v>
      </c>
      <c r="T305">
        <v>3</v>
      </c>
      <c r="U305">
        <v>0.8</v>
      </c>
      <c r="V305">
        <v>0</v>
      </c>
      <c r="W305">
        <v>1</v>
      </c>
      <c r="X305">
        <v>380</v>
      </c>
      <c r="Y305">
        <v>140</v>
      </c>
      <c r="Z305">
        <v>90</v>
      </c>
      <c r="AA305">
        <v>16</v>
      </c>
      <c r="AB305">
        <v>0.8</v>
      </c>
      <c r="AC305">
        <v>0.9</v>
      </c>
      <c r="AD305">
        <v>0</v>
      </c>
      <c r="AE305">
        <v>15</v>
      </c>
      <c r="AF305">
        <v>55</v>
      </c>
      <c r="AG305">
        <v>12.1</v>
      </c>
      <c r="AH305" t="s">
        <v>66</v>
      </c>
      <c r="AI305" t="s">
        <v>87</v>
      </c>
      <c r="AJ305" t="s">
        <v>87</v>
      </c>
    </row>
    <row r="306" spans="1:36" x14ac:dyDescent="0.2">
      <c r="A306">
        <v>1690</v>
      </c>
      <c r="B306" t="s">
        <v>1244</v>
      </c>
      <c r="C306" t="s">
        <v>455</v>
      </c>
      <c r="D306" t="s">
        <v>465</v>
      </c>
      <c r="E306" t="s">
        <v>62</v>
      </c>
      <c r="F306" t="s">
        <v>63</v>
      </c>
      <c r="G306" t="s">
        <v>64</v>
      </c>
      <c r="H306" t="b">
        <f>FALSE()</f>
        <v>0</v>
      </c>
      <c r="I306" t="b">
        <f>FALSE()</f>
        <v>0</v>
      </c>
      <c r="J306" t="b">
        <f>FALSE()</f>
        <v>0</v>
      </c>
      <c r="K306" t="s">
        <v>65</v>
      </c>
      <c r="L306">
        <v>100</v>
      </c>
      <c r="M306">
        <v>250</v>
      </c>
      <c r="N306">
        <v>20</v>
      </c>
      <c r="O306">
        <v>0</v>
      </c>
      <c r="P306">
        <v>0</v>
      </c>
      <c r="Q306">
        <v>0</v>
      </c>
      <c r="R306">
        <v>19</v>
      </c>
      <c r="S306">
        <v>8</v>
      </c>
      <c r="T306">
        <v>8.5</v>
      </c>
      <c r="U306">
        <v>0.7</v>
      </c>
      <c r="V306">
        <v>0.1</v>
      </c>
      <c r="W306">
        <v>0</v>
      </c>
      <c r="X306">
        <v>60</v>
      </c>
      <c r="Y306">
        <v>320</v>
      </c>
      <c r="Z306">
        <v>10</v>
      </c>
      <c r="AA306">
        <v>22</v>
      </c>
      <c r="AB306">
        <v>2.1</v>
      </c>
      <c r="AC306">
        <v>4.3</v>
      </c>
      <c r="AD306">
        <v>0</v>
      </c>
      <c r="AE306">
        <v>8</v>
      </c>
      <c r="AF306">
        <v>0</v>
      </c>
      <c r="AG306">
        <v>0</v>
      </c>
      <c r="AH306" t="s">
        <v>77</v>
      </c>
      <c r="AI306" t="s">
        <v>65</v>
      </c>
      <c r="AJ306" t="s">
        <v>65</v>
      </c>
    </row>
    <row r="307" spans="1:36" x14ac:dyDescent="0.2">
      <c r="A307">
        <v>1693</v>
      </c>
      <c r="B307" t="s">
        <v>1247</v>
      </c>
      <c r="C307" t="s">
        <v>455</v>
      </c>
      <c r="D307" t="s">
        <v>465</v>
      </c>
      <c r="E307" t="s">
        <v>458</v>
      </c>
      <c r="F307" t="s">
        <v>63</v>
      </c>
      <c r="G307" t="s">
        <v>64</v>
      </c>
      <c r="H307" t="b">
        <f>FALSE()</f>
        <v>0</v>
      </c>
      <c r="I307" t="b">
        <f>FALSE()</f>
        <v>0</v>
      </c>
      <c r="J307" t="b">
        <f>FALSE()</f>
        <v>0</v>
      </c>
      <c r="K307" t="s">
        <v>65</v>
      </c>
      <c r="L307">
        <v>100</v>
      </c>
      <c r="M307">
        <v>280</v>
      </c>
      <c r="N307">
        <v>21.6</v>
      </c>
      <c r="O307">
        <v>0</v>
      </c>
      <c r="P307">
        <v>0</v>
      </c>
      <c r="Q307">
        <v>0</v>
      </c>
      <c r="R307">
        <v>20.52</v>
      </c>
      <c r="S307">
        <v>8.64</v>
      </c>
      <c r="T307">
        <v>9.18</v>
      </c>
      <c r="U307">
        <v>0.76</v>
      </c>
      <c r="V307">
        <v>0.1</v>
      </c>
      <c r="W307">
        <v>0</v>
      </c>
      <c r="X307">
        <v>60</v>
      </c>
      <c r="Y307">
        <v>320</v>
      </c>
      <c r="Z307">
        <v>10</v>
      </c>
      <c r="AA307">
        <v>22</v>
      </c>
      <c r="AB307">
        <v>2.1</v>
      </c>
      <c r="AC307">
        <v>4.3</v>
      </c>
      <c r="AD307">
        <v>0</v>
      </c>
      <c r="AE307">
        <v>8</v>
      </c>
      <c r="AF307">
        <v>0</v>
      </c>
      <c r="AG307">
        <v>0</v>
      </c>
      <c r="AH307" t="s">
        <v>77</v>
      </c>
      <c r="AI307" t="s">
        <v>65</v>
      </c>
      <c r="AJ307" t="s">
        <v>65</v>
      </c>
    </row>
    <row r="308" spans="1:36" x14ac:dyDescent="0.2">
      <c r="A308">
        <v>1696</v>
      </c>
      <c r="B308" t="s">
        <v>1250</v>
      </c>
      <c r="C308" t="s">
        <v>527</v>
      </c>
      <c r="D308" t="s">
        <v>1251</v>
      </c>
      <c r="E308" t="s">
        <v>216</v>
      </c>
      <c r="F308" t="s">
        <v>63</v>
      </c>
      <c r="G308" t="s">
        <v>603</v>
      </c>
      <c r="H308" t="b">
        <f>TRUE()</f>
        <v>1</v>
      </c>
      <c r="I308" t="b">
        <f>TRUE()</f>
        <v>1</v>
      </c>
      <c r="J308" t="b">
        <f>FALSE()</f>
        <v>0</v>
      </c>
      <c r="K308" t="s">
        <v>87</v>
      </c>
      <c r="L308">
        <v>100</v>
      </c>
      <c r="M308">
        <v>260</v>
      </c>
      <c r="N308">
        <v>7</v>
      </c>
      <c r="O308">
        <v>22</v>
      </c>
      <c r="P308">
        <v>2</v>
      </c>
      <c r="Q308">
        <v>0</v>
      </c>
      <c r="R308">
        <v>16</v>
      </c>
      <c r="S308">
        <v>4</v>
      </c>
      <c r="T308">
        <v>7</v>
      </c>
      <c r="U308">
        <v>3.5</v>
      </c>
      <c r="V308">
        <v>0</v>
      </c>
      <c r="W308">
        <v>1</v>
      </c>
      <c r="X308">
        <v>480</v>
      </c>
      <c r="Y308">
        <v>150</v>
      </c>
      <c r="Z308">
        <v>45</v>
      </c>
      <c r="AA308">
        <v>12</v>
      </c>
      <c r="AB308">
        <v>0.6</v>
      </c>
      <c r="AC308">
        <v>0.6</v>
      </c>
      <c r="AD308">
        <v>1</v>
      </c>
      <c r="AE308">
        <v>10</v>
      </c>
      <c r="AF308">
        <v>70</v>
      </c>
      <c r="AG308">
        <v>15.4</v>
      </c>
      <c r="AH308" t="s">
        <v>66</v>
      </c>
      <c r="AI308" t="s">
        <v>87</v>
      </c>
      <c r="AJ308" t="s">
        <v>87</v>
      </c>
    </row>
    <row r="309" spans="1:36" x14ac:dyDescent="0.2">
      <c r="A309">
        <v>1699</v>
      </c>
      <c r="B309" t="s">
        <v>1254</v>
      </c>
      <c r="C309" t="s">
        <v>527</v>
      </c>
      <c r="D309" t="s">
        <v>1251</v>
      </c>
      <c r="E309" t="s">
        <v>216</v>
      </c>
      <c r="F309" t="s">
        <v>63</v>
      </c>
      <c r="G309" t="s">
        <v>603</v>
      </c>
      <c r="H309" t="b">
        <f>TRUE()</f>
        <v>1</v>
      </c>
      <c r="I309" t="b">
        <f>TRUE()</f>
        <v>1</v>
      </c>
      <c r="J309" t="b">
        <f>FALSE()</f>
        <v>0</v>
      </c>
      <c r="K309" t="s">
        <v>87</v>
      </c>
      <c r="L309">
        <v>100</v>
      </c>
      <c r="M309">
        <v>245</v>
      </c>
      <c r="N309">
        <v>8</v>
      </c>
      <c r="O309">
        <v>22</v>
      </c>
      <c r="P309">
        <v>2</v>
      </c>
      <c r="Q309">
        <v>0</v>
      </c>
      <c r="R309">
        <v>14</v>
      </c>
      <c r="S309">
        <v>3.5</v>
      </c>
      <c r="T309">
        <v>6.5</v>
      </c>
      <c r="U309">
        <v>3</v>
      </c>
      <c r="V309">
        <v>0</v>
      </c>
      <c r="W309">
        <v>1</v>
      </c>
      <c r="X309">
        <v>420</v>
      </c>
      <c r="Y309">
        <v>150</v>
      </c>
      <c r="Z309">
        <v>45</v>
      </c>
      <c r="AA309">
        <v>12</v>
      </c>
      <c r="AB309">
        <v>0.6</v>
      </c>
      <c r="AC309">
        <v>0.6</v>
      </c>
      <c r="AD309">
        <v>1</v>
      </c>
      <c r="AE309">
        <v>10</v>
      </c>
      <c r="AF309">
        <v>70</v>
      </c>
      <c r="AG309">
        <v>15.4</v>
      </c>
      <c r="AH309" t="s">
        <v>66</v>
      </c>
      <c r="AI309" t="s">
        <v>87</v>
      </c>
      <c r="AJ309" t="s">
        <v>87</v>
      </c>
    </row>
    <row r="310" spans="1:36" x14ac:dyDescent="0.2">
      <c r="A310">
        <v>1702</v>
      </c>
      <c r="B310" t="s">
        <v>1257</v>
      </c>
      <c r="C310" t="s">
        <v>527</v>
      </c>
      <c r="D310" t="s">
        <v>1251</v>
      </c>
      <c r="E310" t="s">
        <v>216</v>
      </c>
      <c r="F310" t="s">
        <v>63</v>
      </c>
      <c r="G310" t="s">
        <v>603</v>
      </c>
      <c r="H310" t="b">
        <f>TRUE()</f>
        <v>1</v>
      </c>
      <c r="I310" t="b">
        <f>TRUE()</f>
        <v>1</v>
      </c>
      <c r="J310" t="b">
        <f>FALSE()</f>
        <v>0</v>
      </c>
      <c r="K310" t="s">
        <v>87</v>
      </c>
      <c r="L310">
        <v>100</v>
      </c>
      <c r="M310">
        <v>235</v>
      </c>
      <c r="N310">
        <v>9</v>
      </c>
      <c r="O310">
        <v>21</v>
      </c>
      <c r="P310">
        <v>2</v>
      </c>
      <c r="Q310">
        <v>0</v>
      </c>
      <c r="R310">
        <v>13</v>
      </c>
      <c r="S310">
        <v>3.2</v>
      </c>
      <c r="T310">
        <v>6</v>
      </c>
      <c r="U310">
        <v>2.8</v>
      </c>
      <c r="V310">
        <v>0</v>
      </c>
      <c r="W310">
        <v>1</v>
      </c>
      <c r="X310">
        <v>460</v>
      </c>
      <c r="Y310">
        <v>150</v>
      </c>
      <c r="Z310">
        <v>45</v>
      </c>
      <c r="AA310">
        <v>12</v>
      </c>
      <c r="AB310">
        <v>0.6</v>
      </c>
      <c r="AC310">
        <v>0.6</v>
      </c>
      <c r="AD310">
        <v>1</v>
      </c>
      <c r="AE310">
        <v>10</v>
      </c>
      <c r="AF310">
        <v>70</v>
      </c>
      <c r="AG310">
        <v>14.7</v>
      </c>
      <c r="AH310" t="s">
        <v>66</v>
      </c>
      <c r="AI310" t="s">
        <v>87</v>
      </c>
      <c r="AJ310" t="s">
        <v>87</v>
      </c>
    </row>
    <row r="311" spans="1:36" x14ac:dyDescent="0.2">
      <c r="A311">
        <v>1708</v>
      </c>
      <c r="B311" t="s">
        <v>1263</v>
      </c>
      <c r="C311" t="s">
        <v>527</v>
      </c>
      <c r="D311" t="s">
        <v>1251</v>
      </c>
      <c r="E311" t="s">
        <v>216</v>
      </c>
      <c r="F311" t="s">
        <v>63</v>
      </c>
      <c r="G311" t="s">
        <v>603</v>
      </c>
      <c r="H311" t="b">
        <f>TRUE()</f>
        <v>1</v>
      </c>
      <c r="I311" t="b">
        <f>TRUE()</f>
        <v>1</v>
      </c>
      <c r="J311" t="b">
        <f>FALSE()</f>
        <v>0</v>
      </c>
      <c r="K311" t="s">
        <v>87</v>
      </c>
      <c r="L311">
        <v>100</v>
      </c>
      <c r="M311">
        <v>215</v>
      </c>
      <c r="N311">
        <v>5.5</v>
      </c>
      <c r="O311">
        <v>22</v>
      </c>
      <c r="P311">
        <v>2</v>
      </c>
      <c r="Q311">
        <v>0</v>
      </c>
      <c r="R311">
        <v>11.5</v>
      </c>
      <c r="S311">
        <v>2.8</v>
      </c>
      <c r="T311">
        <v>5.2</v>
      </c>
      <c r="U311">
        <v>2.4</v>
      </c>
      <c r="V311">
        <v>0</v>
      </c>
      <c r="W311">
        <v>1</v>
      </c>
      <c r="X311">
        <v>400</v>
      </c>
      <c r="Y311">
        <v>150</v>
      </c>
      <c r="Z311">
        <v>45</v>
      </c>
      <c r="AA311">
        <v>12</v>
      </c>
      <c r="AB311">
        <v>0.6</v>
      </c>
      <c r="AC311">
        <v>0.6</v>
      </c>
      <c r="AD311">
        <v>1</v>
      </c>
      <c r="AE311">
        <v>10</v>
      </c>
      <c r="AF311">
        <v>70</v>
      </c>
      <c r="AG311">
        <v>15.4</v>
      </c>
      <c r="AH311" t="s">
        <v>66</v>
      </c>
      <c r="AI311" t="s">
        <v>87</v>
      </c>
      <c r="AJ311" t="s">
        <v>87</v>
      </c>
    </row>
    <row r="312" spans="1:36" x14ac:dyDescent="0.2">
      <c r="A312">
        <v>1711</v>
      </c>
      <c r="B312" t="s">
        <v>1266</v>
      </c>
      <c r="C312" t="s">
        <v>539</v>
      </c>
      <c r="D312" t="s">
        <v>1267</v>
      </c>
      <c r="E312" t="s">
        <v>541</v>
      </c>
      <c r="F312" t="s">
        <v>63</v>
      </c>
      <c r="G312" t="s">
        <v>473</v>
      </c>
      <c r="H312" t="b">
        <f>TRUE()</f>
        <v>1</v>
      </c>
      <c r="I312" t="b">
        <f>FALSE()</f>
        <v>0</v>
      </c>
      <c r="J312" t="b">
        <f>TRUE()</f>
        <v>1</v>
      </c>
      <c r="K312" t="s">
        <v>87</v>
      </c>
      <c r="L312">
        <v>100</v>
      </c>
      <c r="M312">
        <v>280</v>
      </c>
      <c r="N312">
        <v>9</v>
      </c>
      <c r="O312">
        <v>50</v>
      </c>
      <c r="P312">
        <v>6</v>
      </c>
      <c r="Q312">
        <v>0</v>
      </c>
      <c r="R312">
        <v>5</v>
      </c>
      <c r="S312">
        <v>1.2</v>
      </c>
      <c r="T312">
        <v>2</v>
      </c>
      <c r="U312">
        <v>1.3</v>
      </c>
      <c r="V312">
        <v>0</v>
      </c>
      <c r="W312">
        <v>2.5</v>
      </c>
      <c r="X312">
        <v>480</v>
      </c>
      <c r="Y312">
        <v>120</v>
      </c>
      <c r="Z312">
        <v>90</v>
      </c>
      <c r="AA312">
        <v>20</v>
      </c>
      <c r="AB312">
        <v>2.5</v>
      </c>
      <c r="AC312">
        <v>0.8</v>
      </c>
      <c r="AD312">
        <v>0</v>
      </c>
      <c r="AE312">
        <v>40</v>
      </c>
      <c r="AF312">
        <v>75</v>
      </c>
      <c r="AG312">
        <v>37.5</v>
      </c>
      <c r="AH312" t="s">
        <v>66</v>
      </c>
      <c r="AI312" t="s">
        <v>87</v>
      </c>
      <c r="AJ312" t="s">
        <v>87</v>
      </c>
    </row>
    <row r="313" spans="1:36" x14ac:dyDescent="0.2">
      <c r="A313">
        <v>1714</v>
      </c>
      <c r="B313" t="s">
        <v>1270</v>
      </c>
      <c r="C313" t="s">
        <v>1203</v>
      </c>
      <c r="D313" t="s">
        <v>1271</v>
      </c>
      <c r="E313" t="s">
        <v>216</v>
      </c>
      <c r="F313" t="s">
        <v>63</v>
      </c>
      <c r="G313" t="s">
        <v>603</v>
      </c>
      <c r="H313" t="b">
        <f>TRUE()</f>
        <v>1</v>
      </c>
      <c r="I313" t="b">
        <f>TRUE()</f>
        <v>1</v>
      </c>
      <c r="J313" t="b">
        <f>FALSE()</f>
        <v>0</v>
      </c>
      <c r="K313" t="s">
        <v>87</v>
      </c>
      <c r="L313">
        <v>100</v>
      </c>
      <c r="M313">
        <v>420</v>
      </c>
      <c r="N313">
        <v>5</v>
      </c>
      <c r="O313">
        <v>51</v>
      </c>
      <c r="P313">
        <v>23</v>
      </c>
      <c r="Q313">
        <v>0</v>
      </c>
      <c r="R313">
        <v>22</v>
      </c>
      <c r="S313">
        <v>10</v>
      </c>
      <c r="T313">
        <v>8</v>
      </c>
      <c r="U313">
        <v>2.5</v>
      </c>
      <c r="V313">
        <v>0</v>
      </c>
      <c r="W313">
        <v>1.5</v>
      </c>
      <c r="X313">
        <v>380</v>
      </c>
      <c r="Y313">
        <v>110</v>
      </c>
      <c r="Z313">
        <v>60</v>
      </c>
      <c r="AA313">
        <v>14</v>
      </c>
      <c r="AB313">
        <v>1.5</v>
      </c>
      <c r="AC313">
        <v>0.5</v>
      </c>
      <c r="AD313">
        <v>0</v>
      </c>
      <c r="AE313">
        <v>25</v>
      </c>
      <c r="AF313">
        <v>76</v>
      </c>
      <c r="AG313">
        <v>38.799999999999997</v>
      </c>
      <c r="AH313" t="s">
        <v>66</v>
      </c>
      <c r="AI313" t="s">
        <v>87</v>
      </c>
      <c r="AJ313" t="s">
        <v>87</v>
      </c>
    </row>
    <row r="314" spans="1:36" x14ac:dyDescent="0.2">
      <c r="A314">
        <v>1717</v>
      </c>
      <c r="B314" t="s">
        <v>1274</v>
      </c>
      <c r="C314" t="s">
        <v>1203</v>
      </c>
      <c r="D314" t="s">
        <v>1275</v>
      </c>
      <c r="E314" t="s">
        <v>541</v>
      </c>
      <c r="F314" t="s">
        <v>63</v>
      </c>
      <c r="G314" t="s">
        <v>603</v>
      </c>
      <c r="H314" t="b">
        <f>TRUE()</f>
        <v>1</v>
      </c>
      <c r="I314" t="b">
        <f>TRUE()</f>
        <v>1</v>
      </c>
      <c r="J314" t="b">
        <f>FALSE()</f>
        <v>0</v>
      </c>
      <c r="K314" t="s">
        <v>87</v>
      </c>
      <c r="L314">
        <v>100</v>
      </c>
      <c r="M314">
        <v>460</v>
      </c>
      <c r="N314">
        <v>7</v>
      </c>
      <c r="O314">
        <v>68</v>
      </c>
      <c r="P314">
        <v>22</v>
      </c>
      <c r="Q314">
        <v>0</v>
      </c>
      <c r="R314">
        <v>18</v>
      </c>
      <c r="S314">
        <v>8</v>
      </c>
      <c r="T314">
        <v>6</v>
      </c>
      <c r="U314">
        <v>2</v>
      </c>
      <c r="V314">
        <v>0</v>
      </c>
      <c r="W314">
        <v>2.5</v>
      </c>
      <c r="X314">
        <v>320</v>
      </c>
      <c r="Y314">
        <v>140</v>
      </c>
      <c r="Z314">
        <v>90</v>
      </c>
      <c r="AA314">
        <v>18</v>
      </c>
      <c r="AB314">
        <v>2</v>
      </c>
      <c r="AC314">
        <v>0.6</v>
      </c>
      <c r="AD314">
        <v>0</v>
      </c>
      <c r="AE314">
        <v>20</v>
      </c>
      <c r="AF314">
        <v>70</v>
      </c>
      <c r="AG314">
        <v>47.6</v>
      </c>
      <c r="AH314" t="s">
        <v>66</v>
      </c>
      <c r="AI314" t="s">
        <v>87</v>
      </c>
      <c r="AJ314" t="s">
        <v>87</v>
      </c>
    </row>
    <row r="315" spans="1:36" x14ac:dyDescent="0.2">
      <c r="A315">
        <v>1720</v>
      </c>
      <c r="B315" t="s">
        <v>1278</v>
      </c>
      <c r="C315" t="s">
        <v>1203</v>
      </c>
      <c r="D315" t="s">
        <v>1279</v>
      </c>
      <c r="E315" t="s">
        <v>1280</v>
      </c>
      <c r="F315" t="s">
        <v>63</v>
      </c>
      <c r="G315" t="s">
        <v>603</v>
      </c>
      <c r="H315" t="b">
        <f>FALSE()</f>
        <v>0</v>
      </c>
      <c r="I315" t="b">
        <f>TRUE()</f>
        <v>1</v>
      </c>
      <c r="J315" t="b">
        <f>FALSE()</f>
        <v>0</v>
      </c>
      <c r="K315" t="s">
        <v>65</v>
      </c>
      <c r="L315">
        <v>100</v>
      </c>
      <c r="M315">
        <v>207</v>
      </c>
      <c r="N315">
        <v>3.5</v>
      </c>
      <c r="O315">
        <v>24</v>
      </c>
      <c r="P315">
        <v>21</v>
      </c>
      <c r="Q315">
        <v>0</v>
      </c>
      <c r="R315">
        <v>11</v>
      </c>
      <c r="S315">
        <v>6.8</v>
      </c>
      <c r="T315">
        <v>3</v>
      </c>
      <c r="U315">
        <v>0.4</v>
      </c>
      <c r="V315">
        <v>0</v>
      </c>
      <c r="W315">
        <v>0.3</v>
      </c>
      <c r="X315">
        <v>80</v>
      </c>
      <c r="Y315">
        <v>150</v>
      </c>
      <c r="Z315">
        <v>110</v>
      </c>
      <c r="AA315">
        <v>12</v>
      </c>
      <c r="AB315">
        <v>0.1</v>
      </c>
      <c r="AC315">
        <v>0.4</v>
      </c>
      <c r="AD315">
        <v>0.5</v>
      </c>
      <c r="AE315">
        <v>6</v>
      </c>
      <c r="AF315">
        <v>60</v>
      </c>
      <c r="AG315">
        <v>14.4</v>
      </c>
      <c r="AH315" t="s">
        <v>66</v>
      </c>
      <c r="AI315" t="s">
        <v>87</v>
      </c>
      <c r="AJ315" t="s">
        <v>87</v>
      </c>
    </row>
    <row r="316" spans="1:36" x14ac:dyDescent="0.2">
      <c r="A316">
        <v>1723</v>
      </c>
      <c r="B316" t="s">
        <v>1283</v>
      </c>
      <c r="C316" t="s">
        <v>1203</v>
      </c>
      <c r="D316" t="s">
        <v>1279</v>
      </c>
      <c r="E316" t="s">
        <v>1280</v>
      </c>
      <c r="F316" t="s">
        <v>63</v>
      </c>
      <c r="G316" t="s">
        <v>603</v>
      </c>
      <c r="H316" t="b">
        <f>FALSE()</f>
        <v>0</v>
      </c>
      <c r="I316" t="b">
        <f>TRUE()</f>
        <v>1</v>
      </c>
      <c r="J316" t="b">
        <f>FALSE()</f>
        <v>0</v>
      </c>
      <c r="K316" t="s">
        <v>65</v>
      </c>
      <c r="L316">
        <v>100</v>
      </c>
      <c r="M316">
        <v>216</v>
      </c>
      <c r="N316">
        <v>3.8</v>
      </c>
      <c r="O316">
        <v>28</v>
      </c>
      <c r="P316">
        <v>24</v>
      </c>
      <c r="Q316">
        <v>0</v>
      </c>
      <c r="R316">
        <v>11</v>
      </c>
      <c r="S316">
        <v>6.5</v>
      </c>
      <c r="T316">
        <v>3.2</v>
      </c>
      <c r="U316">
        <v>0.5</v>
      </c>
      <c r="V316">
        <v>0</v>
      </c>
      <c r="W316">
        <v>0.3</v>
      </c>
      <c r="X316">
        <v>75</v>
      </c>
      <c r="Y316">
        <v>150</v>
      </c>
      <c r="Z316">
        <v>110</v>
      </c>
      <c r="AA316">
        <v>12</v>
      </c>
      <c r="AB316">
        <v>0.1</v>
      </c>
      <c r="AC316">
        <v>0.4</v>
      </c>
      <c r="AD316">
        <v>0.5</v>
      </c>
      <c r="AE316">
        <v>6</v>
      </c>
      <c r="AF316">
        <v>60</v>
      </c>
      <c r="AG316">
        <v>16.8</v>
      </c>
      <c r="AH316" t="s">
        <v>66</v>
      </c>
      <c r="AI316" t="s">
        <v>87</v>
      </c>
      <c r="AJ316" t="s">
        <v>87</v>
      </c>
    </row>
    <row r="317" spans="1:36" x14ac:dyDescent="0.2">
      <c r="A317">
        <v>1726</v>
      </c>
      <c r="B317" t="s">
        <v>1286</v>
      </c>
      <c r="C317" t="s">
        <v>1203</v>
      </c>
      <c r="D317" t="s">
        <v>1279</v>
      </c>
      <c r="E317" t="s">
        <v>1280</v>
      </c>
      <c r="F317" t="s">
        <v>63</v>
      </c>
      <c r="G317" t="s">
        <v>603</v>
      </c>
      <c r="H317" t="b">
        <f>FALSE()</f>
        <v>0</v>
      </c>
      <c r="I317" t="b">
        <f>TRUE()</f>
        <v>1</v>
      </c>
      <c r="J317" t="b">
        <f>FALSE()</f>
        <v>0</v>
      </c>
      <c r="K317" t="s">
        <v>65</v>
      </c>
      <c r="L317">
        <v>100</v>
      </c>
      <c r="M317">
        <v>192</v>
      </c>
      <c r="N317">
        <v>3.2</v>
      </c>
      <c r="O317">
        <v>26</v>
      </c>
      <c r="P317">
        <v>23</v>
      </c>
      <c r="Q317">
        <v>0</v>
      </c>
      <c r="R317">
        <v>9</v>
      </c>
      <c r="S317">
        <v>5.5</v>
      </c>
      <c r="T317">
        <v>2.6</v>
      </c>
      <c r="U317">
        <v>0.3</v>
      </c>
      <c r="V317">
        <v>0</v>
      </c>
      <c r="W317">
        <v>0.3</v>
      </c>
      <c r="X317">
        <v>70</v>
      </c>
      <c r="Y317">
        <v>150</v>
      </c>
      <c r="Z317">
        <v>110</v>
      </c>
      <c r="AA317">
        <v>12</v>
      </c>
      <c r="AB317">
        <v>0.1</v>
      </c>
      <c r="AC317">
        <v>0.4</v>
      </c>
      <c r="AD317">
        <v>0.5</v>
      </c>
      <c r="AE317">
        <v>6</v>
      </c>
      <c r="AF317">
        <v>60</v>
      </c>
      <c r="AG317">
        <v>15.6</v>
      </c>
      <c r="AH317" t="s">
        <v>66</v>
      </c>
      <c r="AI317" t="s">
        <v>87</v>
      </c>
      <c r="AJ317" t="s">
        <v>87</v>
      </c>
    </row>
    <row r="318" spans="1:36" x14ac:dyDescent="0.2">
      <c r="A318">
        <v>1729</v>
      </c>
      <c r="B318" t="s">
        <v>1289</v>
      </c>
      <c r="C318" t="s">
        <v>1203</v>
      </c>
      <c r="D318" t="s">
        <v>1279</v>
      </c>
      <c r="E318" t="s">
        <v>1280</v>
      </c>
      <c r="F318" t="s">
        <v>63</v>
      </c>
      <c r="G318" t="s">
        <v>603</v>
      </c>
      <c r="H318" t="b">
        <f>FALSE()</f>
        <v>0</v>
      </c>
      <c r="I318" t="b">
        <f>TRUE()</f>
        <v>1</v>
      </c>
      <c r="J318" t="b">
        <f>FALSE()</f>
        <v>0</v>
      </c>
      <c r="K318" t="s">
        <v>65</v>
      </c>
      <c r="L318">
        <v>100</v>
      </c>
      <c r="M318">
        <v>210</v>
      </c>
      <c r="N318">
        <v>3.5</v>
      </c>
      <c r="O318">
        <v>23</v>
      </c>
      <c r="P318">
        <v>20</v>
      </c>
      <c r="Q318">
        <v>0</v>
      </c>
      <c r="R318">
        <v>12</v>
      </c>
      <c r="S318">
        <v>7.5</v>
      </c>
      <c r="T318">
        <v>3.4</v>
      </c>
      <c r="U318">
        <v>0.3</v>
      </c>
      <c r="V318">
        <v>0</v>
      </c>
      <c r="W318">
        <v>0.3</v>
      </c>
      <c r="X318">
        <v>85</v>
      </c>
      <c r="Y318">
        <v>150</v>
      </c>
      <c r="Z318">
        <v>110</v>
      </c>
      <c r="AA318">
        <v>12</v>
      </c>
      <c r="AB318">
        <v>0.1</v>
      </c>
      <c r="AC318">
        <v>0.4</v>
      </c>
      <c r="AD318">
        <v>0.5</v>
      </c>
      <c r="AE318">
        <v>6</v>
      </c>
      <c r="AF318">
        <v>60</v>
      </c>
      <c r="AG318">
        <v>13.8</v>
      </c>
      <c r="AH318" t="s">
        <v>66</v>
      </c>
      <c r="AI318" t="s">
        <v>87</v>
      </c>
      <c r="AJ318" t="s">
        <v>87</v>
      </c>
    </row>
    <row r="320" spans="1:36" x14ac:dyDescent="0.2">
      <c r="B320" t="s">
        <v>1333</v>
      </c>
      <c r="C320" t="s">
        <v>308</v>
      </c>
      <c r="E320" t="s">
        <v>62</v>
      </c>
      <c r="H320" t="b">
        <f>FALSE()</f>
        <v>0</v>
      </c>
      <c r="I320" t="b">
        <f>FALSE()</f>
        <v>0</v>
      </c>
      <c r="J320" t="b">
        <f>TRUE()</f>
        <v>1</v>
      </c>
      <c r="K320" t="s">
        <v>126</v>
      </c>
      <c r="L320">
        <v>100</v>
      </c>
      <c r="M320">
        <v>39</v>
      </c>
      <c r="N320">
        <v>0.9</v>
      </c>
      <c r="O320">
        <v>9.5</v>
      </c>
      <c r="R320">
        <v>0.3</v>
      </c>
      <c r="AI320" t="s">
        <v>126</v>
      </c>
      <c r="AJ320" t="s">
        <v>126</v>
      </c>
    </row>
    <row r="321" spans="2:36" x14ac:dyDescent="0.2">
      <c r="B321" t="s">
        <v>1334</v>
      </c>
      <c r="C321" t="s">
        <v>308</v>
      </c>
      <c r="E321" t="s">
        <v>62</v>
      </c>
      <c r="H321" t="b">
        <f>FALSE()</f>
        <v>0</v>
      </c>
      <c r="I321" t="b">
        <f>FALSE()</f>
        <v>0</v>
      </c>
      <c r="J321" t="b">
        <f>TRUE()</f>
        <v>1</v>
      </c>
      <c r="K321" t="s">
        <v>126</v>
      </c>
      <c r="L321">
        <v>100</v>
      </c>
      <c r="M321">
        <v>42</v>
      </c>
      <c r="N321">
        <v>0.9</v>
      </c>
      <c r="O321">
        <v>10</v>
      </c>
      <c r="R321">
        <v>0.2</v>
      </c>
      <c r="AI321" t="s">
        <v>126</v>
      </c>
      <c r="AJ321" t="s">
        <v>126</v>
      </c>
    </row>
    <row r="322" spans="2:36" x14ac:dyDescent="0.2">
      <c r="B322" t="s">
        <v>1335</v>
      </c>
      <c r="C322" t="s">
        <v>308</v>
      </c>
      <c r="E322" t="s">
        <v>62</v>
      </c>
      <c r="H322" t="b">
        <f>FALSE()</f>
        <v>0</v>
      </c>
      <c r="I322" t="b">
        <f>FALSE()</f>
        <v>0</v>
      </c>
      <c r="J322" t="b">
        <f>TRUE()</f>
        <v>1</v>
      </c>
      <c r="K322" t="s">
        <v>126</v>
      </c>
      <c r="L322">
        <v>100</v>
      </c>
      <c r="M322">
        <v>46</v>
      </c>
      <c r="N322">
        <v>1</v>
      </c>
      <c r="O322">
        <v>10.6</v>
      </c>
      <c r="R322">
        <v>0.3</v>
      </c>
      <c r="AI322" t="s">
        <v>126</v>
      </c>
      <c r="AJ322" t="s">
        <v>126</v>
      </c>
    </row>
    <row r="323" spans="2:36" x14ac:dyDescent="0.2">
      <c r="B323" t="s">
        <v>1336</v>
      </c>
      <c r="C323" t="s">
        <v>308</v>
      </c>
      <c r="E323" t="s">
        <v>62</v>
      </c>
      <c r="H323" t="b">
        <f>FALSE()</f>
        <v>0</v>
      </c>
      <c r="I323" t="b">
        <f>FALSE()</f>
        <v>0</v>
      </c>
      <c r="J323" t="b">
        <f>TRUE()</f>
        <v>1</v>
      </c>
      <c r="K323" t="s">
        <v>126</v>
      </c>
      <c r="L323">
        <v>100</v>
      </c>
      <c r="M323">
        <v>46</v>
      </c>
      <c r="N323">
        <v>0.7</v>
      </c>
      <c r="O323">
        <v>11.4</v>
      </c>
      <c r="R323">
        <v>0.3</v>
      </c>
      <c r="AI323" t="s">
        <v>126</v>
      </c>
      <c r="AJ323" t="s">
        <v>126</v>
      </c>
    </row>
    <row r="324" spans="2:36" x14ac:dyDescent="0.2">
      <c r="B324" t="s">
        <v>1337</v>
      </c>
      <c r="C324" t="s">
        <v>1338</v>
      </c>
      <c r="E324" t="s">
        <v>62</v>
      </c>
      <c r="H324" t="b">
        <f>FALSE()</f>
        <v>0</v>
      </c>
      <c r="I324" t="b">
        <f>FALSE()</f>
        <v>0</v>
      </c>
      <c r="J324" t="b">
        <f>FALSE()</f>
        <v>0</v>
      </c>
      <c r="K324" t="s">
        <v>65</v>
      </c>
      <c r="L324">
        <v>100</v>
      </c>
      <c r="M324">
        <v>131</v>
      </c>
      <c r="N324">
        <v>21.8</v>
      </c>
      <c r="O324">
        <v>0</v>
      </c>
      <c r="R324">
        <v>4.5</v>
      </c>
      <c r="AI324" t="s">
        <v>126</v>
      </c>
      <c r="AJ324" t="s">
        <v>126</v>
      </c>
    </row>
    <row r="325" spans="2:36" x14ac:dyDescent="0.2">
      <c r="B325" t="s">
        <v>1339</v>
      </c>
      <c r="C325" t="s">
        <v>1338</v>
      </c>
      <c r="D325" t="s">
        <v>456</v>
      </c>
      <c r="E325" t="s">
        <v>62</v>
      </c>
      <c r="H325" t="b">
        <f>FALSE()</f>
        <v>0</v>
      </c>
      <c r="I325" t="b">
        <f>FALSE()</f>
        <v>0</v>
      </c>
      <c r="J325" t="b">
        <f>FALSE()</f>
        <v>0</v>
      </c>
      <c r="K325" t="s">
        <v>65</v>
      </c>
      <c r="L325">
        <v>100</v>
      </c>
      <c r="M325">
        <v>203</v>
      </c>
      <c r="N325">
        <v>18.3</v>
      </c>
      <c r="O325">
        <v>0</v>
      </c>
      <c r="R325">
        <v>15</v>
      </c>
      <c r="AI325" t="s">
        <v>65</v>
      </c>
      <c r="AJ325" t="s">
        <v>65</v>
      </c>
    </row>
    <row r="326" spans="2:36" x14ac:dyDescent="0.2">
      <c r="B326" t="s">
        <v>1340</v>
      </c>
      <c r="C326" t="s">
        <v>1338</v>
      </c>
      <c r="D326" t="s">
        <v>465</v>
      </c>
      <c r="E326" t="s">
        <v>62</v>
      </c>
      <c r="H326" t="b">
        <f>FALSE()</f>
        <v>0</v>
      </c>
      <c r="I326" t="b">
        <f>FALSE()</f>
        <v>0</v>
      </c>
      <c r="J326" t="b">
        <f>FALSE()</f>
        <v>0</v>
      </c>
      <c r="K326" t="s">
        <v>65</v>
      </c>
      <c r="L326">
        <v>100</v>
      </c>
      <c r="M326">
        <v>220</v>
      </c>
      <c r="N326">
        <v>20.6</v>
      </c>
      <c r="O326">
        <v>0</v>
      </c>
      <c r="R326">
        <v>15.6</v>
      </c>
      <c r="AI326" t="s">
        <v>65</v>
      </c>
      <c r="AJ326" t="s">
        <v>65</v>
      </c>
    </row>
    <row r="327" spans="2:36" x14ac:dyDescent="0.2">
      <c r="B327" t="s">
        <v>1341</v>
      </c>
      <c r="C327" t="s">
        <v>1338</v>
      </c>
      <c r="D327" t="s">
        <v>465</v>
      </c>
      <c r="E327" t="s">
        <v>62</v>
      </c>
      <c r="H327" t="b">
        <f>FALSE()</f>
        <v>0</v>
      </c>
      <c r="I327" t="b">
        <f>FALSE()</f>
        <v>0</v>
      </c>
      <c r="J327" t="b">
        <f>FALSE()</f>
        <v>0</v>
      </c>
      <c r="K327" t="s">
        <v>65</v>
      </c>
      <c r="L327">
        <v>100</v>
      </c>
      <c r="M327">
        <v>132</v>
      </c>
      <c r="N327">
        <v>22.3</v>
      </c>
      <c r="O327">
        <v>0</v>
      </c>
      <c r="R327">
        <v>4.5999999999999996</v>
      </c>
      <c r="AI327" t="s">
        <v>65</v>
      </c>
      <c r="AJ327" t="s">
        <v>65</v>
      </c>
    </row>
    <row r="328" spans="2:36" x14ac:dyDescent="0.2">
      <c r="B328" t="s">
        <v>1342</v>
      </c>
      <c r="C328" t="s">
        <v>1338</v>
      </c>
      <c r="D328" t="s">
        <v>1343</v>
      </c>
      <c r="E328" t="s">
        <v>62</v>
      </c>
      <c r="H328" t="b">
        <f>FALSE()</f>
        <v>0</v>
      </c>
      <c r="I328" t="b">
        <f>FALSE()</f>
        <v>0</v>
      </c>
      <c r="J328" t="b">
        <f>FALSE()</f>
        <v>0</v>
      </c>
      <c r="K328" t="s">
        <v>65</v>
      </c>
      <c r="L328">
        <v>100</v>
      </c>
      <c r="M328">
        <v>290</v>
      </c>
      <c r="N328">
        <v>17.5</v>
      </c>
      <c r="O328">
        <v>0</v>
      </c>
      <c r="R328">
        <v>24</v>
      </c>
      <c r="AI328" t="s">
        <v>65</v>
      </c>
      <c r="AJ328" t="s">
        <v>65</v>
      </c>
    </row>
    <row r="329" spans="2:36" x14ac:dyDescent="0.2">
      <c r="B329" t="s">
        <v>1344</v>
      </c>
      <c r="C329" t="s">
        <v>1338</v>
      </c>
      <c r="D329" t="s">
        <v>1347</v>
      </c>
      <c r="E329" t="s">
        <v>62</v>
      </c>
      <c r="H329" t="b">
        <f>FALSE()</f>
        <v>0</v>
      </c>
      <c r="I329" t="b">
        <f>FALSE()</f>
        <v>0</v>
      </c>
      <c r="J329" t="b">
        <f>FALSE()</f>
        <v>0</v>
      </c>
      <c r="K329" t="s">
        <v>65</v>
      </c>
      <c r="L329">
        <v>100</v>
      </c>
      <c r="M329">
        <v>118</v>
      </c>
      <c r="N329">
        <v>22.5</v>
      </c>
      <c r="O329">
        <v>0</v>
      </c>
      <c r="R329">
        <v>2.8</v>
      </c>
      <c r="AI329" t="s">
        <v>65</v>
      </c>
      <c r="AJ329" t="s">
        <v>65</v>
      </c>
    </row>
    <row r="330" spans="2:36" x14ac:dyDescent="0.2">
      <c r="B330" t="s">
        <v>1345</v>
      </c>
      <c r="C330" t="s">
        <v>1338</v>
      </c>
      <c r="D330" t="s">
        <v>1346</v>
      </c>
      <c r="E330" t="s">
        <v>62</v>
      </c>
      <c r="H330" t="b">
        <f>FALSE()</f>
        <v>0</v>
      </c>
      <c r="I330" t="b">
        <f>TRUE()</f>
        <v>1</v>
      </c>
      <c r="J330" t="b">
        <f>FALSE()</f>
        <v>0</v>
      </c>
      <c r="K330" t="s">
        <v>65</v>
      </c>
      <c r="L330">
        <v>100</v>
      </c>
      <c r="M330">
        <v>142</v>
      </c>
      <c r="N330">
        <v>20.5</v>
      </c>
      <c r="O330">
        <v>0</v>
      </c>
      <c r="R330">
        <v>6.5</v>
      </c>
      <c r="AI330" t="s">
        <v>65</v>
      </c>
      <c r="AJ330" t="s">
        <v>65</v>
      </c>
    </row>
    <row r="331" spans="2:36" x14ac:dyDescent="0.2">
      <c r="B331" t="s">
        <v>1350</v>
      </c>
      <c r="C331" t="s">
        <v>1338</v>
      </c>
      <c r="D331" t="s">
        <v>1348</v>
      </c>
      <c r="E331" t="s">
        <v>62</v>
      </c>
      <c r="H331" t="b">
        <f>FALSE()</f>
        <v>0</v>
      </c>
      <c r="I331" t="b">
        <f>TRUE()</f>
        <v>1</v>
      </c>
      <c r="J331" t="b">
        <f>FALSE()</f>
        <v>0</v>
      </c>
      <c r="K331" t="s">
        <v>65</v>
      </c>
      <c r="L331">
        <v>100</v>
      </c>
      <c r="M331">
        <v>187</v>
      </c>
      <c r="N331">
        <v>19.7</v>
      </c>
      <c r="O331">
        <v>0</v>
      </c>
      <c r="R331">
        <v>12</v>
      </c>
      <c r="AI331" t="s">
        <v>65</v>
      </c>
      <c r="AJ331" t="s">
        <v>65</v>
      </c>
    </row>
    <row r="332" spans="2:36" x14ac:dyDescent="0.2">
      <c r="B332" t="s">
        <v>1349</v>
      </c>
      <c r="C332" t="s">
        <v>1338</v>
      </c>
      <c r="E332" t="s">
        <v>62</v>
      </c>
      <c r="H332" t="b">
        <f>FALSE()</f>
        <v>0</v>
      </c>
      <c r="I332" t="b">
        <f>TRUE()</f>
        <v>1</v>
      </c>
      <c r="J332" t="b">
        <f>FALSE()</f>
        <v>0</v>
      </c>
      <c r="K332" t="s">
        <v>65</v>
      </c>
      <c r="L332">
        <v>100</v>
      </c>
      <c r="M332">
        <v>228</v>
      </c>
      <c r="N332">
        <v>17.600000000000001</v>
      </c>
      <c r="O332">
        <v>0</v>
      </c>
      <c r="R332">
        <v>17.5</v>
      </c>
      <c r="AI332" t="s">
        <v>65</v>
      </c>
      <c r="AJ332" t="s">
        <v>87</v>
      </c>
    </row>
    <row r="333" spans="2:36" x14ac:dyDescent="0.2">
      <c r="B333" t="s">
        <v>1351</v>
      </c>
      <c r="C333" t="s">
        <v>1338</v>
      </c>
      <c r="D333" t="s">
        <v>1343</v>
      </c>
      <c r="E333" t="s">
        <v>62</v>
      </c>
      <c r="H333" t="b">
        <f>FALSE()</f>
        <v>0</v>
      </c>
      <c r="I333" t="b">
        <f>TRUE()</f>
        <v>1</v>
      </c>
      <c r="J333" t="b">
        <f>FALSE()</f>
        <v>0</v>
      </c>
      <c r="K333" t="s">
        <v>87</v>
      </c>
      <c r="L333">
        <v>100</v>
      </c>
      <c r="M333">
        <v>332</v>
      </c>
      <c r="N333">
        <v>15</v>
      </c>
      <c r="O333">
        <v>0</v>
      </c>
      <c r="R333">
        <v>30</v>
      </c>
      <c r="AI333" t="s">
        <v>65</v>
      </c>
      <c r="AJ333" t="s">
        <v>87</v>
      </c>
    </row>
    <row r="334" spans="2:36" x14ac:dyDescent="0.2">
      <c r="B334" t="s">
        <v>1352</v>
      </c>
      <c r="C334" t="s">
        <v>1338</v>
      </c>
      <c r="D334" t="s">
        <v>1347</v>
      </c>
      <c r="E334" t="s">
        <v>62</v>
      </c>
      <c r="H334" t="b">
        <f>FALSE()</f>
        <v>0</v>
      </c>
      <c r="I334" t="b">
        <f>TRUE()</f>
        <v>1</v>
      </c>
      <c r="J334" t="b">
        <f>FALSE()</f>
        <v>0</v>
      </c>
      <c r="K334" t="s">
        <v>87</v>
      </c>
      <c r="L334">
        <v>100</v>
      </c>
      <c r="M334">
        <v>222</v>
      </c>
      <c r="N334">
        <v>18</v>
      </c>
      <c r="O334">
        <v>0</v>
      </c>
      <c r="R334">
        <v>16</v>
      </c>
      <c r="AI334" t="s">
        <v>65</v>
      </c>
      <c r="AJ334" t="s">
        <v>65</v>
      </c>
    </row>
    <row r="335" spans="2:36" x14ac:dyDescent="0.2">
      <c r="B335" t="s">
        <v>1353</v>
      </c>
      <c r="C335" t="s">
        <v>1338</v>
      </c>
      <c r="D335" t="s">
        <v>1354</v>
      </c>
      <c r="E335" t="s">
        <v>62</v>
      </c>
      <c r="H335" t="b">
        <f>FALSE()</f>
        <v>0</v>
      </c>
      <c r="I335" t="b">
        <f>FALSE()</f>
        <v>0</v>
      </c>
      <c r="J335" t="b">
        <f>FALSE()</f>
        <v>0</v>
      </c>
      <c r="K335" t="s">
        <v>87</v>
      </c>
      <c r="L335">
        <v>100</v>
      </c>
      <c r="M335">
        <v>105</v>
      </c>
      <c r="N335">
        <v>21</v>
      </c>
      <c r="O335">
        <v>2</v>
      </c>
      <c r="R335">
        <v>1.5</v>
      </c>
      <c r="AI335" t="s">
        <v>65</v>
      </c>
      <c r="AJ335" t="s">
        <v>65</v>
      </c>
    </row>
    <row r="336" spans="2:36" x14ac:dyDescent="0.2">
      <c r="B336" t="s">
        <v>1355</v>
      </c>
      <c r="C336" t="s">
        <v>1356</v>
      </c>
      <c r="D336" t="s">
        <v>1356</v>
      </c>
      <c r="E336" t="s">
        <v>62</v>
      </c>
      <c r="H336" t="b">
        <f>FALSE()</f>
        <v>0</v>
      </c>
      <c r="I336" t="b">
        <f>FALSE()</f>
        <v>0</v>
      </c>
      <c r="J336" t="b">
        <f>FALSE()</f>
        <v>0</v>
      </c>
      <c r="K336" t="s">
        <v>65</v>
      </c>
      <c r="L336">
        <v>100</v>
      </c>
      <c r="M336">
        <v>74</v>
      </c>
      <c r="N336">
        <v>17.7</v>
      </c>
      <c r="O336">
        <v>0</v>
      </c>
      <c r="R336">
        <v>0.4</v>
      </c>
      <c r="AI336" t="s">
        <v>65</v>
      </c>
      <c r="AJ336" t="s">
        <v>65</v>
      </c>
    </row>
    <row r="337" spans="2:36" x14ac:dyDescent="0.2">
      <c r="B337" t="s">
        <v>1357</v>
      </c>
      <c r="C337" t="s">
        <v>1356</v>
      </c>
      <c r="D337" t="s">
        <v>1356</v>
      </c>
      <c r="E337" t="s">
        <v>1358</v>
      </c>
      <c r="H337" t="b">
        <f>FALSE()</f>
        <v>0</v>
      </c>
      <c r="I337" t="b">
        <f>FALSE()</f>
        <v>0</v>
      </c>
      <c r="J337" t="b">
        <f>FALSE()</f>
        <v>0</v>
      </c>
      <c r="K337" t="s">
        <v>65</v>
      </c>
      <c r="L337">
        <v>100</v>
      </c>
      <c r="M337">
        <v>82</v>
      </c>
      <c r="N337">
        <v>18</v>
      </c>
      <c r="O337">
        <v>0</v>
      </c>
      <c r="R337">
        <v>0.7</v>
      </c>
      <c r="AI337" t="s">
        <v>65</v>
      </c>
      <c r="AJ337" t="s">
        <v>65</v>
      </c>
    </row>
    <row r="338" spans="2:36" x14ac:dyDescent="0.2">
      <c r="B338" t="s">
        <v>1359</v>
      </c>
      <c r="C338" t="s">
        <v>1356</v>
      </c>
      <c r="D338" t="s">
        <v>1356</v>
      </c>
      <c r="E338" t="s">
        <v>1358</v>
      </c>
      <c r="H338" t="b">
        <f>FALSE()</f>
        <v>0</v>
      </c>
      <c r="I338" t="b">
        <f>FALSE()</f>
        <v>0</v>
      </c>
      <c r="J338" t="b">
        <f>FALSE()</f>
        <v>0</v>
      </c>
      <c r="K338" t="s">
        <v>65</v>
      </c>
      <c r="L338">
        <v>100</v>
      </c>
      <c r="M338">
        <v>181</v>
      </c>
      <c r="N338">
        <v>22</v>
      </c>
      <c r="O338">
        <v>0</v>
      </c>
      <c r="R338">
        <v>10.5</v>
      </c>
      <c r="AI338" t="s">
        <v>65</v>
      </c>
      <c r="AJ338" t="s">
        <v>65</v>
      </c>
    </row>
    <row r="339" spans="2:36" x14ac:dyDescent="0.2">
      <c r="B339" t="s">
        <v>1360</v>
      </c>
      <c r="C339" t="s">
        <v>1356</v>
      </c>
      <c r="D339" t="s">
        <v>1356</v>
      </c>
      <c r="E339" t="s">
        <v>1361</v>
      </c>
      <c r="H339" t="b">
        <f>FALSE()</f>
        <v>0</v>
      </c>
      <c r="I339" t="b">
        <f>FALSE()</f>
        <v>0</v>
      </c>
      <c r="J339" t="b">
        <f>FALSE()</f>
        <v>0</v>
      </c>
      <c r="K339" t="s">
        <v>65</v>
      </c>
      <c r="L339">
        <v>100</v>
      </c>
      <c r="M339">
        <v>167</v>
      </c>
      <c r="N339">
        <v>24</v>
      </c>
      <c r="O339">
        <v>0</v>
      </c>
      <c r="R339">
        <v>7.5</v>
      </c>
      <c r="AI339" t="s">
        <v>65</v>
      </c>
      <c r="AJ339" t="s">
        <v>65</v>
      </c>
    </row>
    <row r="340" spans="2:36" x14ac:dyDescent="0.2">
      <c r="B340" t="s">
        <v>1362</v>
      </c>
      <c r="C340" t="s">
        <v>1356</v>
      </c>
      <c r="D340" t="s">
        <v>1363</v>
      </c>
      <c r="E340" t="s">
        <v>62</v>
      </c>
      <c r="H340" t="b">
        <f>FALSE()</f>
        <v>0</v>
      </c>
      <c r="I340" t="b">
        <f>FALSE()</f>
        <v>0</v>
      </c>
      <c r="J340" t="b">
        <f>FALSE()</f>
        <v>0</v>
      </c>
      <c r="K340" t="s">
        <v>65</v>
      </c>
      <c r="L340">
        <v>100</v>
      </c>
      <c r="M340">
        <v>86</v>
      </c>
      <c r="N340">
        <v>12</v>
      </c>
      <c r="O340">
        <v>3.7</v>
      </c>
      <c r="R340">
        <v>2.2000000000000002</v>
      </c>
      <c r="AI340" t="s">
        <v>65</v>
      </c>
      <c r="AJ340" t="s">
        <v>65</v>
      </c>
    </row>
    <row r="341" spans="2:36" x14ac:dyDescent="0.2">
      <c r="B341" t="s">
        <v>1364</v>
      </c>
      <c r="C341" t="s">
        <v>1356</v>
      </c>
      <c r="D341" t="s">
        <v>1363</v>
      </c>
      <c r="E341" t="s">
        <v>1361</v>
      </c>
      <c r="H341" t="b">
        <f>FALSE()</f>
        <v>0</v>
      </c>
      <c r="I341" t="b">
        <f>FALSE()</f>
        <v>0</v>
      </c>
      <c r="J341" t="b">
        <f>FALSE()</f>
        <v>0</v>
      </c>
      <c r="K341" t="s">
        <v>126</v>
      </c>
      <c r="L341">
        <v>100</v>
      </c>
      <c r="M341">
        <v>168</v>
      </c>
      <c r="N341">
        <v>14</v>
      </c>
      <c r="O341">
        <v>4</v>
      </c>
      <c r="R341">
        <v>10</v>
      </c>
      <c r="AI341" t="s">
        <v>65</v>
      </c>
      <c r="AJ341" t="s">
        <v>65</v>
      </c>
    </row>
    <row r="342" spans="2:36" x14ac:dyDescent="0.2">
      <c r="B342" t="s">
        <v>1365</v>
      </c>
      <c r="C342" t="s">
        <v>1356</v>
      </c>
      <c r="D342" t="s">
        <v>1363</v>
      </c>
      <c r="E342" t="s">
        <v>62</v>
      </c>
      <c r="H342" t="b">
        <f>FALSE()</f>
        <v>0</v>
      </c>
      <c r="I342" t="b">
        <f>FALSE()</f>
        <v>0</v>
      </c>
      <c r="J342" t="b">
        <f>FALSE()</f>
        <v>0</v>
      </c>
      <c r="K342" t="s">
        <v>65</v>
      </c>
      <c r="L342">
        <v>100</v>
      </c>
      <c r="M342">
        <v>79</v>
      </c>
      <c r="N342">
        <v>15.7</v>
      </c>
      <c r="O342">
        <v>3</v>
      </c>
      <c r="R342">
        <v>1</v>
      </c>
      <c r="AI342" t="s">
        <v>65</v>
      </c>
      <c r="AJ342" t="s">
        <v>65</v>
      </c>
    </row>
    <row r="343" spans="2:36" x14ac:dyDescent="0.2">
      <c r="B343" t="s">
        <v>1366</v>
      </c>
      <c r="C343" t="s">
        <v>1356</v>
      </c>
      <c r="D343" t="s">
        <v>1363</v>
      </c>
      <c r="E343" t="s">
        <v>1361</v>
      </c>
      <c r="H343" t="b">
        <f>FALSE()</f>
        <v>0</v>
      </c>
      <c r="I343" t="b">
        <f>FALSE()</f>
        <v>0</v>
      </c>
      <c r="J343" t="b">
        <f>FALSE()</f>
        <v>0</v>
      </c>
      <c r="K343" t="s">
        <v>65</v>
      </c>
      <c r="L343">
        <v>100</v>
      </c>
      <c r="M343">
        <v>69</v>
      </c>
      <c r="N343">
        <v>15</v>
      </c>
      <c r="O343">
        <v>2.5</v>
      </c>
      <c r="R343">
        <v>0.6</v>
      </c>
      <c r="AI343" t="s">
        <v>65</v>
      </c>
      <c r="AJ343" t="s">
        <v>65</v>
      </c>
    </row>
    <row r="344" spans="2:36" x14ac:dyDescent="0.2">
      <c r="B344" t="s">
        <v>1367</v>
      </c>
      <c r="C344" t="s">
        <v>1368</v>
      </c>
      <c r="D344" t="s">
        <v>1368</v>
      </c>
      <c r="E344" t="s">
        <v>62</v>
      </c>
      <c r="H344" t="b">
        <f>FALSE()</f>
        <v>0</v>
      </c>
      <c r="I344" t="b">
        <f>TRUE()</f>
        <v>1</v>
      </c>
      <c r="J344" t="b">
        <f>FALSE()</f>
        <v>0</v>
      </c>
      <c r="K344" t="s">
        <v>126</v>
      </c>
      <c r="L344">
        <v>100</v>
      </c>
      <c r="M344">
        <v>64</v>
      </c>
      <c r="N344">
        <v>3.5</v>
      </c>
      <c r="O344">
        <v>4.7</v>
      </c>
      <c r="R344">
        <v>3.5</v>
      </c>
      <c r="AI344" t="s">
        <v>126</v>
      </c>
      <c r="AJ344" t="s">
        <v>126</v>
      </c>
    </row>
    <row r="345" spans="2:36" x14ac:dyDescent="0.2">
      <c r="B345" t="s">
        <v>1369</v>
      </c>
      <c r="C345" t="s">
        <v>1368</v>
      </c>
      <c r="D345" t="s">
        <v>1368</v>
      </c>
      <c r="E345" t="s">
        <v>62</v>
      </c>
      <c r="H345" t="b">
        <f>FALSE()</f>
        <v>0</v>
      </c>
      <c r="I345" t="b">
        <f>TRUE()</f>
        <v>1</v>
      </c>
      <c r="J345" t="b">
        <f>FALSE()</f>
        <v>0</v>
      </c>
      <c r="K345" t="s">
        <v>126</v>
      </c>
      <c r="L345">
        <v>100</v>
      </c>
      <c r="M345">
        <v>38</v>
      </c>
      <c r="N345">
        <v>3.8</v>
      </c>
      <c r="O345">
        <v>4.5</v>
      </c>
      <c r="R345">
        <v>0.2</v>
      </c>
      <c r="AI345" t="s">
        <v>87</v>
      </c>
      <c r="AJ345" t="s">
        <v>87</v>
      </c>
    </row>
    <row r="346" spans="2:36" x14ac:dyDescent="0.2">
      <c r="B346" t="s">
        <v>1370</v>
      </c>
      <c r="C346" t="s">
        <v>1203</v>
      </c>
      <c r="D346" t="s">
        <v>1371</v>
      </c>
      <c r="E346" t="s">
        <v>62</v>
      </c>
      <c r="H346" t="b">
        <f>FALSE()</f>
        <v>0</v>
      </c>
      <c r="I346" t="b">
        <f>TRUE()</f>
        <v>1</v>
      </c>
      <c r="J346" t="b">
        <f>FALSE()</f>
        <v>0</v>
      </c>
      <c r="K346" t="s">
        <v>126</v>
      </c>
      <c r="L346">
        <v>100</v>
      </c>
      <c r="M346">
        <v>539</v>
      </c>
      <c r="N346">
        <v>6.3</v>
      </c>
      <c r="O346">
        <v>57.5</v>
      </c>
      <c r="R346">
        <v>30.9</v>
      </c>
      <c r="AI346" t="s">
        <v>87</v>
      </c>
      <c r="AJ346" t="s">
        <v>126</v>
      </c>
    </row>
    <row r="347" spans="2:36" x14ac:dyDescent="0.2">
      <c r="B347" t="s">
        <v>1372</v>
      </c>
      <c r="C347" t="s">
        <v>1373</v>
      </c>
      <c r="D347" t="s">
        <v>1374</v>
      </c>
      <c r="E347" t="s">
        <v>62</v>
      </c>
      <c r="H347" t="b">
        <f>FALSE()</f>
        <v>0</v>
      </c>
      <c r="I347" t="b">
        <f>FALSE()</f>
        <v>0</v>
      </c>
      <c r="J347" t="b">
        <f>TRUE()</f>
        <v>1</v>
      </c>
      <c r="K347" t="s">
        <v>126</v>
      </c>
      <c r="L347">
        <v>100</v>
      </c>
      <c r="M347">
        <v>53</v>
      </c>
      <c r="N347">
        <v>8.1</v>
      </c>
      <c r="O347">
        <v>4.9000000000000004</v>
      </c>
      <c r="R347">
        <v>0.6</v>
      </c>
      <c r="AI347" t="s">
        <v>65</v>
      </c>
      <c r="AJ347" t="s">
        <v>126</v>
      </c>
    </row>
    <row r="348" spans="2:36" x14ac:dyDescent="0.2">
      <c r="B348" t="s">
        <v>1375</v>
      </c>
      <c r="C348" t="s">
        <v>22</v>
      </c>
      <c r="D348" t="s">
        <v>1374</v>
      </c>
      <c r="E348" t="s">
        <v>62</v>
      </c>
      <c r="H348" t="b">
        <f>FALSE()</f>
        <v>0</v>
      </c>
      <c r="I348" t="b">
        <f>FALSE()</f>
        <v>0</v>
      </c>
      <c r="J348" t="b">
        <f>TRUE()</f>
        <v>1</v>
      </c>
      <c r="K348" t="s">
        <v>65</v>
      </c>
      <c r="L348">
        <v>100</v>
      </c>
      <c r="M348">
        <v>76</v>
      </c>
      <c r="N348">
        <v>8.1</v>
      </c>
      <c r="O348">
        <v>1.9</v>
      </c>
      <c r="R348">
        <v>4.8</v>
      </c>
      <c r="AI348" t="s">
        <v>87</v>
      </c>
      <c r="AJ348" t="s">
        <v>87</v>
      </c>
    </row>
    <row r="349" spans="2:36" x14ac:dyDescent="0.2">
      <c r="B349" t="s">
        <v>1376</v>
      </c>
      <c r="C349" t="s">
        <v>22</v>
      </c>
      <c r="D349" t="s">
        <v>1374</v>
      </c>
      <c r="E349" t="s">
        <v>62</v>
      </c>
      <c r="H349" t="b">
        <f>FALSE()</f>
        <v>0</v>
      </c>
      <c r="I349" t="b">
        <f>FALSE()</f>
        <v>0</v>
      </c>
      <c r="J349" t="b">
        <f>TRUE()</f>
        <v>1</v>
      </c>
      <c r="K349" t="s">
        <v>87</v>
      </c>
      <c r="L349">
        <v>100</v>
      </c>
      <c r="M349">
        <v>121</v>
      </c>
      <c r="N349">
        <v>24.7</v>
      </c>
      <c r="O349">
        <v>3.8</v>
      </c>
      <c r="R349">
        <v>1.9</v>
      </c>
      <c r="AI349" t="s">
        <v>87</v>
      </c>
      <c r="AJ349" t="s">
        <v>87</v>
      </c>
    </row>
    <row r="350" spans="2:36" x14ac:dyDescent="0.2">
      <c r="B350" t="s">
        <v>1377</v>
      </c>
      <c r="C350" t="s">
        <v>1378</v>
      </c>
      <c r="D350" t="s">
        <v>1378</v>
      </c>
      <c r="E350" t="s">
        <v>76</v>
      </c>
      <c r="H350" t="b">
        <f>FALSE()</f>
        <v>0</v>
      </c>
      <c r="I350" t="b">
        <f>FALSE()</f>
        <v>0</v>
      </c>
      <c r="J350" t="b">
        <f>TRUE()</f>
        <v>1</v>
      </c>
      <c r="K350" t="s">
        <v>126</v>
      </c>
      <c r="L350">
        <v>100</v>
      </c>
      <c r="M350">
        <v>80</v>
      </c>
      <c r="N350">
        <v>5.5</v>
      </c>
      <c r="O350">
        <v>11.6</v>
      </c>
      <c r="R350">
        <v>0.4</v>
      </c>
      <c r="AI350" t="s">
        <v>126</v>
      </c>
      <c r="AJ350" t="s">
        <v>126</v>
      </c>
    </row>
    <row r="351" spans="2:36" x14ac:dyDescent="0.2">
      <c r="B351" t="s">
        <v>1379</v>
      </c>
      <c r="C351" t="s">
        <v>1378</v>
      </c>
      <c r="D351" t="s">
        <v>1378</v>
      </c>
      <c r="E351" t="s">
        <v>62</v>
      </c>
      <c r="H351" t="b">
        <f>FALSE()</f>
        <v>0</v>
      </c>
      <c r="I351" t="b">
        <f>FALSE()</f>
        <v>0</v>
      </c>
      <c r="J351" t="b">
        <f>TRUE()</f>
        <v>1</v>
      </c>
      <c r="K351" t="s">
        <v>65</v>
      </c>
      <c r="L351">
        <v>100</v>
      </c>
      <c r="M351">
        <v>338</v>
      </c>
      <c r="N351">
        <v>26</v>
      </c>
      <c r="O351">
        <v>49</v>
      </c>
      <c r="R351">
        <v>2.5</v>
      </c>
      <c r="AI351" t="s">
        <v>126</v>
      </c>
      <c r="AJ351" t="s">
        <v>87</v>
      </c>
    </row>
    <row r="352" spans="2:36" x14ac:dyDescent="0.2">
      <c r="B352" t="s">
        <v>1380</v>
      </c>
      <c r="C352" t="s">
        <v>1381</v>
      </c>
      <c r="D352" t="s">
        <v>1382</v>
      </c>
      <c r="E352" t="s">
        <v>62</v>
      </c>
      <c r="H352" t="b">
        <f>TRUE()</f>
        <v>1</v>
      </c>
      <c r="I352" t="b">
        <f>FALSE()</f>
        <v>0</v>
      </c>
      <c r="J352" t="b">
        <f>TRUE()</f>
        <v>1</v>
      </c>
      <c r="K352" t="s">
        <v>126</v>
      </c>
      <c r="L352">
        <v>100</v>
      </c>
      <c r="M352">
        <v>312</v>
      </c>
      <c r="N352">
        <v>8</v>
      </c>
      <c r="O352">
        <v>52</v>
      </c>
      <c r="R352">
        <v>8.5</v>
      </c>
      <c r="AI352" t="s">
        <v>65</v>
      </c>
      <c r="AJ352" t="s">
        <v>87</v>
      </c>
    </row>
    <row r="353" spans="2:36" x14ac:dyDescent="0.2">
      <c r="B353" t="s">
        <v>1383</v>
      </c>
      <c r="C353" t="s">
        <v>1381</v>
      </c>
      <c r="D353" t="s">
        <v>1382</v>
      </c>
      <c r="E353" t="s">
        <v>62</v>
      </c>
      <c r="H353" t="b">
        <f>TRUE()</f>
        <v>1</v>
      </c>
      <c r="I353" t="b">
        <f>FALSE()</f>
        <v>0</v>
      </c>
      <c r="J353" t="b">
        <f>TRUE()</f>
        <v>1</v>
      </c>
      <c r="K353" t="s">
        <v>126</v>
      </c>
      <c r="L353">
        <v>100</v>
      </c>
      <c r="M353">
        <v>300</v>
      </c>
      <c r="N353">
        <v>9</v>
      </c>
      <c r="O353">
        <v>48</v>
      </c>
      <c r="R353">
        <v>8.1999999999999993</v>
      </c>
      <c r="AI353" t="s">
        <v>126</v>
      </c>
      <c r="AJ353" t="s">
        <v>126</v>
      </c>
    </row>
    <row r="354" spans="2:36" x14ac:dyDescent="0.2">
      <c r="B354" t="s">
        <v>1384</v>
      </c>
      <c r="C354" t="s">
        <v>1385</v>
      </c>
      <c r="D354" t="s">
        <v>1386</v>
      </c>
      <c r="E354" t="s">
        <v>62</v>
      </c>
      <c r="H354" t="b">
        <f>FALSE()</f>
        <v>0</v>
      </c>
      <c r="I354" t="b">
        <f>FALSE()</f>
        <v>0</v>
      </c>
      <c r="J354" t="b">
        <f>TRUE()</f>
        <v>1</v>
      </c>
      <c r="K354" t="s">
        <v>126</v>
      </c>
      <c r="L354">
        <v>100</v>
      </c>
      <c r="M354">
        <v>141</v>
      </c>
      <c r="N354">
        <v>1.5</v>
      </c>
      <c r="O354">
        <v>5.9</v>
      </c>
      <c r="R354">
        <v>12</v>
      </c>
      <c r="AI354" t="s">
        <v>126</v>
      </c>
      <c r="AJ354" t="s">
        <v>126</v>
      </c>
    </row>
    <row r="355" spans="2:36" x14ac:dyDescent="0.2">
      <c r="B355" t="s">
        <v>1387</v>
      </c>
      <c r="C355" t="s">
        <v>1388</v>
      </c>
      <c r="D355" t="s">
        <v>1388</v>
      </c>
      <c r="E355" t="s">
        <v>62</v>
      </c>
      <c r="H355" t="b">
        <f>FALSE()</f>
        <v>0</v>
      </c>
      <c r="I355" t="b">
        <f>FALSE()</f>
        <v>0</v>
      </c>
      <c r="J355" t="b">
        <f>TRUE()</f>
        <v>1</v>
      </c>
      <c r="K355" t="s">
        <v>126</v>
      </c>
      <c r="L355">
        <v>100</v>
      </c>
      <c r="M355">
        <v>23</v>
      </c>
      <c r="N355">
        <v>2.6</v>
      </c>
      <c r="O355">
        <v>1.8</v>
      </c>
      <c r="R355">
        <v>0.2</v>
      </c>
      <c r="AI355" t="s">
        <v>126</v>
      </c>
      <c r="AJ355" t="s">
        <v>126</v>
      </c>
    </row>
    <row r="356" spans="2:36" x14ac:dyDescent="0.2">
      <c r="B356" t="s">
        <v>1389</v>
      </c>
      <c r="C356" t="s">
        <v>1388</v>
      </c>
      <c r="D356" t="s">
        <v>1388</v>
      </c>
      <c r="E356" t="s">
        <v>62</v>
      </c>
      <c r="H356" t="b">
        <f>FALSE()</f>
        <v>0</v>
      </c>
      <c r="I356" t="b">
        <f>FALSE()</f>
        <v>0</v>
      </c>
      <c r="J356" t="b">
        <f>TRUE()</f>
        <v>1</v>
      </c>
      <c r="K356" t="s">
        <v>65</v>
      </c>
      <c r="L356">
        <v>100</v>
      </c>
      <c r="M356">
        <v>20</v>
      </c>
      <c r="N356">
        <v>1.8</v>
      </c>
      <c r="O356">
        <v>2.5</v>
      </c>
      <c r="R356">
        <v>0.2</v>
      </c>
      <c r="AI356" t="s">
        <v>87</v>
      </c>
      <c r="AJ356" t="s">
        <v>87</v>
      </c>
    </row>
    <row r="357" spans="2:36" x14ac:dyDescent="0.2">
      <c r="B357" t="s">
        <v>1390</v>
      </c>
      <c r="C357" t="s">
        <v>1388</v>
      </c>
      <c r="D357" t="s">
        <v>1388</v>
      </c>
      <c r="E357" t="s">
        <v>62</v>
      </c>
      <c r="H357" t="b">
        <f>FALSE()</f>
        <v>0</v>
      </c>
      <c r="I357" t="b">
        <f>FALSE()</f>
        <v>0</v>
      </c>
      <c r="J357" t="b">
        <f>TRUE()</f>
        <v>1</v>
      </c>
      <c r="K357" t="s">
        <v>126</v>
      </c>
      <c r="L357">
        <v>100</v>
      </c>
      <c r="M357">
        <v>44</v>
      </c>
      <c r="N357">
        <v>2.4</v>
      </c>
      <c r="O357">
        <v>7.8</v>
      </c>
      <c r="R357">
        <v>0.2</v>
      </c>
      <c r="AI357" t="s">
        <v>126</v>
      </c>
      <c r="AJ357" t="s">
        <v>126</v>
      </c>
    </row>
  </sheetData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469"/>
  <sheetViews>
    <sheetView zoomScaleNormal="100" workbookViewId="0"/>
  </sheetViews>
  <sheetFormatPr baseColWidth="10" defaultColWidth="8.6640625" defaultRowHeight="15" x14ac:dyDescent="0.2"/>
  <cols>
    <col min="1" max="2" width="18" customWidth="1"/>
    <col min="3" max="3" width="42" customWidth="1"/>
    <col min="4" max="10" width="18" customWidth="1"/>
  </cols>
  <sheetData>
    <row r="1" spans="1:10" ht="24" customHeight="1" x14ac:dyDescent="0.2">
      <c r="A1" s="2" t="s">
        <v>907</v>
      </c>
      <c r="B1" s="2" t="s">
        <v>13</v>
      </c>
      <c r="C1" s="2" t="s">
        <v>908</v>
      </c>
      <c r="D1" s="2" t="s">
        <v>909</v>
      </c>
      <c r="E1" s="2" t="s">
        <v>910</v>
      </c>
      <c r="F1" s="2" t="s">
        <v>911</v>
      </c>
      <c r="G1" s="2" t="s">
        <v>912</v>
      </c>
      <c r="H1" s="2" t="s">
        <v>913</v>
      </c>
      <c r="I1" s="2" t="s">
        <v>914</v>
      </c>
      <c r="J1" s="2" t="s">
        <v>915</v>
      </c>
    </row>
    <row r="2" spans="1:10" ht="24" customHeight="1" x14ac:dyDescent="0.2">
      <c r="A2" s="4">
        <v>1</v>
      </c>
      <c r="B2" s="4">
        <v>1</v>
      </c>
      <c r="C2" s="4" t="s">
        <v>59</v>
      </c>
      <c r="D2" s="4" t="s">
        <v>916</v>
      </c>
      <c r="E2" s="4">
        <v>75</v>
      </c>
      <c r="F2" s="4" t="s">
        <v>917</v>
      </c>
      <c r="G2" s="4">
        <f>E2*VLOOKUP(B2,alimentos_master!$A:$M,13,FALSE())/100</f>
        <v>273.75</v>
      </c>
      <c r="H2" s="4">
        <f>E2*VLOOKUP(B2,alimentos_master!$A:$N,14,FALSE())/100</f>
        <v>5.3250000000000002</v>
      </c>
      <c r="I2" s="4">
        <f>E2*VLOOKUP(B2,alimentos_master!$A:$O,15,FALSE())/100</f>
        <v>58.5</v>
      </c>
      <c r="J2" s="4">
        <f>E2*VLOOKUP(B2,alimentos_master!$A:$R,18,FALSE())/100</f>
        <v>0.45</v>
      </c>
    </row>
    <row r="3" spans="1:10" ht="24" customHeight="1" x14ac:dyDescent="0.2">
      <c r="A3" s="4">
        <v>2</v>
      </c>
      <c r="B3" s="4">
        <v>1</v>
      </c>
      <c r="C3" s="4" t="s">
        <v>59</v>
      </c>
      <c r="D3" s="4" t="s">
        <v>918</v>
      </c>
      <c r="E3" s="4">
        <v>100</v>
      </c>
      <c r="F3" s="4" t="s">
        <v>917</v>
      </c>
      <c r="G3" s="4">
        <f>E3*VLOOKUP(B3,alimentos_master!$A:$M,13,FALSE())/100</f>
        <v>365</v>
      </c>
      <c r="H3" s="4">
        <f>E3*VLOOKUP(B3,alimentos_master!$A:$N,14,FALSE())/100</f>
        <v>7.1</v>
      </c>
      <c r="I3" s="4">
        <f>E3*VLOOKUP(B3,alimentos_master!$A:$O,15,FALSE())/100</f>
        <v>78</v>
      </c>
      <c r="J3" s="4">
        <f>E3*VLOOKUP(B3,alimentos_master!$A:$R,18,FALSE())/100</f>
        <v>0.6</v>
      </c>
    </row>
    <row r="4" spans="1:10" ht="24" customHeight="1" x14ac:dyDescent="0.2">
      <c r="A4" s="4">
        <v>3</v>
      </c>
      <c r="B4" s="4">
        <v>1</v>
      </c>
      <c r="C4" s="4" t="s">
        <v>59</v>
      </c>
      <c r="D4" s="4" t="s">
        <v>919</v>
      </c>
      <c r="E4" s="4">
        <v>150</v>
      </c>
      <c r="F4" s="4" t="s">
        <v>917</v>
      </c>
      <c r="G4" s="4">
        <f>E4*VLOOKUP(B4,alimentos_master!$A:$M,13,FALSE())/100</f>
        <v>547.5</v>
      </c>
      <c r="H4" s="4">
        <f>E4*VLOOKUP(B4,alimentos_master!$A:$N,14,FALSE())/100</f>
        <v>10.65</v>
      </c>
      <c r="I4" s="4">
        <f>E4*VLOOKUP(B4,alimentos_master!$A:$O,15,FALSE())/100</f>
        <v>117</v>
      </c>
      <c r="J4" s="4">
        <f>E4*VLOOKUP(B4,alimentos_master!$A:$R,18,FALSE())/100</f>
        <v>0.9</v>
      </c>
    </row>
    <row r="5" spans="1:10" ht="24" customHeight="1" x14ac:dyDescent="0.2">
      <c r="A5" s="4">
        <v>4</v>
      </c>
      <c r="B5" s="4">
        <v>1</v>
      </c>
      <c r="C5" s="4" t="s">
        <v>59</v>
      </c>
      <c r="D5" s="4" t="s">
        <v>920</v>
      </c>
      <c r="E5" s="4">
        <v>200</v>
      </c>
      <c r="F5" s="4" t="s">
        <v>917</v>
      </c>
      <c r="G5" s="4">
        <f>E5*VLOOKUP(B5,alimentos_master!$A:$M,13,FALSE())/100</f>
        <v>730</v>
      </c>
      <c r="H5" s="4">
        <f>E5*VLOOKUP(B5,alimentos_master!$A:$N,14,FALSE())/100</f>
        <v>14.2</v>
      </c>
      <c r="I5" s="4">
        <f>E5*VLOOKUP(B5,alimentos_master!$A:$O,15,FALSE())/100</f>
        <v>156</v>
      </c>
      <c r="J5" s="4">
        <f>E5*VLOOKUP(B5,alimentos_master!$A:$R,18,FALSE())/100</f>
        <v>1.2</v>
      </c>
    </row>
    <row r="6" spans="1:10" ht="15" customHeight="1" x14ac:dyDescent="0.2">
      <c r="A6" s="4">
        <v>5</v>
      </c>
      <c r="B6" s="4">
        <v>2</v>
      </c>
      <c r="C6" s="4" t="s">
        <v>73</v>
      </c>
      <c r="D6" s="4" t="s">
        <v>916</v>
      </c>
      <c r="E6" s="4">
        <v>75</v>
      </c>
      <c r="F6" s="4" t="s">
        <v>917</v>
      </c>
      <c r="G6" s="4">
        <f>E6*VLOOKUP(B6,alimentos_master!$A:$M,13,FALSE())/100</f>
        <v>98.55</v>
      </c>
      <c r="H6" s="4">
        <f>E6*VLOOKUP(B6,alimentos_master!$A:$N,14,FALSE())/100</f>
        <v>1.92</v>
      </c>
      <c r="I6" s="4">
        <f>E6*VLOOKUP(B6,alimentos_master!$A:$O,15,FALSE())/100</f>
        <v>21.06</v>
      </c>
      <c r="J6" s="4">
        <f>E6*VLOOKUP(B6,alimentos_master!$A:$R,18,FALSE())/100</f>
        <v>0.16500000000000001</v>
      </c>
    </row>
    <row r="7" spans="1:10" ht="15" customHeight="1" x14ac:dyDescent="0.2">
      <c r="A7" s="4">
        <v>6</v>
      </c>
      <c r="B7" s="4">
        <v>2</v>
      </c>
      <c r="C7" s="4" t="s">
        <v>73</v>
      </c>
      <c r="D7" s="4" t="s">
        <v>918</v>
      </c>
      <c r="E7" s="4">
        <v>100</v>
      </c>
      <c r="F7" s="4" t="s">
        <v>917</v>
      </c>
      <c r="G7" s="4">
        <f>E7*VLOOKUP(B7,alimentos_master!$A:$M,13,FALSE())/100</f>
        <v>131.4</v>
      </c>
      <c r="H7" s="4">
        <f>E7*VLOOKUP(B7,alimentos_master!$A:$N,14,FALSE())/100</f>
        <v>2.56</v>
      </c>
      <c r="I7" s="4">
        <f>E7*VLOOKUP(B7,alimentos_master!$A:$O,15,FALSE())/100</f>
        <v>28.08</v>
      </c>
      <c r="J7" s="4">
        <f>E7*VLOOKUP(B7,alimentos_master!$A:$R,18,FALSE())/100</f>
        <v>0.22</v>
      </c>
    </row>
    <row r="8" spans="1:10" ht="15" customHeight="1" x14ac:dyDescent="0.2">
      <c r="A8" s="4">
        <v>7</v>
      </c>
      <c r="B8" s="4">
        <v>2</v>
      </c>
      <c r="C8" s="4" t="s">
        <v>73</v>
      </c>
      <c r="D8" s="4" t="s">
        <v>919</v>
      </c>
      <c r="E8" s="4">
        <v>150</v>
      </c>
      <c r="F8" s="4" t="s">
        <v>917</v>
      </c>
      <c r="G8" s="4">
        <f>E8*VLOOKUP(B8,alimentos_master!$A:$M,13,FALSE())/100</f>
        <v>197.1</v>
      </c>
      <c r="H8" s="4">
        <f>E8*VLOOKUP(B8,alimentos_master!$A:$N,14,FALSE())/100</f>
        <v>3.84</v>
      </c>
      <c r="I8" s="4">
        <f>E8*VLOOKUP(B8,alimentos_master!$A:$O,15,FALSE())/100</f>
        <v>42.12</v>
      </c>
      <c r="J8" s="4">
        <f>E8*VLOOKUP(B8,alimentos_master!$A:$R,18,FALSE())/100</f>
        <v>0.33</v>
      </c>
    </row>
    <row r="9" spans="1:10" ht="15" customHeight="1" x14ac:dyDescent="0.2">
      <c r="A9" s="4">
        <v>8</v>
      </c>
      <c r="B9" s="4">
        <v>2</v>
      </c>
      <c r="C9" s="4" t="s">
        <v>73</v>
      </c>
      <c r="D9" s="4" t="s">
        <v>920</v>
      </c>
      <c r="E9" s="4">
        <v>200</v>
      </c>
      <c r="F9" s="4" t="s">
        <v>917</v>
      </c>
      <c r="G9" s="4">
        <f>E9*VLOOKUP(B9,alimentos_master!$A:$M,13,FALSE())/100</f>
        <v>262.8</v>
      </c>
      <c r="H9" s="4">
        <f>E9*VLOOKUP(B9,alimentos_master!$A:$N,14,FALSE())/100</f>
        <v>5.12</v>
      </c>
      <c r="I9" s="4">
        <f>E9*VLOOKUP(B9,alimentos_master!$A:$O,15,FALSE())/100</f>
        <v>56.16</v>
      </c>
      <c r="J9" s="4">
        <f>E9*VLOOKUP(B9,alimentos_master!$A:$R,18,FALSE())/100</f>
        <v>0.44</v>
      </c>
    </row>
    <row r="10" spans="1:10" ht="15" customHeight="1" x14ac:dyDescent="0.2">
      <c r="A10" s="4">
        <v>9</v>
      </c>
      <c r="B10" s="4">
        <v>3</v>
      </c>
      <c r="C10" s="4" t="s">
        <v>74</v>
      </c>
      <c r="D10" s="4" t="s">
        <v>916</v>
      </c>
      <c r="E10" s="4">
        <v>75</v>
      </c>
      <c r="F10" s="4" t="s">
        <v>917</v>
      </c>
      <c r="G10" s="4" t="e">
        <f>E10*VLOOKUP(B10,alimentos_master!$A:$M,13,FALSE())/100</f>
        <v>#N/A</v>
      </c>
      <c r="H10" s="4" t="e">
        <f>E10*VLOOKUP(B10,alimentos_master!$A:$N,14,FALSE())/100</f>
        <v>#N/A</v>
      </c>
      <c r="I10" s="4" t="e">
        <f>E10*VLOOKUP(B10,alimentos_master!$A:$O,15,FALSE())/100</f>
        <v>#N/A</v>
      </c>
      <c r="J10" s="4" t="e">
        <f>E10*VLOOKUP(B10,alimentos_master!$A:$R,18,FALSE())/100</f>
        <v>#N/A</v>
      </c>
    </row>
    <row r="11" spans="1:10" ht="15" customHeight="1" x14ac:dyDescent="0.2">
      <c r="A11" s="4">
        <v>10</v>
      </c>
      <c r="B11" s="4">
        <v>3</v>
      </c>
      <c r="C11" s="4" t="s">
        <v>74</v>
      </c>
      <c r="D11" s="4" t="s">
        <v>918</v>
      </c>
      <c r="E11" s="4">
        <v>100</v>
      </c>
      <c r="F11" s="4" t="s">
        <v>917</v>
      </c>
      <c r="G11" s="4" t="e">
        <f>E11*VLOOKUP(B11,alimentos_master!$A:$M,13,FALSE())/100</f>
        <v>#N/A</v>
      </c>
      <c r="H11" s="4" t="e">
        <f>E11*VLOOKUP(B11,alimentos_master!$A:$N,14,FALSE())/100</f>
        <v>#N/A</v>
      </c>
      <c r="I11" s="4" t="e">
        <f>E11*VLOOKUP(B11,alimentos_master!$A:$O,15,FALSE())/100</f>
        <v>#N/A</v>
      </c>
      <c r="J11" s="4" t="e">
        <f>E11*VLOOKUP(B11,alimentos_master!$A:$R,18,FALSE())/100</f>
        <v>#N/A</v>
      </c>
    </row>
    <row r="12" spans="1:10" ht="15" customHeight="1" x14ac:dyDescent="0.2">
      <c r="A12" s="4">
        <v>11</v>
      </c>
      <c r="B12" s="4">
        <v>3</v>
      </c>
      <c r="C12" s="4" t="s">
        <v>74</v>
      </c>
      <c r="D12" s="4" t="s">
        <v>919</v>
      </c>
      <c r="E12" s="4">
        <v>150</v>
      </c>
      <c r="F12" s="4" t="s">
        <v>917</v>
      </c>
      <c r="G12" s="4" t="e">
        <f>E12*VLOOKUP(B12,alimentos_master!$A:$M,13,FALSE())/100</f>
        <v>#N/A</v>
      </c>
      <c r="H12" s="4" t="e">
        <f>E12*VLOOKUP(B12,alimentos_master!$A:$N,14,FALSE())/100</f>
        <v>#N/A</v>
      </c>
      <c r="I12" s="4" t="e">
        <f>E12*VLOOKUP(B12,alimentos_master!$A:$O,15,FALSE())/100</f>
        <v>#N/A</v>
      </c>
      <c r="J12" s="4" t="e">
        <f>E12*VLOOKUP(B12,alimentos_master!$A:$R,18,FALSE())/100</f>
        <v>#N/A</v>
      </c>
    </row>
    <row r="13" spans="1:10" ht="15" customHeight="1" x14ac:dyDescent="0.2">
      <c r="A13" s="4">
        <v>12</v>
      </c>
      <c r="B13" s="4">
        <v>3</v>
      </c>
      <c r="C13" s="4" t="s">
        <v>74</v>
      </c>
      <c r="D13" s="4" t="s">
        <v>920</v>
      </c>
      <c r="E13" s="4">
        <v>200</v>
      </c>
      <c r="F13" s="4" t="s">
        <v>917</v>
      </c>
      <c r="G13" s="4" t="e">
        <f>E13*VLOOKUP(B13,alimentos_master!$A:$M,13,FALSE())/100</f>
        <v>#N/A</v>
      </c>
      <c r="H13" s="4" t="e">
        <f>E13*VLOOKUP(B13,alimentos_master!$A:$N,14,FALSE())/100</f>
        <v>#N/A</v>
      </c>
      <c r="I13" s="4" t="e">
        <f>E13*VLOOKUP(B13,alimentos_master!$A:$O,15,FALSE())/100</f>
        <v>#N/A</v>
      </c>
      <c r="J13" s="4" t="e">
        <f>E13*VLOOKUP(B13,alimentos_master!$A:$R,18,FALSE())/100</f>
        <v>#N/A</v>
      </c>
    </row>
    <row r="14" spans="1:10" ht="15" customHeight="1" x14ac:dyDescent="0.2">
      <c r="A14" s="4">
        <v>13</v>
      </c>
      <c r="B14" s="4">
        <v>4</v>
      </c>
      <c r="C14" s="4" t="s">
        <v>75</v>
      </c>
      <c r="D14" s="4" t="s">
        <v>916</v>
      </c>
      <c r="E14" s="4">
        <v>75</v>
      </c>
      <c r="F14" s="4" t="s">
        <v>917</v>
      </c>
      <c r="G14" s="4" t="e">
        <f>E14*VLOOKUP(B14,alimentos_master!$A:$M,13,FALSE())/100</f>
        <v>#N/A</v>
      </c>
      <c r="H14" s="4" t="e">
        <f>E14*VLOOKUP(B14,alimentos_master!$A:$N,14,FALSE())/100</f>
        <v>#N/A</v>
      </c>
      <c r="I14" s="4" t="e">
        <f>E14*VLOOKUP(B14,alimentos_master!$A:$O,15,FALSE())/100</f>
        <v>#N/A</v>
      </c>
      <c r="J14" s="4" t="e">
        <f>E14*VLOOKUP(B14,alimentos_master!$A:$R,18,FALSE())/100</f>
        <v>#N/A</v>
      </c>
    </row>
    <row r="15" spans="1:10" ht="15" customHeight="1" x14ac:dyDescent="0.2">
      <c r="A15" s="4">
        <v>14</v>
      </c>
      <c r="B15" s="4">
        <v>4</v>
      </c>
      <c r="C15" s="4" t="s">
        <v>75</v>
      </c>
      <c r="D15" s="4" t="s">
        <v>918</v>
      </c>
      <c r="E15" s="4">
        <v>100</v>
      </c>
      <c r="F15" s="4" t="s">
        <v>917</v>
      </c>
      <c r="G15" s="4" t="e">
        <f>E15*VLOOKUP(B15,alimentos_master!$A:$M,13,FALSE())/100</f>
        <v>#N/A</v>
      </c>
      <c r="H15" s="4" t="e">
        <f>E15*VLOOKUP(B15,alimentos_master!$A:$N,14,FALSE())/100</f>
        <v>#N/A</v>
      </c>
      <c r="I15" s="4" t="e">
        <f>E15*VLOOKUP(B15,alimentos_master!$A:$O,15,FALSE())/100</f>
        <v>#N/A</v>
      </c>
      <c r="J15" s="4" t="e">
        <f>E15*VLOOKUP(B15,alimentos_master!$A:$R,18,FALSE())/100</f>
        <v>#N/A</v>
      </c>
    </row>
    <row r="16" spans="1:10" ht="15" customHeight="1" x14ac:dyDescent="0.2">
      <c r="A16" s="4">
        <v>15</v>
      </c>
      <c r="B16" s="4">
        <v>4</v>
      </c>
      <c r="C16" s="4" t="s">
        <v>75</v>
      </c>
      <c r="D16" s="4" t="s">
        <v>919</v>
      </c>
      <c r="E16" s="4">
        <v>150</v>
      </c>
      <c r="F16" s="4" t="s">
        <v>917</v>
      </c>
      <c r="G16" s="4" t="e">
        <f>E16*VLOOKUP(B16,alimentos_master!$A:$M,13,FALSE())/100</f>
        <v>#N/A</v>
      </c>
      <c r="H16" s="4" t="e">
        <f>E16*VLOOKUP(B16,alimentos_master!$A:$N,14,FALSE())/100</f>
        <v>#N/A</v>
      </c>
      <c r="I16" s="4" t="e">
        <f>E16*VLOOKUP(B16,alimentos_master!$A:$O,15,FALSE())/100</f>
        <v>#N/A</v>
      </c>
      <c r="J16" s="4" t="e">
        <f>E16*VLOOKUP(B16,alimentos_master!$A:$R,18,FALSE())/100</f>
        <v>#N/A</v>
      </c>
    </row>
    <row r="17" spans="1:10" ht="15" customHeight="1" x14ac:dyDescent="0.2">
      <c r="A17" s="4">
        <v>16</v>
      </c>
      <c r="B17" s="4">
        <v>4</v>
      </c>
      <c r="C17" s="4" t="s">
        <v>75</v>
      </c>
      <c r="D17" s="4" t="s">
        <v>920</v>
      </c>
      <c r="E17" s="4">
        <v>200</v>
      </c>
      <c r="F17" s="4" t="s">
        <v>917</v>
      </c>
      <c r="G17" s="4" t="e">
        <f>E17*VLOOKUP(B17,alimentos_master!$A:$M,13,FALSE())/100</f>
        <v>#N/A</v>
      </c>
      <c r="H17" s="4" t="e">
        <f>E17*VLOOKUP(B17,alimentos_master!$A:$N,14,FALSE())/100</f>
        <v>#N/A</v>
      </c>
      <c r="I17" s="4" t="e">
        <f>E17*VLOOKUP(B17,alimentos_master!$A:$O,15,FALSE())/100</f>
        <v>#N/A</v>
      </c>
      <c r="J17" s="4" t="e">
        <f>E17*VLOOKUP(B17,alimentos_master!$A:$R,18,FALSE())/100</f>
        <v>#N/A</v>
      </c>
    </row>
    <row r="18" spans="1:10" ht="15" customHeight="1" x14ac:dyDescent="0.2">
      <c r="A18" s="4">
        <v>17</v>
      </c>
      <c r="B18" s="4">
        <v>5</v>
      </c>
      <c r="C18" s="4" t="s">
        <v>78</v>
      </c>
      <c r="D18" s="4" t="s">
        <v>916</v>
      </c>
      <c r="E18" s="4">
        <v>75</v>
      </c>
      <c r="F18" s="4" t="s">
        <v>917</v>
      </c>
      <c r="G18" s="4" t="e">
        <f>E18*VLOOKUP(B18,alimentos_master!$A:$M,13,FALSE())/100</f>
        <v>#N/A</v>
      </c>
      <c r="H18" s="4" t="e">
        <f>E18*VLOOKUP(B18,alimentos_master!$A:$N,14,FALSE())/100</f>
        <v>#N/A</v>
      </c>
      <c r="I18" s="4" t="e">
        <f>E18*VLOOKUP(B18,alimentos_master!$A:$O,15,FALSE())/100</f>
        <v>#N/A</v>
      </c>
      <c r="J18" s="4" t="e">
        <f>E18*VLOOKUP(B18,alimentos_master!$A:$R,18,FALSE())/100</f>
        <v>#N/A</v>
      </c>
    </row>
    <row r="19" spans="1:10" ht="15" customHeight="1" x14ac:dyDescent="0.2">
      <c r="A19" s="4">
        <v>18</v>
      </c>
      <c r="B19" s="4">
        <v>5</v>
      </c>
      <c r="C19" s="4" t="s">
        <v>78</v>
      </c>
      <c r="D19" s="4" t="s">
        <v>918</v>
      </c>
      <c r="E19" s="4">
        <v>100</v>
      </c>
      <c r="F19" s="4" t="s">
        <v>917</v>
      </c>
      <c r="G19" s="4" t="e">
        <f>E19*VLOOKUP(B19,alimentos_master!$A:$M,13,FALSE())/100</f>
        <v>#N/A</v>
      </c>
      <c r="H19" s="4" t="e">
        <f>E19*VLOOKUP(B19,alimentos_master!$A:$N,14,FALSE())/100</f>
        <v>#N/A</v>
      </c>
      <c r="I19" s="4" t="e">
        <f>E19*VLOOKUP(B19,alimentos_master!$A:$O,15,FALSE())/100</f>
        <v>#N/A</v>
      </c>
      <c r="J19" s="4" t="e">
        <f>E19*VLOOKUP(B19,alimentos_master!$A:$R,18,FALSE())/100</f>
        <v>#N/A</v>
      </c>
    </row>
    <row r="20" spans="1:10" ht="15" customHeight="1" x14ac:dyDescent="0.2">
      <c r="A20" s="4">
        <v>19</v>
      </c>
      <c r="B20" s="4">
        <v>5</v>
      </c>
      <c r="C20" s="4" t="s">
        <v>78</v>
      </c>
      <c r="D20" s="4" t="s">
        <v>919</v>
      </c>
      <c r="E20" s="4">
        <v>150</v>
      </c>
      <c r="F20" s="4" t="s">
        <v>917</v>
      </c>
      <c r="G20" s="4" t="e">
        <f>E20*VLOOKUP(B20,alimentos_master!$A:$M,13,FALSE())/100</f>
        <v>#N/A</v>
      </c>
      <c r="H20" s="4" t="e">
        <f>E20*VLOOKUP(B20,alimentos_master!$A:$N,14,FALSE())/100</f>
        <v>#N/A</v>
      </c>
      <c r="I20" s="4" t="e">
        <f>E20*VLOOKUP(B20,alimentos_master!$A:$O,15,FALSE())/100</f>
        <v>#N/A</v>
      </c>
      <c r="J20" s="4" t="e">
        <f>E20*VLOOKUP(B20,alimentos_master!$A:$R,18,FALSE())/100</f>
        <v>#N/A</v>
      </c>
    </row>
    <row r="21" spans="1:10" ht="15" customHeight="1" x14ac:dyDescent="0.2">
      <c r="A21" s="4">
        <v>20</v>
      </c>
      <c r="B21" s="4">
        <v>5</v>
      </c>
      <c r="C21" s="4" t="s">
        <v>78</v>
      </c>
      <c r="D21" s="4" t="s">
        <v>920</v>
      </c>
      <c r="E21" s="4">
        <v>200</v>
      </c>
      <c r="F21" s="4" t="s">
        <v>917</v>
      </c>
      <c r="G21" s="4" t="e">
        <f>E21*VLOOKUP(B21,alimentos_master!$A:$M,13,FALSE())/100</f>
        <v>#N/A</v>
      </c>
      <c r="H21" s="4" t="e">
        <f>E21*VLOOKUP(B21,alimentos_master!$A:$N,14,FALSE())/100</f>
        <v>#N/A</v>
      </c>
      <c r="I21" s="4" t="e">
        <f>E21*VLOOKUP(B21,alimentos_master!$A:$O,15,FALSE())/100</f>
        <v>#N/A</v>
      </c>
      <c r="J21" s="4" t="e">
        <f>E21*VLOOKUP(B21,alimentos_master!$A:$R,18,FALSE())/100</f>
        <v>#N/A</v>
      </c>
    </row>
    <row r="22" spans="1:10" ht="15" customHeight="1" x14ac:dyDescent="0.2">
      <c r="A22" s="4">
        <v>21</v>
      </c>
      <c r="B22" s="4">
        <v>6</v>
      </c>
      <c r="C22" s="4" t="s">
        <v>79</v>
      </c>
      <c r="D22" s="4" t="s">
        <v>916</v>
      </c>
      <c r="E22" s="4">
        <v>75</v>
      </c>
      <c r="F22" s="4" t="s">
        <v>917</v>
      </c>
      <c r="G22" s="4" t="e">
        <f>E22*VLOOKUP(B22,alimentos_master!$A:$M,13,FALSE())/100</f>
        <v>#N/A</v>
      </c>
      <c r="H22" s="4" t="e">
        <f>E22*VLOOKUP(B22,alimentos_master!$A:$N,14,FALSE())/100</f>
        <v>#N/A</v>
      </c>
      <c r="I22" s="4" t="e">
        <f>E22*VLOOKUP(B22,alimentos_master!$A:$O,15,FALSE())/100</f>
        <v>#N/A</v>
      </c>
      <c r="J22" s="4" t="e">
        <f>E22*VLOOKUP(B22,alimentos_master!$A:$R,18,FALSE())/100</f>
        <v>#N/A</v>
      </c>
    </row>
    <row r="23" spans="1:10" ht="15" customHeight="1" x14ac:dyDescent="0.2">
      <c r="A23" s="4">
        <v>22</v>
      </c>
      <c r="B23" s="4">
        <v>6</v>
      </c>
      <c r="C23" s="4" t="s">
        <v>79</v>
      </c>
      <c r="D23" s="4" t="s">
        <v>918</v>
      </c>
      <c r="E23" s="4">
        <v>100</v>
      </c>
      <c r="F23" s="4" t="s">
        <v>917</v>
      </c>
      <c r="G23" s="4" t="e">
        <f>E23*VLOOKUP(B23,alimentos_master!$A:$M,13,FALSE())/100</f>
        <v>#N/A</v>
      </c>
      <c r="H23" s="4" t="e">
        <f>E23*VLOOKUP(B23,alimentos_master!$A:$N,14,FALSE())/100</f>
        <v>#N/A</v>
      </c>
      <c r="I23" s="4" t="e">
        <f>E23*VLOOKUP(B23,alimentos_master!$A:$O,15,FALSE())/100</f>
        <v>#N/A</v>
      </c>
      <c r="J23" s="4" t="e">
        <f>E23*VLOOKUP(B23,alimentos_master!$A:$R,18,FALSE())/100</f>
        <v>#N/A</v>
      </c>
    </row>
    <row r="24" spans="1:10" ht="15" customHeight="1" x14ac:dyDescent="0.2">
      <c r="A24" s="4">
        <v>23</v>
      </c>
      <c r="B24" s="4">
        <v>6</v>
      </c>
      <c r="C24" s="4" t="s">
        <v>79</v>
      </c>
      <c r="D24" s="4" t="s">
        <v>919</v>
      </c>
      <c r="E24" s="4">
        <v>150</v>
      </c>
      <c r="F24" s="4" t="s">
        <v>917</v>
      </c>
      <c r="G24" s="4" t="e">
        <f>E24*VLOOKUP(B24,alimentos_master!$A:$M,13,FALSE())/100</f>
        <v>#N/A</v>
      </c>
      <c r="H24" s="4" t="e">
        <f>E24*VLOOKUP(B24,alimentos_master!$A:$N,14,FALSE())/100</f>
        <v>#N/A</v>
      </c>
      <c r="I24" s="4" t="e">
        <f>E24*VLOOKUP(B24,alimentos_master!$A:$O,15,FALSE())/100</f>
        <v>#N/A</v>
      </c>
      <c r="J24" s="4" t="e">
        <f>E24*VLOOKUP(B24,alimentos_master!$A:$R,18,FALSE())/100</f>
        <v>#N/A</v>
      </c>
    </row>
    <row r="25" spans="1:10" ht="15" customHeight="1" x14ac:dyDescent="0.2">
      <c r="A25" s="4">
        <v>24</v>
      </c>
      <c r="B25" s="4">
        <v>6</v>
      </c>
      <c r="C25" s="4" t="s">
        <v>79</v>
      </c>
      <c r="D25" s="4" t="s">
        <v>920</v>
      </c>
      <c r="E25" s="4">
        <v>200</v>
      </c>
      <c r="F25" s="4" t="s">
        <v>917</v>
      </c>
      <c r="G25" s="4" t="e">
        <f>E25*VLOOKUP(B25,alimentos_master!$A:$M,13,FALSE())/100</f>
        <v>#N/A</v>
      </c>
      <c r="H25" s="4" t="e">
        <f>E25*VLOOKUP(B25,alimentos_master!$A:$N,14,FALSE())/100</f>
        <v>#N/A</v>
      </c>
      <c r="I25" s="4" t="e">
        <f>E25*VLOOKUP(B25,alimentos_master!$A:$O,15,FALSE())/100</f>
        <v>#N/A</v>
      </c>
      <c r="J25" s="4" t="e">
        <f>E25*VLOOKUP(B25,alimentos_master!$A:$R,18,FALSE())/100</f>
        <v>#N/A</v>
      </c>
    </row>
    <row r="26" spans="1:10" ht="15" customHeight="1" x14ac:dyDescent="0.2">
      <c r="A26" s="4">
        <v>25</v>
      </c>
      <c r="B26" s="4">
        <v>7</v>
      </c>
      <c r="C26" s="4" t="s">
        <v>80</v>
      </c>
      <c r="D26" s="4" t="s">
        <v>916</v>
      </c>
      <c r="E26" s="4">
        <v>75</v>
      </c>
      <c r="F26" s="4" t="s">
        <v>917</v>
      </c>
      <c r="G26" s="4" t="e">
        <f>E26*VLOOKUP(B26,alimentos_master!$A:$M,13,FALSE())/100</f>
        <v>#N/A</v>
      </c>
      <c r="H26" s="4" t="e">
        <f>E26*VLOOKUP(B26,alimentos_master!$A:$N,14,FALSE())/100</f>
        <v>#N/A</v>
      </c>
      <c r="I26" s="4" t="e">
        <f>E26*VLOOKUP(B26,alimentos_master!$A:$O,15,FALSE())/100</f>
        <v>#N/A</v>
      </c>
      <c r="J26" s="4" t="e">
        <f>E26*VLOOKUP(B26,alimentos_master!$A:$R,18,FALSE())/100</f>
        <v>#N/A</v>
      </c>
    </row>
    <row r="27" spans="1:10" ht="15" customHeight="1" x14ac:dyDescent="0.2">
      <c r="A27" s="4">
        <v>26</v>
      </c>
      <c r="B27" s="4">
        <v>7</v>
      </c>
      <c r="C27" s="4" t="s">
        <v>80</v>
      </c>
      <c r="D27" s="4" t="s">
        <v>918</v>
      </c>
      <c r="E27" s="4">
        <v>100</v>
      </c>
      <c r="F27" s="4" t="s">
        <v>917</v>
      </c>
      <c r="G27" s="4" t="e">
        <f>E27*VLOOKUP(B27,alimentos_master!$A:$M,13,FALSE())/100</f>
        <v>#N/A</v>
      </c>
      <c r="H27" s="4" t="e">
        <f>E27*VLOOKUP(B27,alimentos_master!$A:$N,14,FALSE())/100</f>
        <v>#N/A</v>
      </c>
      <c r="I27" s="4" t="e">
        <f>E27*VLOOKUP(B27,alimentos_master!$A:$O,15,FALSE())/100</f>
        <v>#N/A</v>
      </c>
      <c r="J27" s="4" t="e">
        <f>E27*VLOOKUP(B27,alimentos_master!$A:$R,18,FALSE())/100</f>
        <v>#N/A</v>
      </c>
    </row>
    <row r="28" spans="1:10" ht="15" customHeight="1" x14ac:dyDescent="0.2">
      <c r="A28" s="4">
        <v>27</v>
      </c>
      <c r="B28" s="4">
        <v>7</v>
      </c>
      <c r="C28" s="4" t="s">
        <v>80</v>
      </c>
      <c r="D28" s="4" t="s">
        <v>919</v>
      </c>
      <c r="E28" s="4">
        <v>150</v>
      </c>
      <c r="F28" s="4" t="s">
        <v>917</v>
      </c>
      <c r="G28" s="4" t="e">
        <f>E28*VLOOKUP(B28,alimentos_master!$A:$M,13,FALSE())/100</f>
        <v>#N/A</v>
      </c>
      <c r="H28" s="4" t="e">
        <f>E28*VLOOKUP(B28,alimentos_master!$A:$N,14,FALSE())/100</f>
        <v>#N/A</v>
      </c>
      <c r="I28" s="4" t="e">
        <f>E28*VLOOKUP(B28,alimentos_master!$A:$O,15,FALSE())/100</f>
        <v>#N/A</v>
      </c>
      <c r="J28" s="4" t="e">
        <f>E28*VLOOKUP(B28,alimentos_master!$A:$R,18,FALSE())/100</f>
        <v>#N/A</v>
      </c>
    </row>
    <row r="29" spans="1:10" ht="15" customHeight="1" x14ac:dyDescent="0.2">
      <c r="A29" s="4">
        <v>28</v>
      </c>
      <c r="B29" s="4">
        <v>7</v>
      </c>
      <c r="C29" s="4" t="s">
        <v>80</v>
      </c>
      <c r="D29" s="4" t="s">
        <v>920</v>
      </c>
      <c r="E29" s="4">
        <v>200</v>
      </c>
      <c r="F29" s="4" t="s">
        <v>917</v>
      </c>
      <c r="G29" s="4" t="e">
        <f>E29*VLOOKUP(B29,alimentos_master!$A:$M,13,FALSE())/100</f>
        <v>#N/A</v>
      </c>
      <c r="H29" s="4" t="e">
        <f>E29*VLOOKUP(B29,alimentos_master!$A:$N,14,FALSE())/100</f>
        <v>#N/A</v>
      </c>
      <c r="I29" s="4" t="e">
        <f>E29*VLOOKUP(B29,alimentos_master!$A:$O,15,FALSE())/100</f>
        <v>#N/A</v>
      </c>
      <c r="J29" s="4" t="e">
        <f>E29*VLOOKUP(B29,alimentos_master!$A:$R,18,FALSE())/100</f>
        <v>#N/A</v>
      </c>
    </row>
    <row r="30" spans="1:10" ht="15" customHeight="1" x14ac:dyDescent="0.2">
      <c r="A30" s="4">
        <v>29</v>
      </c>
      <c r="B30" s="4">
        <v>8</v>
      </c>
      <c r="C30" s="4" t="s">
        <v>81</v>
      </c>
      <c r="D30" s="4" t="s">
        <v>916</v>
      </c>
      <c r="E30" s="4">
        <v>75</v>
      </c>
      <c r="F30" s="4" t="s">
        <v>917</v>
      </c>
      <c r="G30" s="4" t="e">
        <f>E30*VLOOKUP(B30,alimentos_master!$A:$M,13,FALSE())/100</f>
        <v>#N/A</v>
      </c>
      <c r="H30" s="4" t="e">
        <f>E30*VLOOKUP(B30,alimentos_master!$A:$N,14,FALSE())/100</f>
        <v>#N/A</v>
      </c>
      <c r="I30" s="4" t="e">
        <f>E30*VLOOKUP(B30,alimentos_master!$A:$O,15,FALSE())/100</f>
        <v>#N/A</v>
      </c>
      <c r="J30" s="4" t="e">
        <f>E30*VLOOKUP(B30,alimentos_master!$A:$R,18,FALSE())/100</f>
        <v>#N/A</v>
      </c>
    </row>
    <row r="31" spans="1:10" ht="15" customHeight="1" x14ac:dyDescent="0.2">
      <c r="A31" s="4">
        <v>30</v>
      </c>
      <c r="B31" s="4">
        <v>8</v>
      </c>
      <c r="C31" s="4" t="s">
        <v>81</v>
      </c>
      <c r="D31" s="4" t="s">
        <v>918</v>
      </c>
      <c r="E31" s="4">
        <v>100</v>
      </c>
      <c r="F31" s="4" t="s">
        <v>917</v>
      </c>
      <c r="G31" s="4" t="e">
        <f>E31*VLOOKUP(B31,alimentos_master!$A:$M,13,FALSE())/100</f>
        <v>#N/A</v>
      </c>
      <c r="H31" s="4" t="e">
        <f>E31*VLOOKUP(B31,alimentos_master!$A:$N,14,FALSE())/100</f>
        <v>#N/A</v>
      </c>
      <c r="I31" s="4" t="e">
        <f>E31*VLOOKUP(B31,alimentos_master!$A:$O,15,FALSE())/100</f>
        <v>#N/A</v>
      </c>
      <c r="J31" s="4" t="e">
        <f>E31*VLOOKUP(B31,alimentos_master!$A:$R,18,FALSE())/100</f>
        <v>#N/A</v>
      </c>
    </row>
    <row r="32" spans="1:10" ht="15" customHeight="1" x14ac:dyDescent="0.2">
      <c r="A32" s="4">
        <v>31</v>
      </c>
      <c r="B32" s="4">
        <v>8</v>
      </c>
      <c r="C32" s="4" t="s">
        <v>81</v>
      </c>
      <c r="D32" s="4" t="s">
        <v>919</v>
      </c>
      <c r="E32" s="4">
        <v>150</v>
      </c>
      <c r="F32" s="4" t="s">
        <v>917</v>
      </c>
      <c r="G32" s="4" t="e">
        <f>E32*VLOOKUP(B32,alimentos_master!$A:$M,13,FALSE())/100</f>
        <v>#N/A</v>
      </c>
      <c r="H32" s="4" t="e">
        <f>E32*VLOOKUP(B32,alimentos_master!$A:$N,14,FALSE())/100</f>
        <v>#N/A</v>
      </c>
      <c r="I32" s="4" t="e">
        <f>E32*VLOOKUP(B32,alimentos_master!$A:$O,15,FALSE())/100</f>
        <v>#N/A</v>
      </c>
      <c r="J32" s="4" t="e">
        <f>E32*VLOOKUP(B32,alimentos_master!$A:$R,18,FALSE())/100</f>
        <v>#N/A</v>
      </c>
    </row>
    <row r="33" spans="1:10" ht="15" customHeight="1" x14ac:dyDescent="0.2">
      <c r="A33" s="4">
        <v>32</v>
      </c>
      <c r="B33" s="4">
        <v>8</v>
      </c>
      <c r="C33" s="4" t="s">
        <v>81</v>
      </c>
      <c r="D33" s="4" t="s">
        <v>920</v>
      </c>
      <c r="E33" s="4">
        <v>200</v>
      </c>
      <c r="F33" s="4" t="s">
        <v>917</v>
      </c>
      <c r="G33" s="4" t="e">
        <f>E33*VLOOKUP(B33,alimentos_master!$A:$M,13,FALSE())/100</f>
        <v>#N/A</v>
      </c>
      <c r="H33" s="4" t="e">
        <f>E33*VLOOKUP(B33,alimentos_master!$A:$N,14,FALSE())/100</f>
        <v>#N/A</v>
      </c>
      <c r="I33" s="4" t="e">
        <f>E33*VLOOKUP(B33,alimentos_master!$A:$O,15,FALSE())/100</f>
        <v>#N/A</v>
      </c>
      <c r="J33" s="4" t="e">
        <f>E33*VLOOKUP(B33,alimentos_master!$A:$R,18,FALSE())/100</f>
        <v>#N/A</v>
      </c>
    </row>
    <row r="34" spans="1:10" ht="15" customHeight="1" x14ac:dyDescent="0.2">
      <c r="A34" s="4">
        <v>33</v>
      </c>
      <c r="B34" s="4">
        <v>9</v>
      </c>
      <c r="C34" s="4" t="s">
        <v>82</v>
      </c>
      <c r="D34" s="4" t="s">
        <v>916</v>
      </c>
      <c r="E34" s="4">
        <v>75</v>
      </c>
      <c r="F34" s="4" t="s">
        <v>917</v>
      </c>
      <c r="G34" s="4" t="e">
        <f>E34*VLOOKUP(B34,alimentos_master!$A:$M,13,FALSE())/100</f>
        <v>#N/A</v>
      </c>
      <c r="H34" s="4" t="e">
        <f>E34*VLOOKUP(B34,alimentos_master!$A:$N,14,FALSE())/100</f>
        <v>#N/A</v>
      </c>
      <c r="I34" s="4" t="e">
        <f>E34*VLOOKUP(B34,alimentos_master!$A:$O,15,FALSE())/100</f>
        <v>#N/A</v>
      </c>
      <c r="J34" s="4" t="e">
        <f>E34*VLOOKUP(B34,alimentos_master!$A:$R,18,FALSE())/100</f>
        <v>#N/A</v>
      </c>
    </row>
    <row r="35" spans="1:10" ht="15" customHeight="1" x14ac:dyDescent="0.2">
      <c r="A35" s="4">
        <v>34</v>
      </c>
      <c r="B35" s="4">
        <v>9</v>
      </c>
      <c r="C35" s="4" t="s">
        <v>82</v>
      </c>
      <c r="D35" s="4" t="s">
        <v>918</v>
      </c>
      <c r="E35" s="4">
        <v>100</v>
      </c>
      <c r="F35" s="4" t="s">
        <v>917</v>
      </c>
      <c r="G35" s="4" t="e">
        <f>E35*VLOOKUP(B35,alimentos_master!$A:$M,13,FALSE())/100</f>
        <v>#N/A</v>
      </c>
      <c r="H35" s="4" t="e">
        <f>E35*VLOOKUP(B35,alimentos_master!$A:$N,14,FALSE())/100</f>
        <v>#N/A</v>
      </c>
      <c r="I35" s="4" t="e">
        <f>E35*VLOOKUP(B35,alimentos_master!$A:$O,15,FALSE())/100</f>
        <v>#N/A</v>
      </c>
      <c r="J35" s="4" t="e">
        <f>E35*VLOOKUP(B35,alimentos_master!$A:$R,18,FALSE())/100</f>
        <v>#N/A</v>
      </c>
    </row>
    <row r="36" spans="1:10" ht="15" customHeight="1" x14ac:dyDescent="0.2">
      <c r="A36" s="4">
        <v>35</v>
      </c>
      <c r="B36" s="4">
        <v>9</v>
      </c>
      <c r="C36" s="4" t="s">
        <v>82</v>
      </c>
      <c r="D36" s="4" t="s">
        <v>919</v>
      </c>
      <c r="E36" s="4">
        <v>150</v>
      </c>
      <c r="F36" s="4" t="s">
        <v>917</v>
      </c>
      <c r="G36" s="4" t="e">
        <f>E36*VLOOKUP(B36,alimentos_master!$A:$M,13,FALSE())/100</f>
        <v>#N/A</v>
      </c>
      <c r="H36" s="4" t="e">
        <f>E36*VLOOKUP(B36,alimentos_master!$A:$N,14,FALSE())/100</f>
        <v>#N/A</v>
      </c>
      <c r="I36" s="4" t="e">
        <f>E36*VLOOKUP(B36,alimentos_master!$A:$O,15,FALSE())/100</f>
        <v>#N/A</v>
      </c>
      <c r="J36" s="4" t="e">
        <f>E36*VLOOKUP(B36,alimentos_master!$A:$R,18,FALSE())/100</f>
        <v>#N/A</v>
      </c>
    </row>
    <row r="37" spans="1:10" ht="15" customHeight="1" x14ac:dyDescent="0.2">
      <c r="A37" s="4">
        <v>36</v>
      </c>
      <c r="B37" s="4">
        <v>9</v>
      </c>
      <c r="C37" s="4" t="s">
        <v>82</v>
      </c>
      <c r="D37" s="4" t="s">
        <v>920</v>
      </c>
      <c r="E37" s="4">
        <v>200</v>
      </c>
      <c r="F37" s="4" t="s">
        <v>917</v>
      </c>
      <c r="G37" s="4" t="e">
        <f>E37*VLOOKUP(B37,alimentos_master!$A:$M,13,FALSE())/100</f>
        <v>#N/A</v>
      </c>
      <c r="H37" s="4" t="e">
        <f>E37*VLOOKUP(B37,alimentos_master!$A:$N,14,FALSE())/100</f>
        <v>#N/A</v>
      </c>
      <c r="I37" s="4" t="e">
        <f>E37*VLOOKUP(B37,alimentos_master!$A:$O,15,FALSE())/100</f>
        <v>#N/A</v>
      </c>
      <c r="J37" s="4" t="e">
        <f>E37*VLOOKUP(B37,alimentos_master!$A:$R,18,FALSE())/100</f>
        <v>#N/A</v>
      </c>
    </row>
    <row r="38" spans="1:10" ht="15" customHeight="1" x14ac:dyDescent="0.2">
      <c r="A38" s="4">
        <v>37</v>
      </c>
      <c r="B38" s="4">
        <v>10</v>
      </c>
      <c r="C38" s="4" t="s">
        <v>83</v>
      </c>
      <c r="D38" s="4" t="s">
        <v>916</v>
      </c>
      <c r="E38" s="4">
        <v>75</v>
      </c>
      <c r="F38" s="4" t="s">
        <v>917</v>
      </c>
      <c r="G38" s="4" t="e">
        <f>E38*VLOOKUP(B38,alimentos_master!$A:$M,13,FALSE())/100</f>
        <v>#N/A</v>
      </c>
      <c r="H38" s="4" t="e">
        <f>E38*VLOOKUP(B38,alimentos_master!$A:$N,14,FALSE())/100</f>
        <v>#N/A</v>
      </c>
      <c r="I38" s="4" t="e">
        <f>E38*VLOOKUP(B38,alimentos_master!$A:$O,15,FALSE())/100</f>
        <v>#N/A</v>
      </c>
      <c r="J38" s="4" t="e">
        <f>E38*VLOOKUP(B38,alimentos_master!$A:$R,18,FALSE())/100</f>
        <v>#N/A</v>
      </c>
    </row>
    <row r="39" spans="1:10" ht="15" customHeight="1" x14ac:dyDescent="0.2">
      <c r="A39" s="4">
        <v>38</v>
      </c>
      <c r="B39" s="4">
        <v>10</v>
      </c>
      <c r="C39" s="4" t="s">
        <v>83</v>
      </c>
      <c r="D39" s="4" t="s">
        <v>918</v>
      </c>
      <c r="E39" s="4">
        <v>100</v>
      </c>
      <c r="F39" s="4" t="s">
        <v>917</v>
      </c>
      <c r="G39" s="4" t="e">
        <f>E39*VLOOKUP(B39,alimentos_master!$A:$M,13,FALSE())/100</f>
        <v>#N/A</v>
      </c>
      <c r="H39" s="4" t="e">
        <f>E39*VLOOKUP(B39,alimentos_master!$A:$N,14,FALSE())/100</f>
        <v>#N/A</v>
      </c>
      <c r="I39" s="4" t="e">
        <f>E39*VLOOKUP(B39,alimentos_master!$A:$O,15,FALSE())/100</f>
        <v>#N/A</v>
      </c>
      <c r="J39" s="4" t="e">
        <f>E39*VLOOKUP(B39,alimentos_master!$A:$R,18,FALSE())/100</f>
        <v>#N/A</v>
      </c>
    </row>
    <row r="40" spans="1:10" ht="15" customHeight="1" x14ac:dyDescent="0.2">
      <c r="A40" s="4">
        <v>39</v>
      </c>
      <c r="B40" s="4">
        <v>10</v>
      </c>
      <c r="C40" s="4" t="s">
        <v>83</v>
      </c>
      <c r="D40" s="4" t="s">
        <v>919</v>
      </c>
      <c r="E40" s="4">
        <v>150</v>
      </c>
      <c r="F40" s="4" t="s">
        <v>917</v>
      </c>
      <c r="G40" s="4" t="e">
        <f>E40*VLOOKUP(B40,alimentos_master!$A:$M,13,FALSE())/100</f>
        <v>#N/A</v>
      </c>
      <c r="H40" s="4" t="e">
        <f>E40*VLOOKUP(B40,alimentos_master!$A:$N,14,FALSE())/100</f>
        <v>#N/A</v>
      </c>
      <c r="I40" s="4" t="e">
        <f>E40*VLOOKUP(B40,alimentos_master!$A:$O,15,FALSE())/100</f>
        <v>#N/A</v>
      </c>
      <c r="J40" s="4" t="e">
        <f>E40*VLOOKUP(B40,alimentos_master!$A:$R,18,FALSE())/100</f>
        <v>#N/A</v>
      </c>
    </row>
    <row r="41" spans="1:10" ht="15" customHeight="1" x14ac:dyDescent="0.2">
      <c r="A41" s="4">
        <v>40</v>
      </c>
      <c r="B41" s="4">
        <v>10</v>
      </c>
      <c r="C41" s="4" t="s">
        <v>83</v>
      </c>
      <c r="D41" s="4" t="s">
        <v>920</v>
      </c>
      <c r="E41" s="4">
        <v>200</v>
      </c>
      <c r="F41" s="4" t="s">
        <v>917</v>
      </c>
      <c r="G41" s="4" t="e">
        <f>E41*VLOOKUP(B41,alimentos_master!$A:$M,13,FALSE())/100</f>
        <v>#N/A</v>
      </c>
      <c r="H41" s="4" t="e">
        <f>E41*VLOOKUP(B41,alimentos_master!$A:$N,14,FALSE())/100</f>
        <v>#N/A</v>
      </c>
      <c r="I41" s="4" t="e">
        <f>E41*VLOOKUP(B41,alimentos_master!$A:$O,15,FALSE())/100</f>
        <v>#N/A</v>
      </c>
      <c r="J41" s="4" t="e">
        <f>E41*VLOOKUP(B41,alimentos_master!$A:$R,18,FALSE())/100</f>
        <v>#N/A</v>
      </c>
    </row>
    <row r="42" spans="1:10" ht="15" customHeight="1" x14ac:dyDescent="0.2">
      <c r="A42" s="4">
        <v>41</v>
      </c>
      <c r="B42" s="4">
        <v>11</v>
      </c>
      <c r="C42" s="4" t="s">
        <v>84</v>
      </c>
      <c r="D42" s="4" t="s">
        <v>916</v>
      </c>
      <c r="E42" s="4">
        <v>75</v>
      </c>
      <c r="F42" s="4" t="s">
        <v>917</v>
      </c>
      <c r="G42" s="4" t="e">
        <f>E42*VLOOKUP(B42,alimentos_master!$A:$M,13,FALSE())/100</f>
        <v>#N/A</v>
      </c>
      <c r="H42" s="4" t="e">
        <f>E42*VLOOKUP(B42,alimentos_master!$A:$N,14,FALSE())/100</f>
        <v>#N/A</v>
      </c>
      <c r="I42" s="4" t="e">
        <f>E42*VLOOKUP(B42,alimentos_master!$A:$O,15,FALSE())/100</f>
        <v>#N/A</v>
      </c>
      <c r="J42" s="4" t="e">
        <f>E42*VLOOKUP(B42,alimentos_master!$A:$R,18,FALSE())/100</f>
        <v>#N/A</v>
      </c>
    </row>
    <row r="43" spans="1:10" ht="15" customHeight="1" x14ac:dyDescent="0.2">
      <c r="A43" s="4">
        <v>42</v>
      </c>
      <c r="B43" s="4">
        <v>11</v>
      </c>
      <c r="C43" s="4" t="s">
        <v>84</v>
      </c>
      <c r="D43" s="4" t="s">
        <v>918</v>
      </c>
      <c r="E43" s="4">
        <v>100</v>
      </c>
      <c r="F43" s="4" t="s">
        <v>917</v>
      </c>
      <c r="G43" s="4" t="e">
        <f>E43*VLOOKUP(B43,alimentos_master!$A:$M,13,FALSE())/100</f>
        <v>#N/A</v>
      </c>
      <c r="H43" s="4" t="e">
        <f>E43*VLOOKUP(B43,alimentos_master!$A:$N,14,FALSE())/100</f>
        <v>#N/A</v>
      </c>
      <c r="I43" s="4" t="e">
        <f>E43*VLOOKUP(B43,alimentos_master!$A:$O,15,FALSE())/100</f>
        <v>#N/A</v>
      </c>
      <c r="J43" s="4" t="e">
        <f>E43*VLOOKUP(B43,alimentos_master!$A:$R,18,FALSE())/100</f>
        <v>#N/A</v>
      </c>
    </row>
    <row r="44" spans="1:10" ht="15" customHeight="1" x14ac:dyDescent="0.2">
      <c r="A44" s="4">
        <v>43</v>
      </c>
      <c r="B44" s="4">
        <v>11</v>
      </c>
      <c r="C44" s="4" t="s">
        <v>84</v>
      </c>
      <c r="D44" s="4" t="s">
        <v>919</v>
      </c>
      <c r="E44" s="4">
        <v>150</v>
      </c>
      <c r="F44" s="4" t="s">
        <v>917</v>
      </c>
      <c r="G44" s="4" t="e">
        <f>E44*VLOOKUP(B44,alimentos_master!$A:$M,13,FALSE())/100</f>
        <v>#N/A</v>
      </c>
      <c r="H44" s="4" t="e">
        <f>E44*VLOOKUP(B44,alimentos_master!$A:$N,14,FALSE())/100</f>
        <v>#N/A</v>
      </c>
      <c r="I44" s="4" t="e">
        <f>E44*VLOOKUP(B44,alimentos_master!$A:$O,15,FALSE())/100</f>
        <v>#N/A</v>
      </c>
      <c r="J44" s="4" t="e">
        <f>E44*VLOOKUP(B44,alimentos_master!$A:$R,18,FALSE())/100</f>
        <v>#N/A</v>
      </c>
    </row>
    <row r="45" spans="1:10" ht="15" customHeight="1" x14ac:dyDescent="0.2">
      <c r="A45" s="4">
        <v>44</v>
      </c>
      <c r="B45" s="4">
        <v>11</v>
      </c>
      <c r="C45" s="4" t="s">
        <v>84</v>
      </c>
      <c r="D45" s="4" t="s">
        <v>920</v>
      </c>
      <c r="E45" s="4">
        <v>200</v>
      </c>
      <c r="F45" s="4" t="s">
        <v>917</v>
      </c>
      <c r="G45" s="4" t="e">
        <f>E45*VLOOKUP(B45,alimentos_master!$A:$M,13,FALSE())/100</f>
        <v>#N/A</v>
      </c>
      <c r="H45" s="4" t="e">
        <f>E45*VLOOKUP(B45,alimentos_master!$A:$N,14,FALSE())/100</f>
        <v>#N/A</v>
      </c>
      <c r="I45" s="4" t="e">
        <f>E45*VLOOKUP(B45,alimentos_master!$A:$O,15,FALSE())/100</f>
        <v>#N/A</v>
      </c>
      <c r="J45" s="4" t="e">
        <f>E45*VLOOKUP(B45,alimentos_master!$A:$R,18,FALSE())/100</f>
        <v>#N/A</v>
      </c>
    </row>
    <row r="46" spans="1:10" ht="15" customHeight="1" x14ac:dyDescent="0.2">
      <c r="A46" s="4">
        <v>45</v>
      </c>
      <c r="B46" s="4">
        <v>12</v>
      </c>
      <c r="C46" s="4" t="s">
        <v>85</v>
      </c>
      <c r="D46" s="4" t="s">
        <v>916</v>
      </c>
      <c r="E46" s="4">
        <v>75</v>
      </c>
      <c r="F46" s="4" t="s">
        <v>917</v>
      </c>
      <c r="G46" s="4" t="e">
        <f>E46*VLOOKUP(B46,alimentos_master!$A:$M,13,FALSE())/100</f>
        <v>#N/A</v>
      </c>
      <c r="H46" s="4" t="e">
        <f>E46*VLOOKUP(B46,alimentos_master!$A:$N,14,FALSE())/100</f>
        <v>#N/A</v>
      </c>
      <c r="I46" s="4" t="e">
        <f>E46*VLOOKUP(B46,alimentos_master!$A:$O,15,FALSE())/100</f>
        <v>#N/A</v>
      </c>
      <c r="J46" s="4" t="e">
        <f>E46*VLOOKUP(B46,alimentos_master!$A:$R,18,FALSE())/100</f>
        <v>#N/A</v>
      </c>
    </row>
    <row r="47" spans="1:10" ht="15" customHeight="1" x14ac:dyDescent="0.2">
      <c r="A47" s="4">
        <v>46</v>
      </c>
      <c r="B47" s="4">
        <v>12</v>
      </c>
      <c r="C47" s="4" t="s">
        <v>85</v>
      </c>
      <c r="D47" s="4" t="s">
        <v>918</v>
      </c>
      <c r="E47" s="4">
        <v>100</v>
      </c>
      <c r="F47" s="4" t="s">
        <v>917</v>
      </c>
      <c r="G47" s="4" t="e">
        <f>E47*VLOOKUP(B47,alimentos_master!$A:$M,13,FALSE())/100</f>
        <v>#N/A</v>
      </c>
      <c r="H47" s="4" t="e">
        <f>E47*VLOOKUP(B47,alimentos_master!$A:$N,14,FALSE())/100</f>
        <v>#N/A</v>
      </c>
      <c r="I47" s="4" t="e">
        <f>E47*VLOOKUP(B47,alimentos_master!$A:$O,15,FALSE())/100</f>
        <v>#N/A</v>
      </c>
      <c r="J47" s="4" t="e">
        <f>E47*VLOOKUP(B47,alimentos_master!$A:$R,18,FALSE())/100</f>
        <v>#N/A</v>
      </c>
    </row>
    <row r="48" spans="1:10" ht="15" customHeight="1" x14ac:dyDescent="0.2">
      <c r="A48" s="4">
        <v>47</v>
      </c>
      <c r="B48" s="4">
        <v>12</v>
      </c>
      <c r="C48" s="4" t="s">
        <v>85</v>
      </c>
      <c r="D48" s="4" t="s">
        <v>919</v>
      </c>
      <c r="E48" s="4">
        <v>150</v>
      </c>
      <c r="F48" s="4" t="s">
        <v>917</v>
      </c>
      <c r="G48" s="4" t="e">
        <f>E48*VLOOKUP(B48,alimentos_master!$A:$M,13,FALSE())/100</f>
        <v>#N/A</v>
      </c>
      <c r="H48" s="4" t="e">
        <f>E48*VLOOKUP(B48,alimentos_master!$A:$N,14,FALSE())/100</f>
        <v>#N/A</v>
      </c>
      <c r="I48" s="4" t="e">
        <f>E48*VLOOKUP(B48,alimentos_master!$A:$O,15,FALSE())/100</f>
        <v>#N/A</v>
      </c>
      <c r="J48" s="4" t="e">
        <f>E48*VLOOKUP(B48,alimentos_master!$A:$R,18,FALSE())/100</f>
        <v>#N/A</v>
      </c>
    </row>
    <row r="49" spans="1:10" ht="15" customHeight="1" x14ac:dyDescent="0.2">
      <c r="A49" s="4">
        <v>48</v>
      </c>
      <c r="B49" s="4">
        <v>12</v>
      </c>
      <c r="C49" s="4" t="s">
        <v>85</v>
      </c>
      <c r="D49" s="4" t="s">
        <v>920</v>
      </c>
      <c r="E49" s="4">
        <v>200</v>
      </c>
      <c r="F49" s="4" t="s">
        <v>917</v>
      </c>
      <c r="G49" s="4" t="e">
        <f>E49*VLOOKUP(B49,alimentos_master!$A:$M,13,FALSE())/100</f>
        <v>#N/A</v>
      </c>
      <c r="H49" s="4" t="e">
        <f>E49*VLOOKUP(B49,alimentos_master!$A:$N,14,FALSE())/100</f>
        <v>#N/A</v>
      </c>
      <c r="I49" s="4" t="e">
        <f>E49*VLOOKUP(B49,alimentos_master!$A:$O,15,FALSE())/100</f>
        <v>#N/A</v>
      </c>
      <c r="J49" s="4" t="e">
        <f>E49*VLOOKUP(B49,alimentos_master!$A:$R,18,FALSE())/100</f>
        <v>#N/A</v>
      </c>
    </row>
    <row r="50" spans="1:10" ht="15" customHeight="1" x14ac:dyDescent="0.2">
      <c r="A50" s="4">
        <v>49</v>
      </c>
      <c r="B50" s="4">
        <v>13</v>
      </c>
      <c r="C50" s="4" t="s">
        <v>86</v>
      </c>
      <c r="D50" s="4" t="s">
        <v>916</v>
      </c>
      <c r="E50" s="4">
        <v>75</v>
      </c>
      <c r="F50" s="4" t="s">
        <v>917</v>
      </c>
      <c r="G50" s="4">
        <f>E50*VLOOKUP(B50,alimentos_master!$A:$M,13,FALSE())/100</f>
        <v>277.5</v>
      </c>
      <c r="H50" s="4">
        <f>E50*VLOOKUP(B50,alimentos_master!$A:$N,14,FALSE())/100</f>
        <v>5.625</v>
      </c>
      <c r="I50" s="4">
        <f>E50*VLOOKUP(B50,alimentos_master!$A:$O,15,FALSE())/100</f>
        <v>57.75</v>
      </c>
      <c r="J50" s="4">
        <f>E50*VLOOKUP(B50,alimentos_master!$A:$R,18,FALSE())/100</f>
        <v>2.0249999999999999</v>
      </c>
    </row>
    <row r="51" spans="1:10" ht="15" customHeight="1" x14ac:dyDescent="0.2">
      <c r="A51" s="4">
        <v>50</v>
      </c>
      <c r="B51" s="4">
        <v>13</v>
      </c>
      <c r="C51" s="4" t="s">
        <v>86</v>
      </c>
      <c r="D51" s="4" t="s">
        <v>918</v>
      </c>
      <c r="E51" s="4">
        <v>100</v>
      </c>
      <c r="F51" s="4" t="s">
        <v>917</v>
      </c>
      <c r="G51" s="4">
        <f>E51*VLOOKUP(B51,alimentos_master!$A:$M,13,FALSE())/100</f>
        <v>370</v>
      </c>
      <c r="H51" s="4">
        <f>E51*VLOOKUP(B51,alimentos_master!$A:$N,14,FALSE())/100</f>
        <v>7.5</v>
      </c>
      <c r="I51" s="4">
        <f>E51*VLOOKUP(B51,alimentos_master!$A:$O,15,FALSE())/100</f>
        <v>77</v>
      </c>
      <c r="J51" s="4">
        <f>E51*VLOOKUP(B51,alimentos_master!$A:$R,18,FALSE())/100</f>
        <v>2.7</v>
      </c>
    </row>
    <row r="52" spans="1:10" ht="15" customHeight="1" x14ac:dyDescent="0.2">
      <c r="A52" s="4">
        <v>51</v>
      </c>
      <c r="B52" s="4">
        <v>13</v>
      </c>
      <c r="C52" s="4" t="s">
        <v>86</v>
      </c>
      <c r="D52" s="4" t="s">
        <v>919</v>
      </c>
      <c r="E52" s="4">
        <v>150</v>
      </c>
      <c r="F52" s="4" t="s">
        <v>917</v>
      </c>
      <c r="G52" s="4">
        <f>E52*VLOOKUP(B52,alimentos_master!$A:$M,13,FALSE())/100</f>
        <v>555</v>
      </c>
      <c r="H52" s="4">
        <f>E52*VLOOKUP(B52,alimentos_master!$A:$N,14,FALSE())/100</f>
        <v>11.25</v>
      </c>
      <c r="I52" s="4">
        <f>E52*VLOOKUP(B52,alimentos_master!$A:$O,15,FALSE())/100</f>
        <v>115.5</v>
      </c>
      <c r="J52" s="4">
        <f>E52*VLOOKUP(B52,alimentos_master!$A:$R,18,FALSE())/100</f>
        <v>4.05</v>
      </c>
    </row>
    <row r="53" spans="1:10" ht="15" customHeight="1" x14ac:dyDescent="0.2">
      <c r="A53" s="4">
        <v>52</v>
      </c>
      <c r="B53" s="4">
        <v>13</v>
      </c>
      <c r="C53" s="4" t="s">
        <v>86</v>
      </c>
      <c r="D53" s="4" t="s">
        <v>920</v>
      </c>
      <c r="E53" s="4">
        <v>200</v>
      </c>
      <c r="F53" s="4" t="s">
        <v>917</v>
      </c>
      <c r="G53" s="4">
        <f>E53*VLOOKUP(B53,alimentos_master!$A:$M,13,FALSE())/100</f>
        <v>740</v>
      </c>
      <c r="H53" s="4">
        <f>E53*VLOOKUP(B53,alimentos_master!$A:$N,14,FALSE())/100</f>
        <v>15</v>
      </c>
      <c r="I53" s="4">
        <f>E53*VLOOKUP(B53,alimentos_master!$A:$O,15,FALSE())/100</f>
        <v>154</v>
      </c>
      <c r="J53" s="4">
        <f>E53*VLOOKUP(B53,alimentos_master!$A:$R,18,FALSE())/100</f>
        <v>5.4</v>
      </c>
    </row>
    <row r="54" spans="1:10" ht="15" customHeight="1" x14ac:dyDescent="0.2">
      <c r="A54" s="4">
        <v>53</v>
      </c>
      <c r="B54" s="4">
        <v>14</v>
      </c>
      <c r="C54" s="4" t="s">
        <v>88</v>
      </c>
      <c r="D54" s="4" t="s">
        <v>916</v>
      </c>
      <c r="E54" s="4">
        <v>75</v>
      </c>
      <c r="F54" s="4" t="s">
        <v>917</v>
      </c>
      <c r="G54" s="4" t="e">
        <f>E54*VLOOKUP(B54,alimentos_master!$A:$M,13,FALSE())/100</f>
        <v>#N/A</v>
      </c>
      <c r="H54" s="4" t="e">
        <f>E54*VLOOKUP(B54,alimentos_master!$A:$N,14,FALSE())/100</f>
        <v>#N/A</v>
      </c>
      <c r="I54" s="4" t="e">
        <f>E54*VLOOKUP(B54,alimentos_master!$A:$O,15,FALSE())/100</f>
        <v>#N/A</v>
      </c>
      <c r="J54" s="4" t="e">
        <f>E54*VLOOKUP(B54,alimentos_master!$A:$R,18,FALSE())/100</f>
        <v>#N/A</v>
      </c>
    </row>
    <row r="55" spans="1:10" ht="15" customHeight="1" x14ac:dyDescent="0.2">
      <c r="A55" s="4">
        <v>54</v>
      </c>
      <c r="B55" s="4">
        <v>14</v>
      </c>
      <c r="C55" s="4" t="s">
        <v>88</v>
      </c>
      <c r="D55" s="4" t="s">
        <v>918</v>
      </c>
      <c r="E55" s="4">
        <v>100</v>
      </c>
      <c r="F55" s="4" t="s">
        <v>917</v>
      </c>
      <c r="G55" s="4" t="e">
        <f>E55*VLOOKUP(B55,alimentos_master!$A:$M,13,FALSE())/100</f>
        <v>#N/A</v>
      </c>
      <c r="H55" s="4" t="e">
        <f>E55*VLOOKUP(B55,alimentos_master!$A:$N,14,FALSE())/100</f>
        <v>#N/A</v>
      </c>
      <c r="I55" s="4" t="e">
        <f>E55*VLOOKUP(B55,alimentos_master!$A:$O,15,FALSE())/100</f>
        <v>#N/A</v>
      </c>
      <c r="J55" s="4" t="e">
        <f>E55*VLOOKUP(B55,alimentos_master!$A:$R,18,FALSE())/100</f>
        <v>#N/A</v>
      </c>
    </row>
    <row r="56" spans="1:10" ht="15" customHeight="1" x14ac:dyDescent="0.2">
      <c r="A56" s="4">
        <v>55</v>
      </c>
      <c r="B56" s="4">
        <v>14</v>
      </c>
      <c r="C56" s="4" t="s">
        <v>88</v>
      </c>
      <c r="D56" s="4" t="s">
        <v>919</v>
      </c>
      <c r="E56" s="4">
        <v>150</v>
      </c>
      <c r="F56" s="4" t="s">
        <v>917</v>
      </c>
      <c r="G56" s="4" t="e">
        <f>E56*VLOOKUP(B56,alimentos_master!$A:$M,13,FALSE())/100</f>
        <v>#N/A</v>
      </c>
      <c r="H56" s="4" t="e">
        <f>E56*VLOOKUP(B56,alimentos_master!$A:$N,14,FALSE())/100</f>
        <v>#N/A</v>
      </c>
      <c r="I56" s="4" t="e">
        <f>E56*VLOOKUP(B56,alimentos_master!$A:$O,15,FALSE())/100</f>
        <v>#N/A</v>
      </c>
      <c r="J56" s="4" t="e">
        <f>E56*VLOOKUP(B56,alimentos_master!$A:$R,18,FALSE())/100</f>
        <v>#N/A</v>
      </c>
    </row>
    <row r="57" spans="1:10" ht="15" customHeight="1" x14ac:dyDescent="0.2">
      <c r="A57" s="4">
        <v>56</v>
      </c>
      <c r="B57" s="4">
        <v>14</v>
      </c>
      <c r="C57" s="4" t="s">
        <v>88</v>
      </c>
      <c r="D57" s="4" t="s">
        <v>920</v>
      </c>
      <c r="E57" s="4">
        <v>200</v>
      </c>
      <c r="F57" s="4" t="s">
        <v>917</v>
      </c>
      <c r="G57" s="4" t="e">
        <f>E57*VLOOKUP(B57,alimentos_master!$A:$M,13,FALSE())/100</f>
        <v>#N/A</v>
      </c>
      <c r="H57" s="4" t="e">
        <f>E57*VLOOKUP(B57,alimentos_master!$A:$N,14,FALSE())/100</f>
        <v>#N/A</v>
      </c>
      <c r="I57" s="4" t="e">
        <f>E57*VLOOKUP(B57,alimentos_master!$A:$O,15,FALSE())/100</f>
        <v>#N/A</v>
      </c>
      <c r="J57" s="4" t="e">
        <f>E57*VLOOKUP(B57,alimentos_master!$A:$R,18,FALSE())/100</f>
        <v>#N/A</v>
      </c>
    </row>
    <row r="58" spans="1:10" ht="15" customHeight="1" x14ac:dyDescent="0.2">
      <c r="A58" s="4">
        <v>57</v>
      </c>
      <c r="B58" s="4">
        <v>15</v>
      </c>
      <c r="C58" s="4" t="s">
        <v>89</v>
      </c>
      <c r="D58" s="4" t="s">
        <v>916</v>
      </c>
      <c r="E58" s="4">
        <v>75</v>
      </c>
      <c r="F58" s="4" t="s">
        <v>917</v>
      </c>
      <c r="G58" s="4" t="e">
        <f>E58*VLOOKUP(B58,alimentos_master!$A:$M,13,FALSE())/100</f>
        <v>#N/A</v>
      </c>
      <c r="H58" s="4" t="e">
        <f>E58*VLOOKUP(B58,alimentos_master!$A:$N,14,FALSE())/100</f>
        <v>#N/A</v>
      </c>
      <c r="I58" s="4" t="e">
        <f>E58*VLOOKUP(B58,alimentos_master!$A:$O,15,FALSE())/100</f>
        <v>#N/A</v>
      </c>
      <c r="J58" s="4" t="e">
        <f>E58*VLOOKUP(B58,alimentos_master!$A:$R,18,FALSE())/100</f>
        <v>#N/A</v>
      </c>
    </row>
    <row r="59" spans="1:10" ht="15" customHeight="1" x14ac:dyDescent="0.2">
      <c r="A59" s="4">
        <v>58</v>
      </c>
      <c r="B59" s="4">
        <v>15</v>
      </c>
      <c r="C59" s="4" t="s">
        <v>89</v>
      </c>
      <c r="D59" s="4" t="s">
        <v>918</v>
      </c>
      <c r="E59" s="4">
        <v>100</v>
      </c>
      <c r="F59" s="4" t="s">
        <v>917</v>
      </c>
      <c r="G59" s="4" t="e">
        <f>E59*VLOOKUP(B59,alimentos_master!$A:$M,13,FALSE())/100</f>
        <v>#N/A</v>
      </c>
      <c r="H59" s="4" t="e">
        <f>E59*VLOOKUP(B59,alimentos_master!$A:$N,14,FALSE())/100</f>
        <v>#N/A</v>
      </c>
      <c r="I59" s="4" t="e">
        <f>E59*VLOOKUP(B59,alimentos_master!$A:$O,15,FALSE())/100</f>
        <v>#N/A</v>
      </c>
      <c r="J59" s="4" t="e">
        <f>E59*VLOOKUP(B59,alimentos_master!$A:$R,18,FALSE())/100</f>
        <v>#N/A</v>
      </c>
    </row>
    <row r="60" spans="1:10" ht="15" customHeight="1" x14ac:dyDescent="0.2">
      <c r="A60" s="4">
        <v>59</v>
      </c>
      <c r="B60" s="4">
        <v>15</v>
      </c>
      <c r="C60" s="4" t="s">
        <v>89</v>
      </c>
      <c r="D60" s="4" t="s">
        <v>919</v>
      </c>
      <c r="E60" s="4">
        <v>150</v>
      </c>
      <c r="F60" s="4" t="s">
        <v>917</v>
      </c>
      <c r="G60" s="4" t="e">
        <f>E60*VLOOKUP(B60,alimentos_master!$A:$M,13,FALSE())/100</f>
        <v>#N/A</v>
      </c>
      <c r="H60" s="4" t="e">
        <f>E60*VLOOKUP(B60,alimentos_master!$A:$N,14,FALSE())/100</f>
        <v>#N/A</v>
      </c>
      <c r="I60" s="4" t="e">
        <f>E60*VLOOKUP(B60,alimentos_master!$A:$O,15,FALSE())/100</f>
        <v>#N/A</v>
      </c>
      <c r="J60" s="4" t="e">
        <f>E60*VLOOKUP(B60,alimentos_master!$A:$R,18,FALSE())/100</f>
        <v>#N/A</v>
      </c>
    </row>
    <row r="61" spans="1:10" ht="15" customHeight="1" x14ac:dyDescent="0.2">
      <c r="A61" s="4">
        <v>60</v>
      </c>
      <c r="B61" s="4">
        <v>15</v>
      </c>
      <c r="C61" s="4" t="s">
        <v>89</v>
      </c>
      <c r="D61" s="4" t="s">
        <v>920</v>
      </c>
      <c r="E61" s="4">
        <v>200</v>
      </c>
      <c r="F61" s="4" t="s">
        <v>917</v>
      </c>
      <c r="G61" s="4" t="e">
        <f>E61*VLOOKUP(B61,alimentos_master!$A:$M,13,FALSE())/100</f>
        <v>#N/A</v>
      </c>
      <c r="H61" s="4" t="e">
        <f>E61*VLOOKUP(B61,alimentos_master!$A:$N,14,FALSE())/100</f>
        <v>#N/A</v>
      </c>
      <c r="I61" s="4" t="e">
        <f>E61*VLOOKUP(B61,alimentos_master!$A:$O,15,FALSE())/100</f>
        <v>#N/A</v>
      </c>
      <c r="J61" s="4" t="e">
        <f>E61*VLOOKUP(B61,alimentos_master!$A:$R,18,FALSE())/100</f>
        <v>#N/A</v>
      </c>
    </row>
    <row r="62" spans="1:10" ht="15" customHeight="1" x14ac:dyDescent="0.2">
      <c r="A62" s="4">
        <v>61</v>
      </c>
      <c r="B62" s="4">
        <v>16</v>
      </c>
      <c r="C62" s="4" t="s">
        <v>90</v>
      </c>
      <c r="D62" s="4" t="s">
        <v>916</v>
      </c>
      <c r="E62" s="4">
        <v>75</v>
      </c>
      <c r="F62" s="4" t="s">
        <v>917</v>
      </c>
      <c r="G62" s="4">
        <f>E62*VLOOKUP(B62,alimentos_master!$A:$M,13,FALSE())/100</f>
        <v>99.9</v>
      </c>
      <c r="H62" s="4">
        <f>E62*VLOOKUP(B62,alimentos_master!$A:$N,14,FALSE())/100</f>
        <v>2.0249999999999999</v>
      </c>
      <c r="I62" s="4">
        <f>E62*VLOOKUP(B62,alimentos_master!$A:$O,15,FALSE())/100</f>
        <v>20.79</v>
      </c>
      <c r="J62" s="4">
        <f>E62*VLOOKUP(B62,alimentos_master!$A:$R,18,FALSE())/100</f>
        <v>0.72750000000000004</v>
      </c>
    </row>
    <row r="63" spans="1:10" ht="15" customHeight="1" x14ac:dyDescent="0.2">
      <c r="A63" s="4">
        <v>62</v>
      </c>
      <c r="B63" s="4">
        <v>16</v>
      </c>
      <c r="C63" s="4" t="s">
        <v>90</v>
      </c>
      <c r="D63" s="4" t="s">
        <v>918</v>
      </c>
      <c r="E63" s="4">
        <v>100</v>
      </c>
      <c r="F63" s="4" t="s">
        <v>917</v>
      </c>
      <c r="G63" s="4">
        <f>E63*VLOOKUP(B63,alimentos_master!$A:$M,13,FALSE())/100</f>
        <v>133.19999999999999</v>
      </c>
      <c r="H63" s="4">
        <f>E63*VLOOKUP(B63,alimentos_master!$A:$N,14,FALSE())/100</f>
        <v>2.7</v>
      </c>
      <c r="I63" s="4">
        <f>E63*VLOOKUP(B63,alimentos_master!$A:$O,15,FALSE())/100</f>
        <v>27.72</v>
      </c>
      <c r="J63" s="4">
        <f>E63*VLOOKUP(B63,alimentos_master!$A:$R,18,FALSE())/100</f>
        <v>0.97</v>
      </c>
    </row>
    <row r="64" spans="1:10" ht="15" customHeight="1" x14ac:dyDescent="0.2">
      <c r="A64" s="4">
        <v>63</v>
      </c>
      <c r="B64" s="4">
        <v>16</v>
      </c>
      <c r="C64" s="4" t="s">
        <v>90</v>
      </c>
      <c r="D64" s="4" t="s">
        <v>919</v>
      </c>
      <c r="E64" s="4">
        <v>150</v>
      </c>
      <c r="F64" s="4" t="s">
        <v>917</v>
      </c>
      <c r="G64" s="4">
        <f>E64*VLOOKUP(B64,alimentos_master!$A:$M,13,FALSE())/100</f>
        <v>199.8</v>
      </c>
      <c r="H64" s="4">
        <f>E64*VLOOKUP(B64,alimentos_master!$A:$N,14,FALSE())/100</f>
        <v>4.05</v>
      </c>
      <c r="I64" s="4">
        <f>E64*VLOOKUP(B64,alimentos_master!$A:$O,15,FALSE())/100</f>
        <v>41.58</v>
      </c>
      <c r="J64" s="4">
        <f>E64*VLOOKUP(B64,alimentos_master!$A:$R,18,FALSE())/100</f>
        <v>1.4550000000000001</v>
      </c>
    </row>
    <row r="65" spans="1:10" ht="15" customHeight="1" x14ac:dyDescent="0.2">
      <c r="A65" s="4">
        <v>64</v>
      </c>
      <c r="B65" s="4">
        <v>16</v>
      </c>
      <c r="C65" s="4" t="s">
        <v>90</v>
      </c>
      <c r="D65" s="4" t="s">
        <v>920</v>
      </c>
      <c r="E65" s="4">
        <v>200</v>
      </c>
      <c r="F65" s="4" t="s">
        <v>917</v>
      </c>
      <c r="G65" s="4">
        <f>E65*VLOOKUP(B65,alimentos_master!$A:$M,13,FALSE())/100</f>
        <v>266.39999999999998</v>
      </c>
      <c r="H65" s="4">
        <f>E65*VLOOKUP(B65,alimentos_master!$A:$N,14,FALSE())/100</f>
        <v>5.4</v>
      </c>
      <c r="I65" s="4">
        <f>E65*VLOOKUP(B65,alimentos_master!$A:$O,15,FALSE())/100</f>
        <v>55.44</v>
      </c>
      <c r="J65" s="4">
        <f>E65*VLOOKUP(B65,alimentos_master!$A:$R,18,FALSE())/100</f>
        <v>1.94</v>
      </c>
    </row>
    <row r="66" spans="1:10" ht="15" customHeight="1" x14ac:dyDescent="0.2">
      <c r="A66" s="4">
        <v>65</v>
      </c>
      <c r="B66" s="4">
        <v>17</v>
      </c>
      <c r="C66" s="4" t="s">
        <v>91</v>
      </c>
      <c r="D66" s="4" t="s">
        <v>916</v>
      </c>
      <c r="E66" s="4">
        <v>75</v>
      </c>
      <c r="F66" s="4" t="s">
        <v>917</v>
      </c>
      <c r="G66" s="4" t="e">
        <f>E66*VLOOKUP(B66,alimentos_master!$A:$M,13,FALSE())/100</f>
        <v>#N/A</v>
      </c>
      <c r="H66" s="4" t="e">
        <f>E66*VLOOKUP(B66,alimentos_master!$A:$N,14,FALSE())/100</f>
        <v>#N/A</v>
      </c>
      <c r="I66" s="4" t="e">
        <f>E66*VLOOKUP(B66,alimentos_master!$A:$O,15,FALSE())/100</f>
        <v>#N/A</v>
      </c>
      <c r="J66" s="4" t="e">
        <f>E66*VLOOKUP(B66,alimentos_master!$A:$R,18,FALSE())/100</f>
        <v>#N/A</v>
      </c>
    </row>
    <row r="67" spans="1:10" ht="15" customHeight="1" x14ac:dyDescent="0.2">
      <c r="A67" s="4">
        <v>66</v>
      </c>
      <c r="B67" s="4">
        <v>17</v>
      </c>
      <c r="C67" s="4" t="s">
        <v>91</v>
      </c>
      <c r="D67" s="4" t="s">
        <v>918</v>
      </c>
      <c r="E67" s="4">
        <v>100</v>
      </c>
      <c r="F67" s="4" t="s">
        <v>917</v>
      </c>
      <c r="G67" s="4" t="e">
        <f>E67*VLOOKUP(B67,alimentos_master!$A:$M,13,FALSE())/100</f>
        <v>#N/A</v>
      </c>
      <c r="H67" s="4" t="e">
        <f>E67*VLOOKUP(B67,alimentos_master!$A:$N,14,FALSE())/100</f>
        <v>#N/A</v>
      </c>
      <c r="I67" s="4" t="e">
        <f>E67*VLOOKUP(B67,alimentos_master!$A:$O,15,FALSE())/100</f>
        <v>#N/A</v>
      </c>
      <c r="J67" s="4" t="e">
        <f>E67*VLOOKUP(B67,alimentos_master!$A:$R,18,FALSE())/100</f>
        <v>#N/A</v>
      </c>
    </row>
    <row r="68" spans="1:10" ht="15" customHeight="1" x14ac:dyDescent="0.2">
      <c r="A68" s="4">
        <v>67</v>
      </c>
      <c r="B68" s="4">
        <v>17</v>
      </c>
      <c r="C68" s="4" t="s">
        <v>91</v>
      </c>
      <c r="D68" s="4" t="s">
        <v>919</v>
      </c>
      <c r="E68" s="4">
        <v>150</v>
      </c>
      <c r="F68" s="4" t="s">
        <v>917</v>
      </c>
      <c r="G68" s="4" t="e">
        <f>E68*VLOOKUP(B68,alimentos_master!$A:$M,13,FALSE())/100</f>
        <v>#N/A</v>
      </c>
      <c r="H68" s="4" t="e">
        <f>E68*VLOOKUP(B68,alimentos_master!$A:$N,14,FALSE())/100</f>
        <v>#N/A</v>
      </c>
      <c r="I68" s="4" t="e">
        <f>E68*VLOOKUP(B68,alimentos_master!$A:$O,15,FALSE())/100</f>
        <v>#N/A</v>
      </c>
      <c r="J68" s="4" t="e">
        <f>E68*VLOOKUP(B68,alimentos_master!$A:$R,18,FALSE())/100</f>
        <v>#N/A</v>
      </c>
    </row>
    <row r="69" spans="1:10" ht="15" customHeight="1" x14ac:dyDescent="0.2">
      <c r="A69" s="4">
        <v>68</v>
      </c>
      <c r="B69" s="4">
        <v>17</v>
      </c>
      <c r="C69" s="4" t="s">
        <v>91</v>
      </c>
      <c r="D69" s="4" t="s">
        <v>920</v>
      </c>
      <c r="E69" s="4">
        <v>200</v>
      </c>
      <c r="F69" s="4" t="s">
        <v>917</v>
      </c>
      <c r="G69" s="4" t="e">
        <f>E69*VLOOKUP(B69,alimentos_master!$A:$M,13,FALSE())/100</f>
        <v>#N/A</v>
      </c>
      <c r="H69" s="4" t="e">
        <f>E69*VLOOKUP(B69,alimentos_master!$A:$N,14,FALSE())/100</f>
        <v>#N/A</v>
      </c>
      <c r="I69" s="4" t="e">
        <f>E69*VLOOKUP(B69,alimentos_master!$A:$O,15,FALSE())/100</f>
        <v>#N/A</v>
      </c>
      <c r="J69" s="4" t="e">
        <f>E69*VLOOKUP(B69,alimentos_master!$A:$R,18,FALSE())/100</f>
        <v>#N/A</v>
      </c>
    </row>
    <row r="70" spans="1:10" ht="15" customHeight="1" x14ac:dyDescent="0.2">
      <c r="A70" s="4">
        <v>69</v>
      </c>
      <c r="B70" s="4">
        <v>18</v>
      </c>
      <c r="C70" s="4" t="s">
        <v>92</v>
      </c>
      <c r="D70" s="4" t="s">
        <v>916</v>
      </c>
      <c r="E70" s="4">
        <v>75</v>
      </c>
      <c r="F70" s="4" t="s">
        <v>917</v>
      </c>
      <c r="G70" s="4" t="e">
        <f>E70*VLOOKUP(B70,alimentos_master!$A:$M,13,FALSE())/100</f>
        <v>#N/A</v>
      </c>
      <c r="H70" s="4" t="e">
        <f>E70*VLOOKUP(B70,alimentos_master!$A:$N,14,FALSE())/100</f>
        <v>#N/A</v>
      </c>
      <c r="I70" s="4" t="e">
        <f>E70*VLOOKUP(B70,alimentos_master!$A:$O,15,FALSE())/100</f>
        <v>#N/A</v>
      </c>
      <c r="J70" s="4" t="e">
        <f>E70*VLOOKUP(B70,alimentos_master!$A:$R,18,FALSE())/100</f>
        <v>#N/A</v>
      </c>
    </row>
    <row r="71" spans="1:10" ht="15" customHeight="1" x14ac:dyDescent="0.2">
      <c r="A71" s="4">
        <v>70</v>
      </c>
      <c r="B71" s="4">
        <v>18</v>
      </c>
      <c r="C71" s="4" t="s">
        <v>92</v>
      </c>
      <c r="D71" s="4" t="s">
        <v>918</v>
      </c>
      <c r="E71" s="4">
        <v>100</v>
      </c>
      <c r="F71" s="4" t="s">
        <v>917</v>
      </c>
      <c r="G71" s="4" t="e">
        <f>E71*VLOOKUP(B71,alimentos_master!$A:$M,13,FALSE())/100</f>
        <v>#N/A</v>
      </c>
      <c r="H71" s="4" t="e">
        <f>E71*VLOOKUP(B71,alimentos_master!$A:$N,14,FALSE())/100</f>
        <v>#N/A</v>
      </c>
      <c r="I71" s="4" t="e">
        <f>E71*VLOOKUP(B71,alimentos_master!$A:$O,15,FALSE())/100</f>
        <v>#N/A</v>
      </c>
      <c r="J71" s="4" t="e">
        <f>E71*VLOOKUP(B71,alimentos_master!$A:$R,18,FALSE())/100</f>
        <v>#N/A</v>
      </c>
    </row>
    <row r="72" spans="1:10" ht="15" customHeight="1" x14ac:dyDescent="0.2">
      <c r="A72" s="4">
        <v>71</v>
      </c>
      <c r="B72" s="4">
        <v>18</v>
      </c>
      <c r="C72" s="4" t="s">
        <v>92</v>
      </c>
      <c r="D72" s="4" t="s">
        <v>919</v>
      </c>
      <c r="E72" s="4">
        <v>150</v>
      </c>
      <c r="F72" s="4" t="s">
        <v>917</v>
      </c>
      <c r="G72" s="4" t="e">
        <f>E72*VLOOKUP(B72,alimentos_master!$A:$M,13,FALSE())/100</f>
        <v>#N/A</v>
      </c>
      <c r="H72" s="4" t="e">
        <f>E72*VLOOKUP(B72,alimentos_master!$A:$N,14,FALSE())/100</f>
        <v>#N/A</v>
      </c>
      <c r="I72" s="4" t="e">
        <f>E72*VLOOKUP(B72,alimentos_master!$A:$O,15,FALSE())/100</f>
        <v>#N/A</v>
      </c>
      <c r="J72" s="4" t="e">
        <f>E72*VLOOKUP(B72,alimentos_master!$A:$R,18,FALSE())/100</f>
        <v>#N/A</v>
      </c>
    </row>
    <row r="73" spans="1:10" ht="15" customHeight="1" x14ac:dyDescent="0.2">
      <c r="A73" s="4">
        <v>72</v>
      </c>
      <c r="B73" s="4">
        <v>18</v>
      </c>
      <c r="C73" s="4" t="s">
        <v>92</v>
      </c>
      <c r="D73" s="4" t="s">
        <v>920</v>
      </c>
      <c r="E73" s="4">
        <v>200</v>
      </c>
      <c r="F73" s="4" t="s">
        <v>917</v>
      </c>
      <c r="G73" s="4" t="e">
        <f>E73*VLOOKUP(B73,alimentos_master!$A:$M,13,FALSE())/100</f>
        <v>#N/A</v>
      </c>
      <c r="H73" s="4" t="e">
        <f>E73*VLOOKUP(B73,alimentos_master!$A:$N,14,FALSE())/100</f>
        <v>#N/A</v>
      </c>
      <c r="I73" s="4" t="e">
        <f>E73*VLOOKUP(B73,alimentos_master!$A:$O,15,FALSE())/100</f>
        <v>#N/A</v>
      </c>
      <c r="J73" s="4" t="e">
        <f>E73*VLOOKUP(B73,alimentos_master!$A:$R,18,FALSE())/100</f>
        <v>#N/A</v>
      </c>
    </row>
    <row r="74" spans="1:10" ht="15" customHeight="1" x14ac:dyDescent="0.2">
      <c r="A74" s="4">
        <v>73</v>
      </c>
      <c r="B74" s="4">
        <v>19</v>
      </c>
      <c r="C74" s="4" t="s">
        <v>93</v>
      </c>
      <c r="D74" s="4" t="s">
        <v>916</v>
      </c>
      <c r="E74" s="4">
        <v>75</v>
      </c>
      <c r="F74" s="4" t="s">
        <v>917</v>
      </c>
      <c r="G74" s="4" t="e">
        <f>E74*VLOOKUP(B74,alimentos_master!$A:$M,13,FALSE())/100</f>
        <v>#N/A</v>
      </c>
      <c r="H74" s="4" t="e">
        <f>E74*VLOOKUP(B74,alimentos_master!$A:$N,14,FALSE())/100</f>
        <v>#N/A</v>
      </c>
      <c r="I74" s="4" t="e">
        <f>E74*VLOOKUP(B74,alimentos_master!$A:$O,15,FALSE())/100</f>
        <v>#N/A</v>
      </c>
      <c r="J74" s="4" t="e">
        <f>E74*VLOOKUP(B74,alimentos_master!$A:$R,18,FALSE())/100</f>
        <v>#N/A</v>
      </c>
    </row>
    <row r="75" spans="1:10" ht="15" customHeight="1" x14ac:dyDescent="0.2">
      <c r="A75" s="4">
        <v>74</v>
      </c>
      <c r="B75" s="4">
        <v>19</v>
      </c>
      <c r="C75" s="4" t="s">
        <v>93</v>
      </c>
      <c r="D75" s="4" t="s">
        <v>918</v>
      </c>
      <c r="E75" s="4">
        <v>100</v>
      </c>
      <c r="F75" s="4" t="s">
        <v>917</v>
      </c>
      <c r="G75" s="4" t="e">
        <f>E75*VLOOKUP(B75,alimentos_master!$A:$M,13,FALSE())/100</f>
        <v>#N/A</v>
      </c>
      <c r="H75" s="4" t="e">
        <f>E75*VLOOKUP(B75,alimentos_master!$A:$N,14,FALSE())/100</f>
        <v>#N/A</v>
      </c>
      <c r="I75" s="4" t="e">
        <f>E75*VLOOKUP(B75,alimentos_master!$A:$O,15,FALSE())/100</f>
        <v>#N/A</v>
      </c>
      <c r="J75" s="4" t="e">
        <f>E75*VLOOKUP(B75,alimentos_master!$A:$R,18,FALSE())/100</f>
        <v>#N/A</v>
      </c>
    </row>
    <row r="76" spans="1:10" ht="15" customHeight="1" x14ac:dyDescent="0.2">
      <c r="A76" s="4">
        <v>75</v>
      </c>
      <c r="B76" s="4">
        <v>19</v>
      </c>
      <c r="C76" s="4" t="s">
        <v>93</v>
      </c>
      <c r="D76" s="4" t="s">
        <v>919</v>
      </c>
      <c r="E76" s="4">
        <v>150</v>
      </c>
      <c r="F76" s="4" t="s">
        <v>917</v>
      </c>
      <c r="G76" s="4" t="e">
        <f>E76*VLOOKUP(B76,alimentos_master!$A:$M,13,FALSE())/100</f>
        <v>#N/A</v>
      </c>
      <c r="H76" s="4" t="e">
        <f>E76*VLOOKUP(B76,alimentos_master!$A:$N,14,FALSE())/100</f>
        <v>#N/A</v>
      </c>
      <c r="I76" s="4" t="e">
        <f>E76*VLOOKUP(B76,alimentos_master!$A:$O,15,FALSE())/100</f>
        <v>#N/A</v>
      </c>
      <c r="J76" s="4" t="e">
        <f>E76*VLOOKUP(B76,alimentos_master!$A:$R,18,FALSE())/100</f>
        <v>#N/A</v>
      </c>
    </row>
    <row r="77" spans="1:10" ht="15" customHeight="1" x14ac:dyDescent="0.2">
      <c r="A77" s="4">
        <v>76</v>
      </c>
      <c r="B77" s="4">
        <v>19</v>
      </c>
      <c r="C77" s="4" t="s">
        <v>93</v>
      </c>
      <c r="D77" s="4" t="s">
        <v>920</v>
      </c>
      <c r="E77" s="4">
        <v>200</v>
      </c>
      <c r="F77" s="4" t="s">
        <v>917</v>
      </c>
      <c r="G77" s="4" t="e">
        <f>E77*VLOOKUP(B77,alimentos_master!$A:$M,13,FALSE())/100</f>
        <v>#N/A</v>
      </c>
      <c r="H77" s="4" t="e">
        <f>E77*VLOOKUP(B77,alimentos_master!$A:$N,14,FALSE())/100</f>
        <v>#N/A</v>
      </c>
      <c r="I77" s="4" t="e">
        <f>E77*VLOOKUP(B77,alimentos_master!$A:$O,15,FALSE())/100</f>
        <v>#N/A</v>
      </c>
      <c r="J77" s="4" t="e">
        <f>E77*VLOOKUP(B77,alimentos_master!$A:$R,18,FALSE())/100</f>
        <v>#N/A</v>
      </c>
    </row>
    <row r="78" spans="1:10" ht="15" customHeight="1" x14ac:dyDescent="0.2">
      <c r="A78" s="4">
        <v>77</v>
      </c>
      <c r="B78" s="4">
        <v>20</v>
      </c>
      <c r="C78" s="4" t="s">
        <v>94</v>
      </c>
      <c r="D78" s="4" t="s">
        <v>916</v>
      </c>
      <c r="E78" s="4">
        <v>75</v>
      </c>
      <c r="F78" s="4" t="s">
        <v>917</v>
      </c>
      <c r="G78" s="4" t="e">
        <f>E78*VLOOKUP(B78,alimentos_master!$A:$M,13,FALSE())/100</f>
        <v>#N/A</v>
      </c>
      <c r="H78" s="4" t="e">
        <f>E78*VLOOKUP(B78,alimentos_master!$A:$N,14,FALSE())/100</f>
        <v>#N/A</v>
      </c>
      <c r="I78" s="4" t="e">
        <f>E78*VLOOKUP(B78,alimentos_master!$A:$O,15,FALSE())/100</f>
        <v>#N/A</v>
      </c>
      <c r="J78" s="4" t="e">
        <f>E78*VLOOKUP(B78,alimentos_master!$A:$R,18,FALSE())/100</f>
        <v>#N/A</v>
      </c>
    </row>
    <row r="79" spans="1:10" ht="15" customHeight="1" x14ac:dyDescent="0.2">
      <c r="A79" s="4">
        <v>78</v>
      </c>
      <c r="B79" s="4">
        <v>20</v>
      </c>
      <c r="C79" s="4" t="s">
        <v>94</v>
      </c>
      <c r="D79" s="4" t="s">
        <v>918</v>
      </c>
      <c r="E79" s="4">
        <v>100</v>
      </c>
      <c r="F79" s="4" t="s">
        <v>917</v>
      </c>
      <c r="G79" s="4" t="e">
        <f>E79*VLOOKUP(B79,alimentos_master!$A:$M,13,FALSE())/100</f>
        <v>#N/A</v>
      </c>
      <c r="H79" s="4" t="e">
        <f>E79*VLOOKUP(B79,alimentos_master!$A:$N,14,FALSE())/100</f>
        <v>#N/A</v>
      </c>
      <c r="I79" s="4" t="e">
        <f>E79*VLOOKUP(B79,alimentos_master!$A:$O,15,FALSE())/100</f>
        <v>#N/A</v>
      </c>
      <c r="J79" s="4" t="e">
        <f>E79*VLOOKUP(B79,alimentos_master!$A:$R,18,FALSE())/100</f>
        <v>#N/A</v>
      </c>
    </row>
    <row r="80" spans="1:10" ht="15" customHeight="1" x14ac:dyDescent="0.2">
      <c r="A80" s="4">
        <v>79</v>
      </c>
      <c r="B80" s="4">
        <v>20</v>
      </c>
      <c r="C80" s="4" t="s">
        <v>94</v>
      </c>
      <c r="D80" s="4" t="s">
        <v>919</v>
      </c>
      <c r="E80" s="4">
        <v>150</v>
      </c>
      <c r="F80" s="4" t="s">
        <v>917</v>
      </c>
      <c r="G80" s="4" t="e">
        <f>E80*VLOOKUP(B80,alimentos_master!$A:$M,13,FALSE())/100</f>
        <v>#N/A</v>
      </c>
      <c r="H80" s="4" t="e">
        <f>E80*VLOOKUP(B80,alimentos_master!$A:$N,14,FALSE())/100</f>
        <v>#N/A</v>
      </c>
      <c r="I80" s="4" t="e">
        <f>E80*VLOOKUP(B80,alimentos_master!$A:$O,15,FALSE())/100</f>
        <v>#N/A</v>
      </c>
      <c r="J80" s="4" t="e">
        <f>E80*VLOOKUP(B80,alimentos_master!$A:$R,18,FALSE())/100</f>
        <v>#N/A</v>
      </c>
    </row>
    <row r="81" spans="1:10" ht="15" customHeight="1" x14ac:dyDescent="0.2">
      <c r="A81" s="4">
        <v>80</v>
      </c>
      <c r="B81" s="4">
        <v>20</v>
      </c>
      <c r="C81" s="4" t="s">
        <v>94</v>
      </c>
      <c r="D81" s="4" t="s">
        <v>920</v>
      </c>
      <c r="E81" s="4">
        <v>200</v>
      </c>
      <c r="F81" s="4" t="s">
        <v>917</v>
      </c>
      <c r="G81" s="4" t="e">
        <f>E81*VLOOKUP(B81,alimentos_master!$A:$M,13,FALSE())/100</f>
        <v>#N/A</v>
      </c>
      <c r="H81" s="4" t="e">
        <f>E81*VLOOKUP(B81,alimentos_master!$A:$N,14,FALSE())/100</f>
        <v>#N/A</v>
      </c>
      <c r="I81" s="4" t="e">
        <f>E81*VLOOKUP(B81,alimentos_master!$A:$O,15,FALSE())/100</f>
        <v>#N/A</v>
      </c>
      <c r="J81" s="4" t="e">
        <f>E81*VLOOKUP(B81,alimentos_master!$A:$R,18,FALSE())/100</f>
        <v>#N/A</v>
      </c>
    </row>
    <row r="82" spans="1:10" ht="15" customHeight="1" x14ac:dyDescent="0.2">
      <c r="A82" s="4">
        <v>81</v>
      </c>
      <c r="B82" s="4">
        <v>21</v>
      </c>
      <c r="C82" s="4" t="s">
        <v>95</v>
      </c>
      <c r="D82" s="4" t="s">
        <v>916</v>
      </c>
      <c r="E82" s="4">
        <v>75</v>
      </c>
      <c r="F82" s="4" t="s">
        <v>917</v>
      </c>
      <c r="G82" s="4" t="e">
        <f>E82*VLOOKUP(B82,alimentos_master!$A:$M,13,FALSE())/100</f>
        <v>#N/A</v>
      </c>
      <c r="H82" s="4" t="e">
        <f>E82*VLOOKUP(B82,alimentos_master!$A:$N,14,FALSE())/100</f>
        <v>#N/A</v>
      </c>
      <c r="I82" s="4" t="e">
        <f>E82*VLOOKUP(B82,alimentos_master!$A:$O,15,FALSE())/100</f>
        <v>#N/A</v>
      </c>
      <c r="J82" s="4" t="e">
        <f>E82*VLOOKUP(B82,alimentos_master!$A:$R,18,FALSE())/100</f>
        <v>#N/A</v>
      </c>
    </row>
    <row r="83" spans="1:10" ht="15" customHeight="1" x14ac:dyDescent="0.2">
      <c r="A83" s="4">
        <v>82</v>
      </c>
      <c r="B83" s="4">
        <v>21</v>
      </c>
      <c r="C83" s="4" t="s">
        <v>95</v>
      </c>
      <c r="D83" s="4" t="s">
        <v>918</v>
      </c>
      <c r="E83" s="4">
        <v>100</v>
      </c>
      <c r="F83" s="4" t="s">
        <v>917</v>
      </c>
      <c r="G83" s="4" t="e">
        <f>E83*VLOOKUP(B83,alimentos_master!$A:$M,13,FALSE())/100</f>
        <v>#N/A</v>
      </c>
      <c r="H83" s="4" t="e">
        <f>E83*VLOOKUP(B83,alimentos_master!$A:$N,14,FALSE())/100</f>
        <v>#N/A</v>
      </c>
      <c r="I83" s="4" t="e">
        <f>E83*VLOOKUP(B83,alimentos_master!$A:$O,15,FALSE())/100</f>
        <v>#N/A</v>
      </c>
      <c r="J83" s="4" t="e">
        <f>E83*VLOOKUP(B83,alimentos_master!$A:$R,18,FALSE())/100</f>
        <v>#N/A</v>
      </c>
    </row>
    <row r="84" spans="1:10" ht="15" customHeight="1" x14ac:dyDescent="0.2">
      <c r="A84" s="4">
        <v>83</v>
      </c>
      <c r="B84" s="4">
        <v>21</v>
      </c>
      <c r="C84" s="4" t="s">
        <v>95</v>
      </c>
      <c r="D84" s="4" t="s">
        <v>919</v>
      </c>
      <c r="E84" s="4">
        <v>150</v>
      </c>
      <c r="F84" s="4" t="s">
        <v>917</v>
      </c>
      <c r="G84" s="4" t="e">
        <f>E84*VLOOKUP(B84,alimentos_master!$A:$M,13,FALSE())/100</f>
        <v>#N/A</v>
      </c>
      <c r="H84" s="4" t="e">
        <f>E84*VLOOKUP(B84,alimentos_master!$A:$N,14,FALSE())/100</f>
        <v>#N/A</v>
      </c>
      <c r="I84" s="4" t="e">
        <f>E84*VLOOKUP(B84,alimentos_master!$A:$O,15,FALSE())/100</f>
        <v>#N/A</v>
      </c>
      <c r="J84" s="4" t="e">
        <f>E84*VLOOKUP(B84,alimentos_master!$A:$R,18,FALSE())/100</f>
        <v>#N/A</v>
      </c>
    </row>
    <row r="85" spans="1:10" ht="15" customHeight="1" x14ac:dyDescent="0.2">
      <c r="A85" s="4">
        <v>84</v>
      </c>
      <c r="B85" s="4">
        <v>21</v>
      </c>
      <c r="C85" s="4" t="s">
        <v>95</v>
      </c>
      <c r="D85" s="4" t="s">
        <v>920</v>
      </c>
      <c r="E85" s="4">
        <v>200</v>
      </c>
      <c r="F85" s="4" t="s">
        <v>917</v>
      </c>
      <c r="G85" s="4" t="e">
        <f>E85*VLOOKUP(B85,alimentos_master!$A:$M,13,FALSE())/100</f>
        <v>#N/A</v>
      </c>
      <c r="H85" s="4" t="e">
        <f>E85*VLOOKUP(B85,alimentos_master!$A:$N,14,FALSE())/100</f>
        <v>#N/A</v>
      </c>
      <c r="I85" s="4" t="e">
        <f>E85*VLOOKUP(B85,alimentos_master!$A:$O,15,FALSE())/100</f>
        <v>#N/A</v>
      </c>
      <c r="J85" s="4" t="e">
        <f>E85*VLOOKUP(B85,alimentos_master!$A:$R,18,FALSE())/100</f>
        <v>#N/A</v>
      </c>
    </row>
    <row r="86" spans="1:10" ht="15" customHeight="1" x14ac:dyDescent="0.2">
      <c r="A86" s="4">
        <v>85</v>
      </c>
      <c r="B86" s="4">
        <v>22</v>
      </c>
      <c r="C86" s="4" t="s">
        <v>96</v>
      </c>
      <c r="D86" s="4" t="s">
        <v>916</v>
      </c>
      <c r="E86" s="4">
        <v>75</v>
      </c>
      <c r="F86" s="4" t="s">
        <v>917</v>
      </c>
      <c r="G86" s="4" t="e">
        <f>E86*VLOOKUP(B86,alimentos_master!$A:$M,13,FALSE())/100</f>
        <v>#N/A</v>
      </c>
      <c r="H86" s="4" t="e">
        <f>E86*VLOOKUP(B86,alimentos_master!$A:$N,14,FALSE())/100</f>
        <v>#N/A</v>
      </c>
      <c r="I86" s="4" t="e">
        <f>E86*VLOOKUP(B86,alimentos_master!$A:$O,15,FALSE())/100</f>
        <v>#N/A</v>
      </c>
      <c r="J86" s="4" t="e">
        <f>E86*VLOOKUP(B86,alimentos_master!$A:$R,18,FALSE())/100</f>
        <v>#N/A</v>
      </c>
    </row>
    <row r="87" spans="1:10" ht="15" customHeight="1" x14ac:dyDescent="0.2">
      <c r="A87" s="4">
        <v>86</v>
      </c>
      <c r="B87" s="4">
        <v>22</v>
      </c>
      <c r="C87" s="4" t="s">
        <v>96</v>
      </c>
      <c r="D87" s="4" t="s">
        <v>918</v>
      </c>
      <c r="E87" s="4">
        <v>100</v>
      </c>
      <c r="F87" s="4" t="s">
        <v>917</v>
      </c>
      <c r="G87" s="4" t="e">
        <f>E87*VLOOKUP(B87,alimentos_master!$A:$M,13,FALSE())/100</f>
        <v>#N/A</v>
      </c>
      <c r="H87" s="4" t="e">
        <f>E87*VLOOKUP(B87,alimentos_master!$A:$N,14,FALSE())/100</f>
        <v>#N/A</v>
      </c>
      <c r="I87" s="4" t="e">
        <f>E87*VLOOKUP(B87,alimentos_master!$A:$O,15,FALSE())/100</f>
        <v>#N/A</v>
      </c>
      <c r="J87" s="4" t="e">
        <f>E87*VLOOKUP(B87,alimentos_master!$A:$R,18,FALSE())/100</f>
        <v>#N/A</v>
      </c>
    </row>
    <row r="88" spans="1:10" ht="15" customHeight="1" x14ac:dyDescent="0.2">
      <c r="A88" s="4">
        <v>87</v>
      </c>
      <c r="B88" s="4">
        <v>22</v>
      </c>
      <c r="C88" s="4" t="s">
        <v>96</v>
      </c>
      <c r="D88" s="4" t="s">
        <v>919</v>
      </c>
      <c r="E88" s="4">
        <v>150</v>
      </c>
      <c r="F88" s="4" t="s">
        <v>917</v>
      </c>
      <c r="G88" s="4" t="e">
        <f>E88*VLOOKUP(B88,alimentos_master!$A:$M,13,FALSE())/100</f>
        <v>#N/A</v>
      </c>
      <c r="H88" s="4" t="e">
        <f>E88*VLOOKUP(B88,alimentos_master!$A:$N,14,FALSE())/100</f>
        <v>#N/A</v>
      </c>
      <c r="I88" s="4" t="e">
        <f>E88*VLOOKUP(B88,alimentos_master!$A:$O,15,FALSE())/100</f>
        <v>#N/A</v>
      </c>
      <c r="J88" s="4" t="e">
        <f>E88*VLOOKUP(B88,alimentos_master!$A:$R,18,FALSE())/100</f>
        <v>#N/A</v>
      </c>
    </row>
    <row r="89" spans="1:10" ht="15" customHeight="1" x14ac:dyDescent="0.2">
      <c r="A89" s="4">
        <v>88</v>
      </c>
      <c r="B89" s="4">
        <v>22</v>
      </c>
      <c r="C89" s="4" t="s">
        <v>96</v>
      </c>
      <c r="D89" s="4" t="s">
        <v>920</v>
      </c>
      <c r="E89" s="4">
        <v>200</v>
      </c>
      <c r="F89" s="4" t="s">
        <v>917</v>
      </c>
      <c r="G89" s="4" t="e">
        <f>E89*VLOOKUP(B89,alimentos_master!$A:$M,13,FALSE())/100</f>
        <v>#N/A</v>
      </c>
      <c r="H89" s="4" t="e">
        <f>E89*VLOOKUP(B89,alimentos_master!$A:$N,14,FALSE())/100</f>
        <v>#N/A</v>
      </c>
      <c r="I89" s="4" t="e">
        <f>E89*VLOOKUP(B89,alimentos_master!$A:$O,15,FALSE())/100</f>
        <v>#N/A</v>
      </c>
      <c r="J89" s="4" t="e">
        <f>E89*VLOOKUP(B89,alimentos_master!$A:$R,18,FALSE())/100</f>
        <v>#N/A</v>
      </c>
    </row>
    <row r="90" spans="1:10" ht="15" customHeight="1" x14ac:dyDescent="0.2">
      <c r="A90" s="4">
        <v>89</v>
      </c>
      <c r="B90" s="4">
        <v>23</v>
      </c>
      <c r="C90" s="4" t="s">
        <v>97</v>
      </c>
      <c r="D90" s="4" t="s">
        <v>916</v>
      </c>
      <c r="E90" s="4">
        <v>75</v>
      </c>
      <c r="F90" s="4" t="s">
        <v>917</v>
      </c>
      <c r="G90" s="4" t="e">
        <f>E90*VLOOKUP(B90,alimentos_master!$A:$M,13,FALSE())/100</f>
        <v>#N/A</v>
      </c>
      <c r="H90" s="4" t="e">
        <f>E90*VLOOKUP(B90,alimentos_master!$A:$N,14,FALSE())/100</f>
        <v>#N/A</v>
      </c>
      <c r="I90" s="4" t="e">
        <f>E90*VLOOKUP(B90,alimentos_master!$A:$O,15,FALSE())/100</f>
        <v>#N/A</v>
      </c>
      <c r="J90" s="4" t="e">
        <f>E90*VLOOKUP(B90,alimentos_master!$A:$R,18,FALSE())/100</f>
        <v>#N/A</v>
      </c>
    </row>
    <row r="91" spans="1:10" ht="15" customHeight="1" x14ac:dyDescent="0.2">
      <c r="A91" s="4">
        <v>90</v>
      </c>
      <c r="B91" s="4">
        <v>23</v>
      </c>
      <c r="C91" s="4" t="s">
        <v>97</v>
      </c>
      <c r="D91" s="4" t="s">
        <v>918</v>
      </c>
      <c r="E91" s="4">
        <v>100</v>
      </c>
      <c r="F91" s="4" t="s">
        <v>917</v>
      </c>
      <c r="G91" s="4" t="e">
        <f>E91*VLOOKUP(B91,alimentos_master!$A:$M,13,FALSE())/100</f>
        <v>#N/A</v>
      </c>
      <c r="H91" s="4" t="e">
        <f>E91*VLOOKUP(B91,alimentos_master!$A:$N,14,FALSE())/100</f>
        <v>#N/A</v>
      </c>
      <c r="I91" s="4" t="e">
        <f>E91*VLOOKUP(B91,alimentos_master!$A:$O,15,FALSE())/100</f>
        <v>#N/A</v>
      </c>
      <c r="J91" s="4" t="e">
        <f>E91*VLOOKUP(B91,alimentos_master!$A:$R,18,FALSE())/100</f>
        <v>#N/A</v>
      </c>
    </row>
    <row r="92" spans="1:10" ht="15" customHeight="1" x14ac:dyDescent="0.2">
      <c r="A92" s="4">
        <v>91</v>
      </c>
      <c r="B92" s="4">
        <v>23</v>
      </c>
      <c r="C92" s="4" t="s">
        <v>97</v>
      </c>
      <c r="D92" s="4" t="s">
        <v>919</v>
      </c>
      <c r="E92" s="4">
        <v>150</v>
      </c>
      <c r="F92" s="4" t="s">
        <v>917</v>
      </c>
      <c r="G92" s="4" t="e">
        <f>E92*VLOOKUP(B92,alimentos_master!$A:$M,13,FALSE())/100</f>
        <v>#N/A</v>
      </c>
      <c r="H92" s="4" t="e">
        <f>E92*VLOOKUP(B92,alimentos_master!$A:$N,14,FALSE())/100</f>
        <v>#N/A</v>
      </c>
      <c r="I92" s="4" t="e">
        <f>E92*VLOOKUP(B92,alimentos_master!$A:$O,15,FALSE())/100</f>
        <v>#N/A</v>
      </c>
      <c r="J92" s="4" t="e">
        <f>E92*VLOOKUP(B92,alimentos_master!$A:$R,18,FALSE())/100</f>
        <v>#N/A</v>
      </c>
    </row>
    <row r="93" spans="1:10" ht="15" customHeight="1" x14ac:dyDescent="0.2">
      <c r="A93" s="4">
        <v>92</v>
      </c>
      <c r="B93" s="4">
        <v>23</v>
      </c>
      <c r="C93" s="4" t="s">
        <v>97</v>
      </c>
      <c r="D93" s="4" t="s">
        <v>920</v>
      </c>
      <c r="E93" s="4">
        <v>200</v>
      </c>
      <c r="F93" s="4" t="s">
        <v>917</v>
      </c>
      <c r="G93" s="4" t="e">
        <f>E93*VLOOKUP(B93,alimentos_master!$A:$M,13,FALSE())/100</f>
        <v>#N/A</v>
      </c>
      <c r="H93" s="4" t="e">
        <f>E93*VLOOKUP(B93,alimentos_master!$A:$N,14,FALSE())/100</f>
        <v>#N/A</v>
      </c>
      <c r="I93" s="4" t="e">
        <f>E93*VLOOKUP(B93,alimentos_master!$A:$O,15,FALSE())/100</f>
        <v>#N/A</v>
      </c>
      <c r="J93" s="4" t="e">
        <f>E93*VLOOKUP(B93,alimentos_master!$A:$R,18,FALSE())/100</f>
        <v>#N/A</v>
      </c>
    </row>
    <row r="94" spans="1:10" ht="15" customHeight="1" x14ac:dyDescent="0.2">
      <c r="A94" s="4">
        <v>93</v>
      </c>
      <c r="B94" s="4">
        <v>24</v>
      </c>
      <c r="C94" s="4" t="s">
        <v>98</v>
      </c>
      <c r="D94" s="4" t="s">
        <v>916</v>
      </c>
      <c r="E94" s="4">
        <v>75</v>
      </c>
      <c r="F94" s="4" t="s">
        <v>917</v>
      </c>
      <c r="G94" s="4" t="e">
        <f>E94*VLOOKUP(B94,alimentos_master!$A:$M,13,FALSE())/100</f>
        <v>#N/A</v>
      </c>
      <c r="H94" s="4" t="e">
        <f>E94*VLOOKUP(B94,alimentos_master!$A:$N,14,FALSE())/100</f>
        <v>#N/A</v>
      </c>
      <c r="I94" s="4" t="e">
        <f>E94*VLOOKUP(B94,alimentos_master!$A:$O,15,FALSE())/100</f>
        <v>#N/A</v>
      </c>
      <c r="J94" s="4" t="e">
        <f>E94*VLOOKUP(B94,alimentos_master!$A:$R,18,FALSE())/100</f>
        <v>#N/A</v>
      </c>
    </row>
    <row r="95" spans="1:10" ht="15" customHeight="1" x14ac:dyDescent="0.2">
      <c r="A95" s="4">
        <v>94</v>
      </c>
      <c r="B95" s="4">
        <v>24</v>
      </c>
      <c r="C95" s="4" t="s">
        <v>98</v>
      </c>
      <c r="D95" s="4" t="s">
        <v>918</v>
      </c>
      <c r="E95" s="4">
        <v>100</v>
      </c>
      <c r="F95" s="4" t="s">
        <v>917</v>
      </c>
      <c r="G95" s="4" t="e">
        <f>E95*VLOOKUP(B95,alimentos_master!$A:$M,13,FALSE())/100</f>
        <v>#N/A</v>
      </c>
      <c r="H95" s="4" t="e">
        <f>E95*VLOOKUP(B95,alimentos_master!$A:$N,14,FALSE())/100</f>
        <v>#N/A</v>
      </c>
      <c r="I95" s="4" t="e">
        <f>E95*VLOOKUP(B95,alimentos_master!$A:$O,15,FALSE())/100</f>
        <v>#N/A</v>
      </c>
      <c r="J95" s="4" t="e">
        <f>E95*VLOOKUP(B95,alimentos_master!$A:$R,18,FALSE())/100</f>
        <v>#N/A</v>
      </c>
    </row>
    <row r="96" spans="1:10" ht="15" customHeight="1" x14ac:dyDescent="0.2">
      <c r="A96" s="4">
        <v>95</v>
      </c>
      <c r="B96" s="4">
        <v>24</v>
      </c>
      <c r="C96" s="4" t="s">
        <v>98</v>
      </c>
      <c r="D96" s="4" t="s">
        <v>919</v>
      </c>
      <c r="E96" s="4">
        <v>150</v>
      </c>
      <c r="F96" s="4" t="s">
        <v>917</v>
      </c>
      <c r="G96" s="4" t="e">
        <f>E96*VLOOKUP(B96,alimentos_master!$A:$M,13,FALSE())/100</f>
        <v>#N/A</v>
      </c>
      <c r="H96" s="4" t="e">
        <f>E96*VLOOKUP(B96,alimentos_master!$A:$N,14,FALSE())/100</f>
        <v>#N/A</v>
      </c>
      <c r="I96" s="4" t="e">
        <f>E96*VLOOKUP(B96,alimentos_master!$A:$O,15,FALSE())/100</f>
        <v>#N/A</v>
      </c>
      <c r="J96" s="4" t="e">
        <f>E96*VLOOKUP(B96,alimentos_master!$A:$R,18,FALSE())/100</f>
        <v>#N/A</v>
      </c>
    </row>
    <row r="97" spans="1:10" ht="15" customHeight="1" x14ac:dyDescent="0.2">
      <c r="A97" s="4">
        <v>96</v>
      </c>
      <c r="B97" s="4">
        <v>24</v>
      </c>
      <c r="C97" s="4" t="s">
        <v>98</v>
      </c>
      <c r="D97" s="4" t="s">
        <v>920</v>
      </c>
      <c r="E97" s="4">
        <v>200</v>
      </c>
      <c r="F97" s="4" t="s">
        <v>917</v>
      </c>
      <c r="G97" s="4" t="e">
        <f>E97*VLOOKUP(B97,alimentos_master!$A:$M,13,FALSE())/100</f>
        <v>#N/A</v>
      </c>
      <c r="H97" s="4" t="e">
        <f>E97*VLOOKUP(B97,alimentos_master!$A:$N,14,FALSE())/100</f>
        <v>#N/A</v>
      </c>
      <c r="I97" s="4" t="e">
        <f>E97*VLOOKUP(B97,alimentos_master!$A:$O,15,FALSE())/100</f>
        <v>#N/A</v>
      </c>
      <c r="J97" s="4" t="e">
        <f>E97*VLOOKUP(B97,alimentos_master!$A:$R,18,FALSE())/100</f>
        <v>#N/A</v>
      </c>
    </row>
    <row r="98" spans="1:10" ht="15" customHeight="1" x14ac:dyDescent="0.2">
      <c r="A98" s="4">
        <v>97</v>
      </c>
      <c r="B98" s="4">
        <v>25</v>
      </c>
      <c r="C98" s="4" t="s">
        <v>99</v>
      </c>
      <c r="D98" s="4" t="s">
        <v>916</v>
      </c>
      <c r="E98" s="4">
        <v>75</v>
      </c>
      <c r="F98" s="4" t="s">
        <v>917</v>
      </c>
      <c r="G98" s="4">
        <f>E98*VLOOKUP(B98,alimentos_master!$A:$M,13,FALSE())/100</f>
        <v>278.25</v>
      </c>
      <c r="H98" s="4">
        <f>E98*VLOOKUP(B98,alimentos_master!$A:$N,14,FALSE())/100</f>
        <v>9.75</v>
      </c>
      <c r="I98" s="4">
        <f>E98*VLOOKUP(B98,alimentos_master!$A:$O,15,FALSE())/100</f>
        <v>56.25</v>
      </c>
      <c r="J98" s="4">
        <f>E98*VLOOKUP(B98,alimentos_master!$A:$R,18,FALSE())/100</f>
        <v>1.125</v>
      </c>
    </row>
    <row r="99" spans="1:10" ht="15" customHeight="1" x14ac:dyDescent="0.2">
      <c r="A99" s="4">
        <v>98</v>
      </c>
      <c r="B99" s="4">
        <v>25</v>
      </c>
      <c r="C99" s="4" t="s">
        <v>99</v>
      </c>
      <c r="D99" s="4" t="s">
        <v>918</v>
      </c>
      <c r="E99" s="4">
        <v>100</v>
      </c>
      <c r="F99" s="4" t="s">
        <v>917</v>
      </c>
      <c r="G99" s="4">
        <f>E99*VLOOKUP(B99,alimentos_master!$A:$M,13,FALSE())/100</f>
        <v>371</v>
      </c>
      <c r="H99" s="4">
        <f>E99*VLOOKUP(B99,alimentos_master!$A:$N,14,FALSE())/100</f>
        <v>13</v>
      </c>
      <c r="I99" s="4">
        <f>E99*VLOOKUP(B99,alimentos_master!$A:$O,15,FALSE())/100</f>
        <v>75</v>
      </c>
      <c r="J99" s="4">
        <f>E99*VLOOKUP(B99,alimentos_master!$A:$R,18,FALSE())/100</f>
        <v>1.5</v>
      </c>
    </row>
    <row r="100" spans="1:10" ht="15" customHeight="1" x14ac:dyDescent="0.2">
      <c r="A100" s="4">
        <v>99</v>
      </c>
      <c r="B100" s="4">
        <v>25</v>
      </c>
      <c r="C100" s="4" t="s">
        <v>99</v>
      </c>
      <c r="D100" s="4" t="s">
        <v>919</v>
      </c>
      <c r="E100" s="4">
        <v>150</v>
      </c>
      <c r="F100" s="4" t="s">
        <v>917</v>
      </c>
      <c r="G100" s="4">
        <f>E100*VLOOKUP(B100,alimentos_master!$A:$M,13,FALSE())/100</f>
        <v>556.5</v>
      </c>
      <c r="H100" s="4">
        <f>E100*VLOOKUP(B100,alimentos_master!$A:$N,14,FALSE())/100</f>
        <v>19.5</v>
      </c>
      <c r="I100" s="4">
        <f>E100*VLOOKUP(B100,alimentos_master!$A:$O,15,FALSE())/100</f>
        <v>112.5</v>
      </c>
      <c r="J100" s="4">
        <f>E100*VLOOKUP(B100,alimentos_master!$A:$R,18,FALSE())/100</f>
        <v>2.25</v>
      </c>
    </row>
    <row r="101" spans="1:10" ht="15" customHeight="1" x14ac:dyDescent="0.2">
      <c r="A101" s="4">
        <v>100</v>
      </c>
      <c r="B101" s="4">
        <v>25</v>
      </c>
      <c r="C101" s="4" t="s">
        <v>99</v>
      </c>
      <c r="D101" s="4" t="s">
        <v>920</v>
      </c>
      <c r="E101" s="4">
        <v>200</v>
      </c>
      <c r="F101" s="4" t="s">
        <v>917</v>
      </c>
      <c r="G101" s="4">
        <f>E101*VLOOKUP(B101,alimentos_master!$A:$M,13,FALSE())/100</f>
        <v>742</v>
      </c>
      <c r="H101" s="4">
        <f>E101*VLOOKUP(B101,alimentos_master!$A:$N,14,FALSE())/100</f>
        <v>26</v>
      </c>
      <c r="I101" s="4">
        <f>E101*VLOOKUP(B101,alimentos_master!$A:$O,15,FALSE())/100</f>
        <v>150</v>
      </c>
      <c r="J101" s="4">
        <f>E101*VLOOKUP(B101,alimentos_master!$A:$R,18,FALSE())/100</f>
        <v>3</v>
      </c>
    </row>
    <row r="102" spans="1:10" ht="15" customHeight="1" x14ac:dyDescent="0.2">
      <c r="A102" s="4">
        <v>101</v>
      </c>
      <c r="B102" s="4">
        <v>26</v>
      </c>
      <c r="C102" s="4" t="s">
        <v>101</v>
      </c>
      <c r="D102" s="4" t="s">
        <v>916</v>
      </c>
      <c r="E102" s="4">
        <v>75</v>
      </c>
      <c r="F102" s="4" t="s">
        <v>917</v>
      </c>
      <c r="G102" s="4" t="e">
        <f>E102*VLOOKUP(B102,alimentos_master!$A:$M,13,FALSE())/100</f>
        <v>#N/A</v>
      </c>
      <c r="H102" s="4" t="e">
        <f>E102*VLOOKUP(B102,alimentos_master!$A:$N,14,FALSE())/100</f>
        <v>#N/A</v>
      </c>
      <c r="I102" s="4" t="e">
        <f>E102*VLOOKUP(B102,alimentos_master!$A:$O,15,FALSE())/100</f>
        <v>#N/A</v>
      </c>
      <c r="J102" s="4" t="e">
        <f>E102*VLOOKUP(B102,alimentos_master!$A:$R,18,FALSE())/100</f>
        <v>#N/A</v>
      </c>
    </row>
    <row r="103" spans="1:10" ht="15" customHeight="1" x14ac:dyDescent="0.2">
      <c r="A103" s="4">
        <v>102</v>
      </c>
      <c r="B103" s="4">
        <v>26</v>
      </c>
      <c r="C103" s="4" t="s">
        <v>101</v>
      </c>
      <c r="D103" s="4" t="s">
        <v>918</v>
      </c>
      <c r="E103" s="4">
        <v>100</v>
      </c>
      <c r="F103" s="4" t="s">
        <v>917</v>
      </c>
      <c r="G103" s="4" t="e">
        <f>E103*VLOOKUP(B103,alimentos_master!$A:$M,13,FALSE())/100</f>
        <v>#N/A</v>
      </c>
      <c r="H103" s="4" t="e">
        <f>E103*VLOOKUP(B103,alimentos_master!$A:$N,14,FALSE())/100</f>
        <v>#N/A</v>
      </c>
      <c r="I103" s="4" t="e">
        <f>E103*VLOOKUP(B103,alimentos_master!$A:$O,15,FALSE())/100</f>
        <v>#N/A</v>
      </c>
      <c r="J103" s="4" t="e">
        <f>E103*VLOOKUP(B103,alimentos_master!$A:$R,18,FALSE())/100</f>
        <v>#N/A</v>
      </c>
    </row>
    <row r="104" spans="1:10" ht="15" customHeight="1" x14ac:dyDescent="0.2">
      <c r="A104" s="4">
        <v>103</v>
      </c>
      <c r="B104" s="4">
        <v>26</v>
      </c>
      <c r="C104" s="4" t="s">
        <v>101</v>
      </c>
      <c r="D104" s="4" t="s">
        <v>919</v>
      </c>
      <c r="E104" s="4">
        <v>150</v>
      </c>
      <c r="F104" s="4" t="s">
        <v>917</v>
      </c>
      <c r="G104" s="4" t="e">
        <f>E104*VLOOKUP(B104,alimentos_master!$A:$M,13,FALSE())/100</f>
        <v>#N/A</v>
      </c>
      <c r="H104" s="4" t="e">
        <f>E104*VLOOKUP(B104,alimentos_master!$A:$N,14,FALSE())/100</f>
        <v>#N/A</v>
      </c>
      <c r="I104" s="4" t="e">
        <f>E104*VLOOKUP(B104,alimentos_master!$A:$O,15,FALSE())/100</f>
        <v>#N/A</v>
      </c>
      <c r="J104" s="4" t="e">
        <f>E104*VLOOKUP(B104,alimentos_master!$A:$R,18,FALSE())/100</f>
        <v>#N/A</v>
      </c>
    </row>
    <row r="105" spans="1:10" ht="15" customHeight="1" x14ac:dyDescent="0.2">
      <c r="A105" s="4">
        <v>104</v>
      </c>
      <c r="B105" s="4">
        <v>26</v>
      </c>
      <c r="C105" s="4" t="s">
        <v>101</v>
      </c>
      <c r="D105" s="4" t="s">
        <v>920</v>
      </c>
      <c r="E105" s="4">
        <v>200</v>
      </c>
      <c r="F105" s="4" t="s">
        <v>917</v>
      </c>
      <c r="G105" s="4" t="e">
        <f>E105*VLOOKUP(B105,alimentos_master!$A:$M,13,FALSE())/100</f>
        <v>#N/A</v>
      </c>
      <c r="H105" s="4" t="e">
        <f>E105*VLOOKUP(B105,alimentos_master!$A:$N,14,FALSE())/100</f>
        <v>#N/A</v>
      </c>
      <c r="I105" s="4" t="e">
        <f>E105*VLOOKUP(B105,alimentos_master!$A:$O,15,FALSE())/100</f>
        <v>#N/A</v>
      </c>
      <c r="J105" s="4" t="e">
        <f>E105*VLOOKUP(B105,alimentos_master!$A:$R,18,FALSE())/100</f>
        <v>#N/A</v>
      </c>
    </row>
    <row r="106" spans="1:10" ht="15" customHeight="1" x14ac:dyDescent="0.2">
      <c r="A106" s="4">
        <v>105</v>
      </c>
      <c r="B106" s="4">
        <v>27</v>
      </c>
      <c r="C106" s="4" t="s">
        <v>102</v>
      </c>
      <c r="D106" s="4" t="s">
        <v>916</v>
      </c>
      <c r="E106" s="4">
        <v>75</v>
      </c>
      <c r="F106" s="4" t="s">
        <v>917</v>
      </c>
      <c r="G106" s="4" t="e">
        <f>E106*VLOOKUP(B106,alimentos_master!$A:$M,13,FALSE())/100</f>
        <v>#N/A</v>
      </c>
      <c r="H106" s="4" t="e">
        <f>E106*VLOOKUP(B106,alimentos_master!$A:$N,14,FALSE())/100</f>
        <v>#N/A</v>
      </c>
      <c r="I106" s="4" t="e">
        <f>E106*VLOOKUP(B106,alimentos_master!$A:$O,15,FALSE())/100</f>
        <v>#N/A</v>
      </c>
      <c r="J106" s="4" t="e">
        <f>E106*VLOOKUP(B106,alimentos_master!$A:$R,18,FALSE())/100</f>
        <v>#N/A</v>
      </c>
    </row>
    <row r="107" spans="1:10" ht="15" customHeight="1" x14ac:dyDescent="0.2">
      <c r="A107" s="4">
        <v>106</v>
      </c>
      <c r="B107" s="4">
        <v>27</v>
      </c>
      <c r="C107" s="4" t="s">
        <v>102</v>
      </c>
      <c r="D107" s="4" t="s">
        <v>918</v>
      </c>
      <c r="E107" s="4">
        <v>100</v>
      </c>
      <c r="F107" s="4" t="s">
        <v>917</v>
      </c>
      <c r="G107" s="4" t="e">
        <f>E107*VLOOKUP(B107,alimentos_master!$A:$M,13,FALSE())/100</f>
        <v>#N/A</v>
      </c>
      <c r="H107" s="4" t="e">
        <f>E107*VLOOKUP(B107,alimentos_master!$A:$N,14,FALSE())/100</f>
        <v>#N/A</v>
      </c>
      <c r="I107" s="4" t="e">
        <f>E107*VLOOKUP(B107,alimentos_master!$A:$O,15,FALSE())/100</f>
        <v>#N/A</v>
      </c>
      <c r="J107" s="4" t="e">
        <f>E107*VLOOKUP(B107,alimentos_master!$A:$R,18,FALSE())/100</f>
        <v>#N/A</v>
      </c>
    </row>
    <row r="108" spans="1:10" ht="15" customHeight="1" x14ac:dyDescent="0.2">
      <c r="A108" s="4">
        <v>107</v>
      </c>
      <c r="B108" s="4">
        <v>27</v>
      </c>
      <c r="C108" s="4" t="s">
        <v>102</v>
      </c>
      <c r="D108" s="4" t="s">
        <v>919</v>
      </c>
      <c r="E108" s="4">
        <v>150</v>
      </c>
      <c r="F108" s="4" t="s">
        <v>917</v>
      </c>
      <c r="G108" s="4" t="e">
        <f>E108*VLOOKUP(B108,alimentos_master!$A:$M,13,FALSE())/100</f>
        <v>#N/A</v>
      </c>
      <c r="H108" s="4" t="e">
        <f>E108*VLOOKUP(B108,alimentos_master!$A:$N,14,FALSE())/100</f>
        <v>#N/A</v>
      </c>
      <c r="I108" s="4" t="e">
        <f>E108*VLOOKUP(B108,alimentos_master!$A:$O,15,FALSE())/100</f>
        <v>#N/A</v>
      </c>
      <c r="J108" s="4" t="e">
        <f>E108*VLOOKUP(B108,alimentos_master!$A:$R,18,FALSE())/100</f>
        <v>#N/A</v>
      </c>
    </row>
    <row r="109" spans="1:10" ht="15" customHeight="1" x14ac:dyDescent="0.2">
      <c r="A109" s="4">
        <v>108</v>
      </c>
      <c r="B109" s="4">
        <v>27</v>
      </c>
      <c r="C109" s="4" t="s">
        <v>102</v>
      </c>
      <c r="D109" s="4" t="s">
        <v>920</v>
      </c>
      <c r="E109" s="4">
        <v>200</v>
      </c>
      <c r="F109" s="4" t="s">
        <v>917</v>
      </c>
      <c r="G109" s="4" t="e">
        <f>E109*VLOOKUP(B109,alimentos_master!$A:$M,13,FALSE())/100</f>
        <v>#N/A</v>
      </c>
      <c r="H109" s="4" t="e">
        <f>E109*VLOOKUP(B109,alimentos_master!$A:$N,14,FALSE())/100</f>
        <v>#N/A</v>
      </c>
      <c r="I109" s="4" t="e">
        <f>E109*VLOOKUP(B109,alimentos_master!$A:$O,15,FALSE())/100</f>
        <v>#N/A</v>
      </c>
      <c r="J109" s="4" t="e">
        <f>E109*VLOOKUP(B109,alimentos_master!$A:$R,18,FALSE())/100</f>
        <v>#N/A</v>
      </c>
    </row>
    <row r="110" spans="1:10" ht="15" customHeight="1" x14ac:dyDescent="0.2">
      <c r="A110" s="4">
        <v>109</v>
      </c>
      <c r="B110" s="4">
        <v>28</v>
      </c>
      <c r="C110" s="4" t="s">
        <v>103</v>
      </c>
      <c r="D110" s="4" t="s">
        <v>916</v>
      </c>
      <c r="E110" s="4">
        <v>75</v>
      </c>
      <c r="F110" s="4" t="s">
        <v>917</v>
      </c>
      <c r="G110" s="4">
        <f>E110*VLOOKUP(B110,alimentos_master!$A:$M,13,FALSE())/100</f>
        <v>100.2</v>
      </c>
      <c r="H110" s="4">
        <f>E110*VLOOKUP(B110,alimentos_master!$A:$N,14,FALSE())/100</f>
        <v>3.51</v>
      </c>
      <c r="I110" s="4">
        <f>E110*VLOOKUP(B110,alimentos_master!$A:$O,15,FALSE())/100</f>
        <v>20.25</v>
      </c>
      <c r="J110" s="4">
        <f>E110*VLOOKUP(B110,alimentos_master!$A:$R,18,FALSE())/100</f>
        <v>0.40500000000000003</v>
      </c>
    </row>
    <row r="111" spans="1:10" ht="15" customHeight="1" x14ac:dyDescent="0.2">
      <c r="A111" s="4">
        <v>110</v>
      </c>
      <c r="B111" s="4">
        <v>28</v>
      </c>
      <c r="C111" s="4" t="s">
        <v>103</v>
      </c>
      <c r="D111" s="4" t="s">
        <v>918</v>
      </c>
      <c r="E111" s="4">
        <v>100</v>
      </c>
      <c r="F111" s="4" t="s">
        <v>917</v>
      </c>
      <c r="G111" s="4">
        <f>E111*VLOOKUP(B111,alimentos_master!$A:$M,13,FALSE())/100</f>
        <v>133.6</v>
      </c>
      <c r="H111" s="4">
        <f>E111*VLOOKUP(B111,alimentos_master!$A:$N,14,FALSE())/100</f>
        <v>4.68</v>
      </c>
      <c r="I111" s="4">
        <f>E111*VLOOKUP(B111,alimentos_master!$A:$O,15,FALSE())/100</f>
        <v>27</v>
      </c>
      <c r="J111" s="4">
        <f>E111*VLOOKUP(B111,alimentos_master!$A:$R,18,FALSE())/100</f>
        <v>0.54</v>
      </c>
    </row>
    <row r="112" spans="1:10" ht="15" customHeight="1" x14ac:dyDescent="0.2">
      <c r="A112" s="4">
        <v>111</v>
      </c>
      <c r="B112" s="4">
        <v>28</v>
      </c>
      <c r="C112" s="4" t="s">
        <v>103</v>
      </c>
      <c r="D112" s="4" t="s">
        <v>919</v>
      </c>
      <c r="E112" s="4">
        <v>150</v>
      </c>
      <c r="F112" s="4" t="s">
        <v>917</v>
      </c>
      <c r="G112" s="4">
        <f>E112*VLOOKUP(B112,alimentos_master!$A:$M,13,FALSE())/100</f>
        <v>200.4</v>
      </c>
      <c r="H112" s="4">
        <f>E112*VLOOKUP(B112,alimentos_master!$A:$N,14,FALSE())/100</f>
        <v>7.02</v>
      </c>
      <c r="I112" s="4">
        <f>E112*VLOOKUP(B112,alimentos_master!$A:$O,15,FALSE())/100</f>
        <v>40.5</v>
      </c>
      <c r="J112" s="4">
        <f>E112*VLOOKUP(B112,alimentos_master!$A:$R,18,FALSE())/100</f>
        <v>0.81</v>
      </c>
    </row>
    <row r="113" spans="1:10" ht="15" customHeight="1" x14ac:dyDescent="0.2">
      <c r="A113" s="4">
        <v>112</v>
      </c>
      <c r="B113" s="4">
        <v>28</v>
      </c>
      <c r="C113" s="4" t="s">
        <v>103</v>
      </c>
      <c r="D113" s="4" t="s">
        <v>920</v>
      </c>
      <c r="E113" s="4">
        <v>200</v>
      </c>
      <c r="F113" s="4" t="s">
        <v>917</v>
      </c>
      <c r="G113" s="4">
        <f>E113*VLOOKUP(B113,alimentos_master!$A:$M,13,FALSE())/100</f>
        <v>267.2</v>
      </c>
      <c r="H113" s="4">
        <f>E113*VLOOKUP(B113,alimentos_master!$A:$N,14,FALSE())/100</f>
        <v>9.36</v>
      </c>
      <c r="I113" s="4">
        <f>E113*VLOOKUP(B113,alimentos_master!$A:$O,15,FALSE())/100</f>
        <v>54</v>
      </c>
      <c r="J113" s="4">
        <f>E113*VLOOKUP(B113,alimentos_master!$A:$R,18,FALSE())/100</f>
        <v>1.08</v>
      </c>
    </row>
    <row r="114" spans="1:10" ht="15" customHeight="1" x14ac:dyDescent="0.2">
      <c r="A114" s="4">
        <v>113</v>
      </c>
      <c r="B114" s="4">
        <v>29</v>
      </c>
      <c r="C114" s="4" t="s">
        <v>104</v>
      </c>
      <c r="D114" s="4" t="s">
        <v>916</v>
      </c>
      <c r="E114" s="4">
        <v>75</v>
      </c>
      <c r="F114" s="4" t="s">
        <v>917</v>
      </c>
      <c r="G114" s="4" t="e">
        <f>E114*VLOOKUP(B114,alimentos_master!$A:$M,13,FALSE())/100</f>
        <v>#N/A</v>
      </c>
      <c r="H114" s="4" t="e">
        <f>E114*VLOOKUP(B114,alimentos_master!$A:$N,14,FALSE())/100</f>
        <v>#N/A</v>
      </c>
      <c r="I114" s="4" t="e">
        <f>E114*VLOOKUP(B114,alimentos_master!$A:$O,15,FALSE())/100</f>
        <v>#N/A</v>
      </c>
      <c r="J114" s="4" t="e">
        <f>E114*VLOOKUP(B114,alimentos_master!$A:$R,18,FALSE())/100</f>
        <v>#N/A</v>
      </c>
    </row>
    <row r="115" spans="1:10" ht="15" customHeight="1" x14ac:dyDescent="0.2">
      <c r="A115" s="4">
        <v>114</v>
      </c>
      <c r="B115" s="4">
        <v>29</v>
      </c>
      <c r="C115" s="4" t="s">
        <v>104</v>
      </c>
      <c r="D115" s="4" t="s">
        <v>918</v>
      </c>
      <c r="E115" s="4">
        <v>100</v>
      </c>
      <c r="F115" s="4" t="s">
        <v>917</v>
      </c>
      <c r="G115" s="4" t="e">
        <f>E115*VLOOKUP(B115,alimentos_master!$A:$M,13,FALSE())/100</f>
        <v>#N/A</v>
      </c>
      <c r="H115" s="4" t="e">
        <f>E115*VLOOKUP(B115,alimentos_master!$A:$N,14,FALSE())/100</f>
        <v>#N/A</v>
      </c>
      <c r="I115" s="4" t="e">
        <f>E115*VLOOKUP(B115,alimentos_master!$A:$O,15,FALSE())/100</f>
        <v>#N/A</v>
      </c>
      <c r="J115" s="4" t="e">
        <f>E115*VLOOKUP(B115,alimentos_master!$A:$R,18,FALSE())/100</f>
        <v>#N/A</v>
      </c>
    </row>
    <row r="116" spans="1:10" ht="15" customHeight="1" x14ac:dyDescent="0.2">
      <c r="A116" s="4">
        <v>115</v>
      </c>
      <c r="B116" s="4">
        <v>29</v>
      </c>
      <c r="C116" s="4" t="s">
        <v>104</v>
      </c>
      <c r="D116" s="4" t="s">
        <v>919</v>
      </c>
      <c r="E116" s="4">
        <v>150</v>
      </c>
      <c r="F116" s="4" t="s">
        <v>917</v>
      </c>
      <c r="G116" s="4" t="e">
        <f>E116*VLOOKUP(B116,alimentos_master!$A:$M,13,FALSE())/100</f>
        <v>#N/A</v>
      </c>
      <c r="H116" s="4" t="e">
        <f>E116*VLOOKUP(B116,alimentos_master!$A:$N,14,FALSE())/100</f>
        <v>#N/A</v>
      </c>
      <c r="I116" s="4" t="e">
        <f>E116*VLOOKUP(B116,alimentos_master!$A:$O,15,FALSE())/100</f>
        <v>#N/A</v>
      </c>
      <c r="J116" s="4" t="e">
        <f>E116*VLOOKUP(B116,alimentos_master!$A:$R,18,FALSE())/100</f>
        <v>#N/A</v>
      </c>
    </row>
    <row r="117" spans="1:10" ht="15" customHeight="1" x14ac:dyDescent="0.2">
      <c r="A117" s="4">
        <v>116</v>
      </c>
      <c r="B117" s="4">
        <v>29</v>
      </c>
      <c r="C117" s="4" t="s">
        <v>104</v>
      </c>
      <c r="D117" s="4" t="s">
        <v>920</v>
      </c>
      <c r="E117" s="4">
        <v>200</v>
      </c>
      <c r="F117" s="4" t="s">
        <v>917</v>
      </c>
      <c r="G117" s="4" t="e">
        <f>E117*VLOOKUP(B117,alimentos_master!$A:$M,13,FALSE())/100</f>
        <v>#N/A</v>
      </c>
      <c r="H117" s="4" t="e">
        <f>E117*VLOOKUP(B117,alimentos_master!$A:$N,14,FALSE())/100</f>
        <v>#N/A</v>
      </c>
      <c r="I117" s="4" t="e">
        <f>E117*VLOOKUP(B117,alimentos_master!$A:$O,15,FALSE())/100</f>
        <v>#N/A</v>
      </c>
      <c r="J117" s="4" t="e">
        <f>E117*VLOOKUP(B117,alimentos_master!$A:$R,18,FALSE())/100</f>
        <v>#N/A</v>
      </c>
    </row>
    <row r="118" spans="1:10" ht="15" customHeight="1" x14ac:dyDescent="0.2">
      <c r="A118" s="4">
        <v>117</v>
      </c>
      <c r="B118" s="4">
        <v>30</v>
      </c>
      <c r="C118" s="4" t="s">
        <v>105</v>
      </c>
      <c r="D118" s="4" t="s">
        <v>916</v>
      </c>
      <c r="E118" s="4">
        <v>75</v>
      </c>
      <c r="F118" s="4" t="s">
        <v>917</v>
      </c>
      <c r="G118" s="4" t="e">
        <f>E118*VLOOKUP(B118,alimentos_master!$A:$M,13,FALSE())/100</f>
        <v>#N/A</v>
      </c>
      <c r="H118" s="4" t="e">
        <f>E118*VLOOKUP(B118,alimentos_master!$A:$N,14,FALSE())/100</f>
        <v>#N/A</v>
      </c>
      <c r="I118" s="4" t="e">
        <f>E118*VLOOKUP(B118,alimentos_master!$A:$O,15,FALSE())/100</f>
        <v>#N/A</v>
      </c>
      <c r="J118" s="4" t="e">
        <f>E118*VLOOKUP(B118,alimentos_master!$A:$R,18,FALSE())/100</f>
        <v>#N/A</v>
      </c>
    </row>
    <row r="119" spans="1:10" ht="15" customHeight="1" x14ac:dyDescent="0.2">
      <c r="A119" s="4">
        <v>118</v>
      </c>
      <c r="B119" s="4">
        <v>30</v>
      </c>
      <c r="C119" s="4" t="s">
        <v>105</v>
      </c>
      <c r="D119" s="4" t="s">
        <v>918</v>
      </c>
      <c r="E119" s="4">
        <v>100</v>
      </c>
      <c r="F119" s="4" t="s">
        <v>917</v>
      </c>
      <c r="G119" s="4" t="e">
        <f>E119*VLOOKUP(B119,alimentos_master!$A:$M,13,FALSE())/100</f>
        <v>#N/A</v>
      </c>
      <c r="H119" s="4" t="e">
        <f>E119*VLOOKUP(B119,alimentos_master!$A:$N,14,FALSE())/100</f>
        <v>#N/A</v>
      </c>
      <c r="I119" s="4" t="e">
        <f>E119*VLOOKUP(B119,alimentos_master!$A:$O,15,FALSE())/100</f>
        <v>#N/A</v>
      </c>
      <c r="J119" s="4" t="e">
        <f>E119*VLOOKUP(B119,alimentos_master!$A:$R,18,FALSE())/100</f>
        <v>#N/A</v>
      </c>
    </row>
    <row r="120" spans="1:10" ht="15" customHeight="1" x14ac:dyDescent="0.2">
      <c r="A120" s="4">
        <v>119</v>
      </c>
      <c r="B120" s="4">
        <v>30</v>
      </c>
      <c r="C120" s="4" t="s">
        <v>105</v>
      </c>
      <c r="D120" s="4" t="s">
        <v>919</v>
      </c>
      <c r="E120" s="4">
        <v>150</v>
      </c>
      <c r="F120" s="4" t="s">
        <v>917</v>
      </c>
      <c r="G120" s="4" t="e">
        <f>E120*VLOOKUP(B120,alimentos_master!$A:$M,13,FALSE())/100</f>
        <v>#N/A</v>
      </c>
      <c r="H120" s="4" t="e">
        <f>E120*VLOOKUP(B120,alimentos_master!$A:$N,14,FALSE())/100</f>
        <v>#N/A</v>
      </c>
      <c r="I120" s="4" t="e">
        <f>E120*VLOOKUP(B120,alimentos_master!$A:$O,15,FALSE())/100</f>
        <v>#N/A</v>
      </c>
      <c r="J120" s="4" t="e">
        <f>E120*VLOOKUP(B120,alimentos_master!$A:$R,18,FALSE())/100</f>
        <v>#N/A</v>
      </c>
    </row>
    <row r="121" spans="1:10" ht="15" customHeight="1" x14ac:dyDescent="0.2">
      <c r="A121" s="4">
        <v>120</v>
      </c>
      <c r="B121" s="4">
        <v>30</v>
      </c>
      <c r="C121" s="4" t="s">
        <v>105</v>
      </c>
      <c r="D121" s="4" t="s">
        <v>920</v>
      </c>
      <c r="E121" s="4">
        <v>200</v>
      </c>
      <c r="F121" s="4" t="s">
        <v>917</v>
      </c>
      <c r="G121" s="4" t="e">
        <f>E121*VLOOKUP(B121,alimentos_master!$A:$M,13,FALSE())/100</f>
        <v>#N/A</v>
      </c>
      <c r="H121" s="4" t="e">
        <f>E121*VLOOKUP(B121,alimentos_master!$A:$N,14,FALSE())/100</f>
        <v>#N/A</v>
      </c>
      <c r="I121" s="4" t="e">
        <f>E121*VLOOKUP(B121,alimentos_master!$A:$O,15,FALSE())/100</f>
        <v>#N/A</v>
      </c>
      <c r="J121" s="4" t="e">
        <f>E121*VLOOKUP(B121,alimentos_master!$A:$R,18,FALSE())/100</f>
        <v>#N/A</v>
      </c>
    </row>
    <row r="122" spans="1:10" ht="15" customHeight="1" x14ac:dyDescent="0.2">
      <c r="A122" s="4">
        <v>121</v>
      </c>
      <c r="B122" s="4">
        <v>31</v>
      </c>
      <c r="C122" s="4" t="s">
        <v>106</v>
      </c>
      <c r="D122" s="4" t="s">
        <v>916</v>
      </c>
      <c r="E122" s="4">
        <v>75</v>
      </c>
      <c r="F122" s="4" t="s">
        <v>917</v>
      </c>
      <c r="G122" s="4" t="e">
        <f>E122*VLOOKUP(B122,alimentos_master!$A:$M,13,FALSE())/100</f>
        <v>#N/A</v>
      </c>
      <c r="H122" s="4" t="e">
        <f>E122*VLOOKUP(B122,alimentos_master!$A:$N,14,FALSE())/100</f>
        <v>#N/A</v>
      </c>
      <c r="I122" s="4" t="e">
        <f>E122*VLOOKUP(B122,alimentos_master!$A:$O,15,FALSE())/100</f>
        <v>#N/A</v>
      </c>
      <c r="J122" s="4" t="e">
        <f>E122*VLOOKUP(B122,alimentos_master!$A:$R,18,FALSE())/100</f>
        <v>#N/A</v>
      </c>
    </row>
    <row r="123" spans="1:10" ht="15" customHeight="1" x14ac:dyDescent="0.2">
      <c r="A123" s="4">
        <v>122</v>
      </c>
      <c r="B123" s="4">
        <v>31</v>
      </c>
      <c r="C123" s="4" t="s">
        <v>106</v>
      </c>
      <c r="D123" s="4" t="s">
        <v>918</v>
      </c>
      <c r="E123" s="4">
        <v>100</v>
      </c>
      <c r="F123" s="4" t="s">
        <v>917</v>
      </c>
      <c r="G123" s="4" t="e">
        <f>E123*VLOOKUP(B123,alimentos_master!$A:$M,13,FALSE())/100</f>
        <v>#N/A</v>
      </c>
      <c r="H123" s="4" t="e">
        <f>E123*VLOOKUP(B123,alimentos_master!$A:$N,14,FALSE())/100</f>
        <v>#N/A</v>
      </c>
      <c r="I123" s="4" t="e">
        <f>E123*VLOOKUP(B123,alimentos_master!$A:$O,15,FALSE())/100</f>
        <v>#N/A</v>
      </c>
      <c r="J123" s="4" t="e">
        <f>E123*VLOOKUP(B123,alimentos_master!$A:$R,18,FALSE())/100</f>
        <v>#N/A</v>
      </c>
    </row>
    <row r="124" spans="1:10" ht="15" customHeight="1" x14ac:dyDescent="0.2">
      <c r="A124" s="4">
        <v>123</v>
      </c>
      <c r="B124" s="4">
        <v>31</v>
      </c>
      <c r="C124" s="4" t="s">
        <v>106</v>
      </c>
      <c r="D124" s="4" t="s">
        <v>919</v>
      </c>
      <c r="E124" s="4">
        <v>150</v>
      </c>
      <c r="F124" s="4" t="s">
        <v>917</v>
      </c>
      <c r="G124" s="4" t="e">
        <f>E124*VLOOKUP(B124,alimentos_master!$A:$M,13,FALSE())/100</f>
        <v>#N/A</v>
      </c>
      <c r="H124" s="4" t="e">
        <f>E124*VLOOKUP(B124,alimentos_master!$A:$N,14,FALSE())/100</f>
        <v>#N/A</v>
      </c>
      <c r="I124" s="4" t="e">
        <f>E124*VLOOKUP(B124,alimentos_master!$A:$O,15,FALSE())/100</f>
        <v>#N/A</v>
      </c>
      <c r="J124" s="4" t="e">
        <f>E124*VLOOKUP(B124,alimentos_master!$A:$R,18,FALSE())/100</f>
        <v>#N/A</v>
      </c>
    </row>
    <row r="125" spans="1:10" ht="15" customHeight="1" x14ac:dyDescent="0.2">
      <c r="A125" s="4">
        <v>124</v>
      </c>
      <c r="B125" s="4">
        <v>31</v>
      </c>
      <c r="C125" s="4" t="s">
        <v>106</v>
      </c>
      <c r="D125" s="4" t="s">
        <v>920</v>
      </c>
      <c r="E125" s="4">
        <v>200</v>
      </c>
      <c r="F125" s="4" t="s">
        <v>917</v>
      </c>
      <c r="G125" s="4" t="e">
        <f>E125*VLOOKUP(B125,alimentos_master!$A:$M,13,FALSE())/100</f>
        <v>#N/A</v>
      </c>
      <c r="H125" s="4" t="e">
        <f>E125*VLOOKUP(B125,alimentos_master!$A:$N,14,FALSE())/100</f>
        <v>#N/A</v>
      </c>
      <c r="I125" s="4" t="e">
        <f>E125*VLOOKUP(B125,alimentos_master!$A:$O,15,FALSE())/100</f>
        <v>#N/A</v>
      </c>
      <c r="J125" s="4" t="e">
        <f>E125*VLOOKUP(B125,alimentos_master!$A:$R,18,FALSE())/100</f>
        <v>#N/A</v>
      </c>
    </row>
    <row r="126" spans="1:10" ht="15" customHeight="1" x14ac:dyDescent="0.2">
      <c r="A126" s="4">
        <v>125</v>
      </c>
      <c r="B126" s="4">
        <v>32</v>
      </c>
      <c r="C126" s="4" t="s">
        <v>107</v>
      </c>
      <c r="D126" s="4" t="s">
        <v>916</v>
      </c>
      <c r="E126" s="4">
        <v>75</v>
      </c>
      <c r="F126" s="4" t="s">
        <v>917</v>
      </c>
      <c r="G126" s="4" t="e">
        <f>E126*VLOOKUP(B126,alimentos_master!$A:$M,13,FALSE())/100</f>
        <v>#N/A</v>
      </c>
      <c r="H126" s="4" t="e">
        <f>E126*VLOOKUP(B126,alimentos_master!$A:$N,14,FALSE())/100</f>
        <v>#N/A</v>
      </c>
      <c r="I126" s="4" t="e">
        <f>E126*VLOOKUP(B126,alimentos_master!$A:$O,15,FALSE())/100</f>
        <v>#N/A</v>
      </c>
      <c r="J126" s="4" t="e">
        <f>E126*VLOOKUP(B126,alimentos_master!$A:$R,18,FALSE())/100</f>
        <v>#N/A</v>
      </c>
    </row>
    <row r="127" spans="1:10" ht="15" customHeight="1" x14ac:dyDescent="0.2">
      <c r="A127" s="4">
        <v>126</v>
      </c>
      <c r="B127" s="4">
        <v>32</v>
      </c>
      <c r="C127" s="4" t="s">
        <v>107</v>
      </c>
      <c r="D127" s="4" t="s">
        <v>918</v>
      </c>
      <c r="E127" s="4">
        <v>100</v>
      </c>
      <c r="F127" s="4" t="s">
        <v>917</v>
      </c>
      <c r="G127" s="4" t="e">
        <f>E127*VLOOKUP(B127,alimentos_master!$A:$M,13,FALSE())/100</f>
        <v>#N/A</v>
      </c>
      <c r="H127" s="4" t="e">
        <f>E127*VLOOKUP(B127,alimentos_master!$A:$N,14,FALSE())/100</f>
        <v>#N/A</v>
      </c>
      <c r="I127" s="4" t="e">
        <f>E127*VLOOKUP(B127,alimentos_master!$A:$O,15,FALSE())/100</f>
        <v>#N/A</v>
      </c>
      <c r="J127" s="4" t="e">
        <f>E127*VLOOKUP(B127,alimentos_master!$A:$R,18,FALSE())/100</f>
        <v>#N/A</v>
      </c>
    </row>
    <row r="128" spans="1:10" ht="15" customHeight="1" x14ac:dyDescent="0.2">
      <c r="A128" s="4">
        <v>127</v>
      </c>
      <c r="B128" s="4">
        <v>32</v>
      </c>
      <c r="C128" s="4" t="s">
        <v>107</v>
      </c>
      <c r="D128" s="4" t="s">
        <v>919</v>
      </c>
      <c r="E128" s="4">
        <v>150</v>
      </c>
      <c r="F128" s="4" t="s">
        <v>917</v>
      </c>
      <c r="G128" s="4" t="e">
        <f>E128*VLOOKUP(B128,alimentos_master!$A:$M,13,FALSE())/100</f>
        <v>#N/A</v>
      </c>
      <c r="H128" s="4" t="e">
        <f>E128*VLOOKUP(B128,alimentos_master!$A:$N,14,FALSE())/100</f>
        <v>#N/A</v>
      </c>
      <c r="I128" s="4" t="e">
        <f>E128*VLOOKUP(B128,alimentos_master!$A:$O,15,FALSE())/100</f>
        <v>#N/A</v>
      </c>
      <c r="J128" s="4" t="e">
        <f>E128*VLOOKUP(B128,alimentos_master!$A:$R,18,FALSE())/100</f>
        <v>#N/A</v>
      </c>
    </row>
    <row r="129" spans="1:10" ht="15" customHeight="1" x14ac:dyDescent="0.2">
      <c r="A129" s="4">
        <v>128</v>
      </c>
      <c r="B129" s="4">
        <v>32</v>
      </c>
      <c r="C129" s="4" t="s">
        <v>107</v>
      </c>
      <c r="D129" s="4" t="s">
        <v>920</v>
      </c>
      <c r="E129" s="4">
        <v>200</v>
      </c>
      <c r="F129" s="4" t="s">
        <v>917</v>
      </c>
      <c r="G129" s="4" t="e">
        <f>E129*VLOOKUP(B129,alimentos_master!$A:$M,13,FALSE())/100</f>
        <v>#N/A</v>
      </c>
      <c r="H129" s="4" t="e">
        <f>E129*VLOOKUP(B129,alimentos_master!$A:$N,14,FALSE())/100</f>
        <v>#N/A</v>
      </c>
      <c r="I129" s="4" t="e">
        <f>E129*VLOOKUP(B129,alimentos_master!$A:$O,15,FALSE())/100</f>
        <v>#N/A</v>
      </c>
      <c r="J129" s="4" t="e">
        <f>E129*VLOOKUP(B129,alimentos_master!$A:$R,18,FALSE())/100</f>
        <v>#N/A</v>
      </c>
    </row>
    <row r="130" spans="1:10" ht="15" customHeight="1" x14ac:dyDescent="0.2">
      <c r="A130" s="4">
        <v>129</v>
      </c>
      <c r="B130" s="4">
        <v>33</v>
      </c>
      <c r="C130" s="4" t="s">
        <v>108</v>
      </c>
      <c r="D130" s="4" t="s">
        <v>916</v>
      </c>
      <c r="E130" s="4">
        <v>75</v>
      </c>
      <c r="F130" s="4" t="s">
        <v>917</v>
      </c>
      <c r="G130" s="4" t="e">
        <f>E130*VLOOKUP(B130,alimentos_master!$A:$M,13,FALSE())/100</f>
        <v>#N/A</v>
      </c>
      <c r="H130" s="4" t="e">
        <f>E130*VLOOKUP(B130,alimentos_master!$A:$N,14,FALSE())/100</f>
        <v>#N/A</v>
      </c>
      <c r="I130" s="4" t="e">
        <f>E130*VLOOKUP(B130,alimentos_master!$A:$O,15,FALSE())/100</f>
        <v>#N/A</v>
      </c>
      <c r="J130" s="4" t="e">
        <f>E130*VLOOKUP(B130,alimentos_master!$A:$R,18,FALSE())/100</f>
        <v>#N/A</v>
      </c>
    </row>
    <row r="131" spans="1:10" ht="15" customHeight="1" x14ac:dyDescent="0.2">
      <c r="A131" s="4">
        <v>130</v>
      </c>
      <c r="B131" s="4">
        <v>33</v>
      </c>
      <c r="C131" s="4" t="s">
        <v>108</v>
      </c>
      <c r="D131" s="4" t="s">
        <v>918</v>
      </c>
      <c r="E131" s="4">
        <v>100</v>
      </c>
      <c r="F131" s="4" t="s">
        <v>917</v>
      </c>
      <c r="G131" s="4" t="e">
        <f>E131*VLOOKUP(B131,alimentos_master!$A:$M,13,FALSE())/100</f>
        <v>#N/A</v>
      </c>
      <c r="H131" s="4" t="e">
        <f>E131*VLOOKUP(B131,alimentos_master!$A:$N,14,FALSE())/100</f>
        <v>#N/A</v>
      </c>
      <c r="I131" s="4" t="e">
        <f>E131*VLOOKUP(B131,alimentos_master!$A:$O,15,FALSE())/100</f>
        <v>#N/A</v>
      </c>
      <c r="J131" s="4" t="e">
        <f>E131*VLOOKUP(B131,alimentos_master!$A:$R,18,FALSE())/100</f>
        <v>#N/A</v>
      </c>
    </row>
    <row r="132" spans="1:10" ht="15" customHeight="1" x14ac:dyDescent="0.2">
      <c r="A132" s="4">
        <v>131</v>
      </c>
      <c r="B132" s="4">
        <v>33</v>
      </c>
      <c r="C132" s="4" t="s">
        <v>108</v>
      </c>
      <c r="D132" s="4" t="s">
        <v>919</v>
      </c>
      <c r="E132" s="4">
        <v>150</v>
      </c>
      <c r="F132" s="4" t="s">
        <v>917</v>
      </c>
      <c r="G132" s="4" t="e">
        <f>E132*VLOOKUP(B132,alimentos_master!$A:$M,13,FALSE())/100</f>
        <v>#N/A</v>
      </c>
      <c r="H132" s="4" t="e">
        <f>E132*VLOOKUP(B132,alimentos_master!$A:$N,14,FALSE())/100</f>
        <v>#N/A</v>
      </c>
      <c r="I132" s="4" t="e">
        <f>E132*VLOOKUP(B132,alimentos_master!$A:$O,15,FALSE())/100</f>
        <v>#N/A</v>
      </c>
      <c r="J132" s="4" t="e">
        <f>E132*VLOOKUP(B132,alimentos_master!$A:$R,18,FALSE())/100</f>
        <v>#N/A</v>
      </c>
    </row>
    <row r="133" spans="1:10" ht="15" customHeight="1" x14ac:dyDescent="0.2">
      <c r="A133" s="4">
        <v>132</v>
      </c>
      <c r="B133" s="4">
        <v>33</v>
      </c>
      <c r="C133" s="4" t="s">
        <v>108</v>
      </c>
      <c r="D133" s="4" t="s">
        <v>920</v>
      </c>
      <c r="E133" s="4">
        <v>200</v>
      </c>
      <c r="F133" s="4" t="s">
        <v>917</v>
      </c>
      <c r="G133" s="4" t="e">
        <f>E133*VLOOKUP(B133,alimentos_master!$A:$M,13,FALSE())/100</f>
        <v>#N/A</v>
      </c>
      <c r="H133" s="4" t="e">
        <f>E133*VLOOKUP(B133,alimentos_master!$A:$N,14,FALSE())/100</f>
        <v>#N/A</v>
      </c>
      <c r="I133" s="4" t="e">
        <f>E133*VLOOKUP(B133,alimentos_master!$A:$O,15,FALSE())/100</f>
        <v>#N/A</v>
      </c>
      <c r="J133" s="4" t="e">
        <f>E133*VLOOKUP(B133,alimentos_master!$A:$R,18,FALSE())/100</f>
        <v>#N/A</v>
      </c>
    </row>
    <row r="134" spans="1:10" ht="15" customHeight="1" x14ac:dyDescent="0.2">
      <c r="A134" s="4">
        <v>133</v>
      </c>
      <c r="B134" s="4">
        <v>34</v>
      </c>
      <c r="C134" s="4" t="s">
        <v>109</v>
      </c>
      <c r="D134" s="4" t="s">
        <v>916</v>
      </c>
      <c r="E134" s="4">
        <v>75</v>
      </c>
      <c r="F134" s="4" t="s">
        <v>917</v>
      </c>
      <c r="G134" s="4" t="e">
        <f>E134*VLOOKUP(B134,alimentos_master!$A:$M,13,FALSE())/100</f>
        <v>#N/A</v>
      </c>
      <c r="H134" s="4" t="e">
        <f>E134*VLOOKUP(B134,alimentos_master!$A:$N,14,FALSE())/100</f>
        <v>#N/A</v>
      </c>
      <c r="I134" s="4" t="e">
        <f>E134*VLOOKUP(B134,alimentos_master!$A:$O,15,FALSE())/100</f>
        <v>#N/A</v>
      </c>
      <c r="J134" s="4" t="e">
        <f>E134*VLOOKUP(B134,alimentos_master!$A:$R,18,FALSE())/100</f>
        <v>#N/A</v>
      </c>
    </row>
    <row r="135" spans="1:10" ht="15" customHeight="1" x14ac:dyDescent="0.2">
      <c r="A135" s="4">
        <v>134</v>
      </c>
      <c r="B135" s="4">
        <v>34</v>
      </c>
      <c r="C135" s="4" t="s">
        <v>109</v>
      </c>
      <c r="D135" s="4" t="s">
        <v>918</v>
      </c>
      <c r="E135" s="4">
        <v>100</v>
      </c>
      <c r="F135" s="4" t="s">
        <v>917</v>
      </c>
      <c r="G135" s="4" t="e">
        <f>E135*VLOOKUP(B135,alimentos_master!$A:$M,13,FALSE())/100</f>
        <v>#N/A</v>
      </c>
      <c r="H135" s="4" t="e">
        <f>E135*VLOOKUP(B135,alimentos_master!$A:$N,14,FALSE())/100</f>
        <v>#N/A</v>
      </c>
      <c r="I135" s="4" t="e">
        <f>E135*VLOOKUP(B135,alimentos_master!$A:$O,15,FALSE())/100</f>
        <v>#N/A</v>
      </c>
      <c r="J135" s="4" t="e">
        <f>E135*VLOOKUP(B135,alimentos_master!$A:$R,18,FALSE())/100</f>
        <v>#N/A</v>
      </c>
    </row>
    <row r="136" spans="1:10" ht="15" customHeight="1" x14ac:dyDescent="0.2">
      <c r="A136" s="4">
        <v>135</v>
      </c>
      <c r="B136" s="4">
        <v>34</v>
      </c>
      <c r="C136" s="4" t="s">
        <v>109</v>
      </c>
      <c r="D136" s="4" t="s">
        <v>919</v>
      </c>
      <c r="E136" s="4">
        <v>150</v>
      </c>
      <c r="F136" s="4" t="s">
        <v>917</v>
      </c>
      <c r="G136" s="4" t="e">
        <f>E136*VLOOKUP(B136,alimentos_master!$A:$M,13,FALSE())/100</f>
        <v>#N/A</v>
      </c>
      <c r="H136" s="4" t="e">
        <f>E136*VLOOKUP(B136,alimentos_master!$A:$N,14,FALSE())/100</f>
        <v>#N/A</v>
      </c>
      <c r="I136" s="4" t="e">
        <f>E136*VLOOKUP(B136,alimentos_master!$A:$O,15,FALSE())/100</f>
        <v>#N/A</v>
      </c>
      <c r="J136" s="4" t="e">
        <f>E136*VLOOKUP(B136,alimentos_master!$A:$R,18,FALSE())/100</f>
        <v>#N/A</v>
      </c>
    </row>
    <row r="137" spans="1:10" ht="15" customHeight="1" x14ac:dyDescent="0.2">
      <c r="A137" s="4">
        <v>136</v>
      </c>
      <c r="B137" s="4">
        <v>34</v>
      </c>
      <c r="C137" s="4" t="s">
        <v>109</v>
      </c>
      <c r="D137" s="4" t="s">
        <v>920</v>
      </c>
      <c r="E137" s="4">
        <v>200</v>
      </c>
      <c r="F137" s="4" t="s">
        <v>917</v>
      </c>
      <c r="G137" s="4" t="e">
        <f>E137*VLOOKUP(B137,alimentos_master!$A:$M,13,FALSE())/100</f>
        <v>#N/A</v>
      </c>
      <c r="H137" s="4" t="e">
        <f>E137*VLOOKUP(B137,alimentos_master!$A:$N,14,FALSE())/100</f>
        <v>#N/A</v>
      </c>
      <c r="I137" s="4" t="e">
        <f>E137*VLOOKUP(B137,alimentos_master!$A:$O,15,FALSE())/100</f>
        <v>#N/A</v>
      </c>
      <c r="J137" s="4" t="e">
        <f>E137*VLOOKUP(B137,alimentos_master!$A:$R,18,FALSE())/100</f>
        <v>#N/A</v>
      </c>
    </row>
    <row r="138" spans="1:10" ht="15" customHeight="1" x14ac:dyDescent="0.2">
      <c r="A138" s="4">
        <v>137</v>
      </c>
      <c r="B138" s="4">
        <v>35</v>
      </c>
      <c r="C138" s="4" t="s">
        <v>110</v>
      </c>
      <c r="D138" s="4" t="s">
        <v>916</v>
      </c>
      <c r="E138" s="4">
        <v>75</v>
      </c>
      <c r="F138" s="4" t="s">
        <v>917</v>
      </c>
      <c r="G138" s="4" t="e">
        <f>E138*VLOOKUP(B138,alimentos_master!$A:$M,13,FALSE())/100</f>
        <v>#N/A</v>
      </c>
      <c r="H138" s="4" t="e">
        <f>E138*VLOOKUP(B138,alimentos_master!$A:$N,14,FALSE())/100</f>
        <v>#N/A</v>
      </c>
      <c r="I138" s="4" t="e">
        <f>E138*VLOOKUP(B138,alimentos_master!$A:$O,15,FALSE())/100</f>
        <v>#N/A</v>
      </c>
      <c r="J138" s="4" t="e">
        <f>E138*VLOOKUP(B138,alimentos_master!$A:$R,18,FALSE())/100</f>
        <v>#N/A</v>
      </c>
    </row>
    <row r="139" spans="1:10" ht="15" customHeight="1" x14ac:dyDescent="0.2">
      <c r="A139" s="4">
        <v>138</v>
      </c>
      <c r="B139" s="4">
        <v>35</v>
      </c>
      <c r="C139" s="4" t="s">
        <v>110</v>
      </c>
      <c r="D139" s="4" t="s">
        <v>918</v>
      </c>
      <c r="E139" s="4">
        <v>100</v>
      </c>
      <c r="F139" s="4" t="s">
        <v>917</v>
      </c>
      <c r="G139" s="4" t="e">
        <f>E139*VLOOKUP(B139,alimentos_master!$A:$M,13,FALSE())/100</f>
        <v>#N/A</v>
      </c>
      <c r="H139" s="4" t="e">
        <f>E139*VLOOKUP(B139,alimentos_master!$A:$N,14,FALSE())/100</f>
        <v>#N/A</v>
      </c>
      <c r="I139" s="4" t="e">
        <f>E139*VLOOKUP(B139,alimentos_master!$A:$O,15,FALSE())/100</f>
        <v>#N/A</v>
      </c>
      <c r="J139" s="4" t="e">
        <f>E139*VLOOKUP(B139,alimentos_master!$A:$R,18,FALSE())/100</f>
        <v>#N/A</v>
      </c>
    </row>
    <row r="140" spans="1:10" ht="15" customHeight="1" x14ac:dyDescent="0.2">
      <c r="A140" s="4">
        <v>139</v>
      </c>
      <c r="B140" s="4">
        <v>35</v>
      </c>
      <c r="C140" s="4" t="s">
        <v>110</v>
      </c>
      <c r="D140" s="4" t="s">
        <v>919</v>
      </c>
      <c r="E140" s="4">
        <v>150</v>
      </c>
      <c r="F140" s="4" t="s">
        <v>917</v>
      </c>
      <c r="G140" s="4" t="e">
        <f>E140*VLOOKUP(B140,alimentos_master!$A:$M,13,FALSE())/100</f>
        <v>#N/A</v>
      </c>
      <c r="H140" s="4" t="e">
        <f>E140*VLOOKUP(B140,alimentos_master!$A:$N,14,FALSE())/100</f>
        <v>#N/A</v>
      </c>
      <c r="I140" s="4" t="e">
        <f>E140*VLOOKUP(B140,alimentos_master!$A:$O,15,FALSE())/100</f>
        <v>#N/A</v>
      </c>
      <c r="J140" s="4" t="e">
        <f>E140*VLOOKUP(B140,alimentos_master!$A:$R,18,FALSE())/100</f>
        <v>#N/A</v>
      </c>
    </row>
    <row r="141" spans="1:10" ht="15" customHeight="1" x14ac:dyDescent="0.2">
      <c r="A141" s="4">
        <v>140</v>
      </c>
      <c r="B141" s="4">
        <v>35</v>
      </c>
      <c r="C141" s="4" t="s">
        <v>110</v>
      </c>
      <c r="D141" s="4" t="s">
        <v>920</v>
      </c>
      <c r="E141" s="4">
        <v>200</v>
      </c>
      <c r="F141" s="4" t="s">
        <v>917</v>
      </c>
      <c r="G141" s="4" t="e">
        <f>E141*VLOOKUP(B141,alimentos_master!$A:$M,13,FALSE())/100</f>
        <v>#N/A</v>
      </c>
      <c r="H141" s="4" t="e">
        <f>E141*VLOOKUP(B141,alimentos_master!$A:$N,14,FALSE())/100</f>
        <v>#N/A</v>
      </c>
      <c r="I141" s="4" t="e">
        <f>E141*VLOOKUP(B141,alimentos_master!$A:$O,15,FALSE())/100</f>
        <v>#N/A</v>
      </c>
      <c r="J141" s="4" t="e">
        <f>E141*VLOOKUP(B141,alimentos_master!$A:$R,18,FALSE())/100</f>
        <v>#N/A</v>
      </c>
    </row>
    <row r="142" spans="1:10" ht="15" customHeight="1" x14ac:dyDescent="0.2">
      <c r="A142" s="4">
        <v>141</v>
      </c>
      <c r="B142" s="4">
        <v>36</v>
      </c>
      <c r="C142" s="4" t="s">
        <v>111</v>
      </c>
      <c r="D142" s="4" t="s">
        <v>916</v>
      </c>
      <c r="E142" s="4">
        <v>75</v>
      </c>
      <c r="F142" s="4" t="s">
        <v>917</v>
      </c>
      <c r="G142" s="4" t="e">
        <f>E142*VLOOKUP(B142,alimentos_master!$A:$M,13,FALSE())/100</f>
        <v>#N/A</v>
      </c>
      <c r="H142" s="4" t="e">
        <f>E142*VLOOKUP(B142,alimentos_master!$A:$N,14,FALSE())/100</f>
        <v>#N/A</v>
      </c>
      <c r="I142" s="4" t="e">
        <f>E142*VLOOKUP(B142,alimentos_master!$A:$O,15,FALSE())/100</f>
        <v>#N/A</v>
      </c>
      <c r="J142" s="4" t="e">
        <f>E142*VLOOKUP(B142,alimentos_master!$A:$R,18,FALSE())/100</f>
        <v>#N/A</v>
      </c>
    </row>
    <row r="143" spans="1:10" ht="15" customHeight="1" x14ac:dyDescent="0.2">
      <c r="A143" s="4">
        <v>142</v>
      </c>
      <c r="B143" s="4">
        <v>36</v>
      </c>
      <c r="C143" s="4" t="s">
        <v>111</v>
      </c>
      <c r="D143" s="4" t="s">
        <v>918</v>
      </c>
      <c r="E143" s="4">
        <v>100</v>
      </c>
      <c r="F143" s="4" t="s">
        <v>917</v>
      </c>
      <c r="G143" s="4" t="e">
        <f>E143*VLOOKUP(B143,alimentos_master!$A:$M,13,FALSE())/100</f>
        <v>#N/A</v>
      </c>
      <c r="H143" s="4" t="e">
        <f>E143*VLOOKUP(B143,alimentos_master!$A:$N,14,FALSE())/100</f>
        <v>#N/A</v>
      </c>
      <c r="I143" s="4" t="e">
        <f>E143*VLOOKUP(B143,alimentos_master!$A:$O,15,FALSE())/100</f>
        <v>#N/A</v>
      </c>
      <c r="J143" s="4" t="e">
        <f>E143*VLOOKUP(B143,alimentos_master!$A:$R,18,FALSE())/100</f>
        <v>#N/A</v>
      </c>
    </row>
    <row r="144" spans="1:10" ht="15" customHeight="1" x14ac:dyDescent="0.2">
      <c r="A144" s="4">
        <v>143</v>
      </c>
      <c r="B144" s="4">
        <v>36</v>
      </c>
      <c r="C144" s="4" t="s">
        <v>111</v>
      </c>
      <c r="D144" s="4" t="s">
        <v>919</v>
      </c>
      <c r="E144" s="4">
        <v>150</v>
      </c>
      <c r="F144" s="4" t="s">
        <v>917</v>
      </c>
      <c r="G144" s="4" t="e">
        <f>E144*VLOOKUP(B144,alimentos_master!$A:$M,13,FALSE())/100</f>
        <v>#N/A</v>
      </c>
      <c r="H144" s="4" t="e">
        <f>E144*VLOOKUP(B144,alimentos_master!$A:$N,14,FALSE())/100</f>
        <v>#N/A</v>
      </c>
      <c r="I144" s="4" t="e">
        <f>E144*VLOOKUP(B144,alimentos_master!$A:$O,15,FALSE())/100</f>
        <v>#N/A</v>
      </c>
      <c r="J144" s="4" t="e">
        <f>E144*VLOOKUP(B144,alimentos_master!$A:$R,18,FALSE())/100</f>
        <v>#N/A</v>
      </c>
    </row>
    <row r="145" spans="1:10" ht="15" customHeight="1" x14ac:dyDescent="0.2">
      <c r="A145" s="4">
        <v>144</v>
      </c>
      <c r="B145" s="4">
        <v>36</v>
      </c>
      <c r="C145" s="4" t="s">
        <v>111</v>
      </c>
      <c r="D145" s="4" t="s">
        <v>920</v>
      </c>
      <c r="E145" s="4">
        <v>200</v>
      </c>
      <c r="F145" s="4" t="s">
        <v>917</v>
      </c>
      <c r="G145" s="4" t="e">
        <f>E145*VLOOKUP(B145,alimentos_master!$A:$M,13,FALSE())/100</f>
        <v>#N/A</v>
      </c>
      <c r="H145" s="4" t="e">
        <f>E145*VLOOKUP(B145,alimentos_master!$A:$N,14,FALSE())/100</f>
        <v>#N/A</v>
      </c>
      <c r="I145" s="4" t="e">
        <f>E145*VLOOKUP(B145,alimentos_master!$A:$O,15,FALSE())/100</f>
        <v>#N/A</v>
      </c>
      <c r="J145" s="4" t="e">
        <f>E145*VLOOKUP(B145,alimentos_master!$A:$R,18,FALSE())/100</f>
        <v>#N/A</v>
      </c>
    </row>
    <row r="146" spans="1:10" ht="15" customHeight="1" x14ac:dyDescent="0.2">
      <c r="A146" s="4">
        <v>145</v>
      </c>
      <c r="B146" s="4">
        <v>37</v>
      </c>
      <c r="C146" s="4" t="s">
        <v>112</v>
      </c>
      <c r="D146" s="4" t="s">
        <v>916</v>
      </c>
      <c r="E146" s="4">
        <v>75</v>
      </c>
      <c r="F146" s="4" t="s">
        <v>917</v>
      </c>
      <c r="G146" s="4" t="e">
        <f>E146*VLOOKUP(B146,alimentos_master!$A:$M,13,FALSE())/100</f>
        <v>#N/A</v>
      </c>
      <c r="H146" s="4" t="e">
        <f>E146*VLOOKUP(B146,alimentos_master!$A:$N,14,FALSE())/100</f>
        <v>#N/A</v>
      </c>
      <c r="I146" s="4" t="e">
        <f>E146*VLOOKUP(B146,alimentos_master!$A:$O,15,FALSE())/100</f>
        <v>#N/A</v>
      </c>
      <c r="J146" s="4" t="e">
        <f>E146*VLOOKUP(B146,alimentos_master!$A:$R,18,FALSE())/100</f>
        <v>#N/A</v>
      </c>
    </row>
    <row r="147" spans="1:10" ht="15" customHeight="1" x14ac:dyDescent="0.2">
      <c r="A147" s="4">
        <v>146</v>
      </c>
      <c r="B147" s="4">
        <v>37</v>
      </c>
      <c r="C147" s="4" t="s">
        <v>112</v>
      </c>
      <c r="D147" s="4" t="s">
        <v>918</v>
      </c>
      <c r="E147" s="4">
        <v>100</v>
      </c>
      <c r="F147" s="4" t="s">
        <v>917</v>
      </c>
      <c r="G147" s="4" t="e">
        <f>E147*VLOOKUP(B147,alimentos_master!$A:$M,13,FALSE())/100</f>
        <v>#N/A</v>
      </c>
      <c r="H147" s="4" t="e">
        <f>E147*VLOOKUP(B147,alimentos_master!$A:$N,14,FALSE())/100</f>
        <v>#N/A</v>
      </c>
      <c r="I147" s="4" t="e">
        <f>E147*VLOOKUP(B147,alimentos_master!$A:$O,15,FALSE())/100</f>
        <v>#N/A</v>
      </c>
      <c r="J147" s="4" t="e">
        <f>E147*VLOOKUP(B147,alimentos_master!$A:$R,18,FALSE())/100</f>
        <v>#N/A</v>
      </c>
    </row>
    <row r="148" spans="1:10" ht="15" customHeight="1" x14ac:dyDescent="0.2">
      <c r="A148" s="4">
        <v>147</v>
      </c>
      <c r="B148" s="4">
        <v>37</v>
      </c>
      <c r="C148" s="4" t="s">
        <v>112</v>
      </c>
      <c r="D148" s="4" t="s">
        <v>919</v>
      </c>
      <c r="E148" s="4">
        <v>150</v>
      </c>
      <c r="F148" s="4" t="s">
        <v>917</v>
      </c>
      <c r="G148" s="4" t="e">
        <f>E148*VLOOKUP(B148,alimentos_master!$A:$M,13,FALSE())/100</f>
        <v>#N/A</v>
      </c>
      <c r="H148" s="4" t="e">
        <f>E148*VLOOKUP(B148,alimentos_master!$A:$N,14,FALSE())/100</f>
        <v>#N/A</v>
      </c>
      <c r="I148" s="4" t="e">
        <f>E148*VLOOKUP(B148,alimentos_master!$A:$O,15,FALSE())/100</f>
        <v>#N/A</v>
      </c>
      <c r="J148" s="4" t="e">
        <f>E148*VLOOKUP(B148,alimentos_master!$A:$R,18,FALSE())/100</f>
        <v>#N/A</v>
      </c>
    </row>
    <row r="149" spans="1:10" ht="15" customHeight="1" x14ac:dyDescent="0.2">
      <c r="A149" s="4">
        <v>148</v>
      </c>
      <c r="B149" s="4">
        <v>37</v>
      </c>
      <c r="C149" s="4" t="s">
        <v>112</v>
      </c>
      <c r="D149" s="4" t="s">
        <v>920</v>
      </c>
      <c r="E149" s="4">
        <v>200</v>
      </c>
      <c r="F149" s="4" t="s">
        <v>917</v>
      </c>
      <c r="G149" s="4" t="e">
        <f>E149*VLOOKUP(B149,alimentos_master!$A:$M,13,FALSE())/100</f>
        <v>#N/A</v>
      </c>
      <c r="H149" s="4" t="e">
        <f>E149*VLOOKUP(B149,alimentos_master!$A:$N,14,FALSE())/100</f>
        <v>#N/A</v>
      </c>
      <c r="I149" s="4" t="e">
        <f>E149*VLOOKUP(B149,alimentos_master!$A:$O,15,FALSE())/100</f>
        <v>#N/A</v>
      </c>
      <c r="J149" s="4" t="e">
        <f>E149*VLOOKUP(B149,alimentos_master!$A:$R,18,FALSE())/100</f>
        <v>#N/A</v>
      </c>
    </row>
    <row r="150" spans="1:10" ht="15" customHeight="1" x14ac:dyDescent="0.2">
      <c r="A150" s="4">
        <v>149</v>
      </c>
      <c r="B150" s="4">
        <v>38</v>
      </c>
      <c r="C150" s="4" t="s">
        <v>113</v>
      </c>
      <c r="D150" s="4" t="s">
        <v>916</v>
      </c>
      <c r="E150" s="4">
        <v>75</v>
      </c>
      <c r="F150" s="4" t="s">
        <v>917</v>
      </c>
      <c r="G150" s="4" t="e">
        <f>E150*VLOOKUP(B150,alimentos_master!$A:$M,13,FALSE())/100</f>
        <v>#N/A</v>
      </c>
      <c r="H150" s="4" t="e">
        <f>E150*VLOOKUP(B150,alimentos_master!$A:$N,14,FALSE())/100</f>
        <v>#N/A</v>
      </c>
      <c r="I150" s="4" t="e">
        <f>E150*VLOOKUP(B150,alimentos_master!$A:$O,15,FALSE())/100</f>
        <v>#N/A</v>
      </c>
      <c r="J150" s="4" t="e">
        <f>E150*VLOOKUP(B150,alimentos_master!$A:$R,18,FALSE())/100</f>
        <v>#N/A</v>
      </c>
    </row>
    <row r="151" spans="1:10" ht="15" customHeight="1" x14ac:dyDescent="0.2">
      <c r="A151" s="4">
        <v>150</v>
      </c>
      <c r="B151" s="4">
        <v>38</v>
      </c>
      <c r="C151" s="4" t="s">
        <v>113</v>
      </c>
      <c r="D151" s="4" t="s">
        <v>918</v>
      </c>
      <c r="E151" s="4">
        <v>100</v>
      </c>
      <c r="F151" s="4" t="s">
        <v>917</v>
      </c>
      <c r="G151" s="4" t="e">
        <f>E151*VLOOKUP(B151,alimentos_master!$A:$M,13,FALSE())/100</f>
        <v>#N/A</v>
      </c>
      <c r="H151" s="4" t="e">
        <f>E151*VLOOKUP(B151,alimentos_master!$A:$N,14,FALSE())/100</f>
        <v>#N/A</v>
      </c>
      <c r="I151" s="4" t="e">
        <f>E151*VLOOKUP(B151,alimentos_master!$A:$O,15,FALSE())/100</f>
        <v>#N/A</v>
      </c>
      <c r="J151" s="4" t="e">
        <f>E151*VLOOKUP(B151,alimentos_master!$A:$R,18,FALSE())/100</f>
        <v>#N/A</v>
      </c>
    </row>
    <row r="152" spans="1:10" ht="15" customHeight="1" x14ac:dyDescent="0.2">
      <c r="A152" s="4">
        <v>151</v>
      </c>
      <c r="B152" s="4">
        <v>38</v>
      </c>
      <c r="C152" s="4" t="s">
        <v>113</v>
      </c>
      <c r="D152" s="4" t="s">
        <v>919</v>
      </c>
      <c r="E152" s="4">
        <v>150</v>
      </c>
      <c r="F152" s="4" t="s">
        <v>917</v>
      </c>
      <c r="G152" s="4" t="e">
        <f>E152*VLOOKUP(B152,alimentos_master!$A:$M,13,FALSE())/100</f>
        <v>#N/A</v>
      </c>
      <c r="H152" s="4" t="e">
        <f>E152*VLOOKUP(B152,alimentos_master!$A:$N,14,FALSE())/100</f>
        <v>#N/A</v>
      </c>
      <c r="I152" s="4" t="e">
        <f>E152*VLOOKUP(B152,alimentos_master!$A:$O,15,FALSE())/100</f>
        <v>#N/A</v>
      </c>
      <c r="J152" s="4" t="e">
        <f>E152*VLOOKUP(B152,alimentos_master!$A:$R,18,FALSE())/100</f>
        <v>#N/A</v>
      </c>
    </row>
    <row r="153" spans="1:10" ht="15" customHeight="1" x14ac:dyDescent="0.2">
      <c r="A153" s="4">
        <v>152</v>
      </c>
      <c r="B153" s="4">
        <v>38</v>
      </c>
      <c r="C153" s="4" t="s">
        <v>113</v>
      </c>
      <c r="D153" s="4" t="s">
        <v>920</v>
      </c>
      <c r="E153" s="4">
        <v>200</v>
      </c>
      <c r="F153" s="4" t="s">
        <v>917</v>
      </c>
      <c r="G153" s="4" t="e">
        <f>E153*VLOOKUP(B153,alimentos_master!$A:$M,13,FALSE())/100</f>
        <v>#N/A</v>
      </c>
      <c r="H153" s="4" t="e">
        <f>E153*VLOOKUP(B153,alimentos_master!$A:$N,14,FALSE())/100</f>
        <v>#N/A</v>
      </c>
      <c r="I153" s="4" t="e">
        <f>E153*VLOOKUP(B153,alimentos_master!$A:$O,15,FALSE())/100</f>
        <v>#N/A</v>
      </c>
      <c r="J153" s="4" t="e">
        <f>E153*VLOOKUP(B153,alimentos_master!$A:$R,18,FALSE())/100</f>
        <v>#N/A</v>
      </c>
    </row>
    <row r="154" spans="1:10" ht="15" customHeight="1" x14ac:dyDescent="0.2">
      <c r="A154" s="4">
        <v>153</v>
      </c>
      <c r="B154" s="4">
        <v>39</v>
      </c>
      <c r="C154" s="4" t="s">
        <v>114</v>
      </c>
      <c r="D154" s="4" t="s">
        <v>916</v>
      </c>
      <c r="E154" s="4">
        <v>75</v>
      </c>
      <c r="F154" s="4" t="s">
        <v>917</v>
      </c>
      <c r="G154" s="4" t="e">
        <f>E154*VLOOKUP(B154,alimentos_master!$A:$M,13,FALSE())/100</f>
        <v>#N/A</v>
      </c>
      <c r="H154" s="4" t="e">
        <f>E154*VLOOKUP(B154,alimentos_master!$A:$N,14,FALSE())/100</f>
        <v>#N/A</v>
      </c>
      <c r="I154" s="4" t="e">
        <f>E154*VLOOKUP(B154,alimentos_master!$A:$O,15,FALSE())/100</f>
        <v>#N/A</v>
      </c>
      <c r="J154" s="4" t="e">
        <f>E154*VLOOKUP(B154,alimentos_master!$A:$R,18,FALSE())/100</f>
        <v>#N/A</v>
      </c>
    </row>
    <row r="155" spans="1:10" ht="15" customHeight="1" x14ac:dyDescent="0.2">
      <c r="A155" s="4">
        <v>154</v>
      </c>
      <c r="B155" s="4">
        <v>39</v>
      </c>
      <c r="C155" s="4" t="s">
        <v>114</v>
      </c>
      <c r="D155" s="4" t="s">
        <v>918</v>
      </c>
      <c r="E155" s="4">
        <v>100</v>
      </c>
      <c r="F155" s="4" t="s">
        <v>917</v>
      </c>
      <c r="G155" s="4" t="e">
        <f>E155*VLOOKUP(B155,alimentos_master!$A:$M,13,FALSE())/100</f>
        <v>#N/A</v>
      </c>
      <c r="H155" s="4" t="e">
        <f>E155*VLOOKUP(B155,alimentos_master!$A:$N,14,FALSE())/100</f>
        <v>#N/A</v>
      </c>
      <c r="I155" s="4" t="e">
        <f>E155*VLOOKUP(B155,alimentos_master!$A:$O,15,FALSE())/100</f>
        <v>#N/A</v>
      </c>
      <c r="J155" s="4" t="e">
        <f>E155*VLOOKUP(B155,alimentos_master!$A:$R,18,FALSE())/100</f>
        <v>#N/A</v>
      </c>
    </row>
    <row r="156" spans="1:10" ht="15" customHeight="1" x14ac:dyDescent="0.2">
      <c r="A156" s="4">
        <v>155</v>
      </c>
      <c r="B156" s="4">
        <v>39</v>
      </c>
      <c r="C156" s="4" t="s">
        <v>114</v>
      </c>
      <c r="D156" s="4" t="s">
        <v>919</v>
      </c>
      <c r="E156" s="4">
        <v>150</v>
      </c>
      <c r="F156" s="4" t="s">
        <v>917</v>
      </c>
      <c r="G156" s="4" t="e">
        <f>E156*VLOOKUP(B156,alimentos_master!$A:$M,13,FALSE())/100</f>
        <v>#N/A</v>
      </c>
      <c r="H156" s="4" t="e">
        <f>E156*VLOOKUP(B156,alimentos_master!$A:$N,14,FALSE())/100</f>
        <v>#N/A</v>
      </c>
      <c r="I156" s="4" t="e">
        <f>E156*VLOOKUP(B156,alimentos_master!$A:$O,15,FALSE())/100</f>
        <v>#N/A</v>
      </c>
      <c r="J156" s="4" t="e">
        <f>E156*VLOOKUP(B156,alimentos_master!$A:$R,18,FALSE())/100</f>
        <v>#N/A</v>
      </c>
    </row>
    <row r="157" spans="1:10" ht="15" customHeight="1" x14ac:dyDescent="0.2">
      <c r="A157" s="4">
        <v>156</v>
      </c>
      <c r="B157" s="4">
        <v>39</v>
      </c>
      <c r="C157" s="4" t="s">
        <v>114</v>
      </c>
      <c r="D157" s="4" t="s">
        <v>920</v>
      </c>
      <c r="E157" s="4">
        <v>200</v>
      </c>
      <c r="F157" s="4" t="s">
        <v>917</v>
      </c>
      <c r="G157" s="4" t="e">
        <f>E157*VLOOKUP(B157,alimentos_master!$A:$M,13,FALSE())/100</f>
        <v>#N/A</v>
      </c>
      <c r="H157" s="4" t="e">
        <f>E157*VLOOKUP(B157,alimentos_master!$A:$N,14,FALSE())/100</f>
        <v>#N/A</v>
      </c>
      <c r="I157" s="4" t="e">
        <f>E157*VLOOKUP(B157,alimentos_master!$A:$O,15,FALSE())/100</f>
        <v>#N/A</v>
      </c>
      <c r="J157" s="4" t="e">
        <f>E157*VLOOKUP(B157,alimentos_master!$A:$R,18,FALSE())/100</f>
        <v>#N/A</v>
      </c>
    </row>
    <row r="158" spans="1:10" ht="15" customHeight="1" x14ac:dyDescent="0.2">
      <c r="A158" s="4">
        <v>157</v>
      </c>
      <c r="B158" s="4">
        <v>40</v>
      </c>
      <c r="C158" s="4" t="s">
        <v>115</v>
      </c>
      <c r="D158" s="4" t="s">
        <v>916</v>
      </c>
      <c r="E158" s="4">
        <v>75</v>
      </c>
      <c r="F158" s="4" t="s">
        <v>917</v>
      </c>
      <c r="G158" s="4">
        <f>E158*VLOOKUP(B158,alimentos_master!$A:$M,13,FALSE())/100</f>
        <v>93.974999999999994</v>
      </c>
      <c r="H158" s="4">
        <f>E158*VLOOKUP(B158,alimentos_master!$A:$N,14,FALSE())/100</f>
        <v>3.78</v>
      </c>
      <c r="I158" s="4">
        <f>E158*VLOOKUP(B158,alimentos_master!$A:$O,15,FALSE())/100</f>
        <v>18.899999999999999</v>
      </c>
      <c r="J158" s="4">
        <f>E158*VLOOKUP(B158,alimentos_master!$A:$R,18,FALSE())/100</f>
        <v>0.64500000000000002</v>
      </c>
    </row>
    <row r="159" spans="1:10" ht="15" customHeight="1" x14ac:dyDescent="0.2">
      <c r="A159" s="4">
        <v>158</v>
      </c>
      <c r="B159" s="4">
        <v>40</v>
      </c>
      <c r="C159" s="4" t="s">
        <v>115</v>
      </c>
      <c r="D159" s="4" t="s">
        <v>918</v>
      </c>
      <c r="E159" s="4">
        <v>100</v>
      </c>
      <c r="F159" s="4" t="s">
        <v>917</v>
      </c>
      <c r="G159" s="4">
        <f>E159*VLOOKUP(B159,alimentos_master!$A:$M,13,FALSE())/100</f>
        <v>125.3</v>
      </c>
      <c r="H159" s="4">
        <f>E159*VLOOKUP(B159,alimentos_master!$A:$N,14,FALSE())/100</f>
        <v>5.04</v>
      </c>
      <c r="I159" s="4">
        <f>E159*VLOOKUP(B159,alimentos_master!$A:$O,15,FALSE())/100</f>
        <v>25.2</v>
      </c>
      <c r="J159" s="4">
        <f>E159*VLOOKUP(B159,alimentos_master!$A:$R,18,FALSE())/100</f>
        <v>0.86</v>
      </c>
    </row>
    <row r="160" spans="1:10" ht="15" customHeight="1" x14ac:dyDescent="0.2">
      <c r="A160" s="4">
        <v>159</v>
      </c>
      <c r="B160" s="4">
        <v>40</v>
      </c>
      <c r="C160" s="4" t="s">
        <v>115</v>
      </c>
      <c r="D160" s="4" t="s">
        <v>919</v>
      </c>
      <c r="E160" s="4">
        <v>150</v>
      </c>
      <c r="F160" s="4" t="s">
        <v>917</v>
      </c>
      <c r="G160" s="4">
        <f>E160*VLOOKUP(B160,alimentos_master!$A:$M,13,FALSE())/100</f>
        <v>187.95</v>
      </c>
      <c r="H160" s="4">
        <f>E160*VLOOKUP(B160,alimentos_master!$A:$N,14,FALSE())/100</f>
        <v>7.56</v>
      </c>
      <c r="I160" s="4">
        <f>E160*VLOOKUP(B160,alimentos_master!$A:$O,15,FALSE())/100</f>
        <v>37.799999999999997</v>
      </c>
      <c r="J160" s="4">
        <f>E160*VLOOKUP(B160,alimentos_master!$A:$R,18,FALSE())/100</f>
        <v>1.29</v>
      </c>
    </row>
    <row r="161" spans="1:10" ht="15" customHeight="1" x14ac:dyDescent="0.2">
      <c r="A161" s="4">
        <v>160</v>
      </c>
      <c r="B161" s="4">
        <v>40</v>
      </c>
      <c r="C161" s="4" t="s">
        <v>115</v>
      </c>
      <c r="D161" s="4" t="s">
        <v>920</v>
      </c>
      <c r="E161" s="4">
        <v>200</v>
      </c>
      <c r="F161" s="4" t="s">
        <v>917</v>
      </c>
      <c r="G161" s="4">
        <f>E161*VLOOKUP(B161,alimentos_master!$A:$M,13,FALSE())/100</f>
        <v>250.6</v>
      </c>
      <c r="H161" s="4">
        <f>E161*VLOOKUP(B161,alimentos_master!$A:$N,14,FALSE())/100</f>
        <v>10.08</v>
      </c>
      <c r="I161" s="4">
        <f>E161*VLOOKUP(B161,alimentos_master!$A:$O,15,FALSE())/100</f>
        <v>50.4</v>
      </c>
      <c r="J161" s="4">
        <f>E161*VLOOKUP(B161,alimentos_master!$A:$R,18,FALSE())/100</f>
        <v>1.72</v>
      </c>
    </row>
    <row r="162" spans="1:10" ht="15" customHeight="1" x14ac:dyDescent="0.2">
      <c r="A162" s="4">
        <v>161</v>
      </c>
      <c r="B162" s="4">
        <v>41</v>
      </c>
      <c r="C162" s="4" t="s">
        <v>116</v>
      </c>
      <c r="D162" s="4" t="s">
        <v>916</v>
      </c>
      <c r="E162" s="4">
        <v>75</v>
      </c>
      <c r="F162" s="4" t="s">
        <v>917</v>
      </c>
      <c r="G162" s="4" t="e">
        <f>E162*VLOOKUP(B162,alimentos_master!$A:$M,13,FALSE())/100</f>
        <v>#N/A</v>
      </c>
      <c r="H162" s="4" t="e">
        <f>E162*VLOOKUP(B162,alimentos_master!$A:$N,14,FALSE())/100</f>
        <v>#N/A</v>
      </c>
      <c r="I162" s="4" t="e">
        <f>E162*VLOOKUP(B162,alimentos_master!$A:$O,15,FALSE())/100</f>
        <v>#N/A</v>
      </c>
      <c r="J162" s="4" t="e">
        <f>E162*VLOOKUP(B162,alimentos_master!$A:$R,18,FALSE())/100</f>
        <v>#N/A</v>
      </c>
    </row>
    <row r="163" spans="1:10" ht="15" customHeight="1" x14ac:dyDescent="0.2">
      <c r="A163" s="4">
        <v>162</v>
      </c>
      <c r="B163" s="4">
        <v>41</v>
      </c>
      <c r="C163" s="4" t="s">
        <v>116</v>
      </c>
      <c r="D163" s="4" t="s">
        <v>918</v>
      </c>
      <c r="E163" s="4">
        <v>100</v>
      </c>
      <c r="F163" s="4" t="s">
        <v>917</v>
      </c>
      <c r="G163" s="4" t="e">
        <f>E163*VLOOKUP(B163,alimentos_master!$A:$M,13,FALSE())/100</f>
        <v>#N/A</v>
      </c>
      <c r="H163" s="4" t="e">
        <f>E163*VLOOKUP(B163,alimentos_master!$A:$N,14,FALSE())/100</f>
        <v>#N/A</v>
      </c>
      <c r="I163" s="4" t="e">
        <f>E163*VLOOKUP(B163,alimentos_master!$A:$O,15,FALSE())/100</f>
        <v>#N/A</v>
      </c>
      <c r="J163" s="4" t="e">
        <f>E163*VLOOKUP(B163,alimentos_master!$A:$R,18,FALSE())/100</f>
        <v>#N/A</v>
      </c>
    </row>
    <row r="164" spans="1:10" ht="15" customHeight="1" x14ac:dyDescent="0.2">
      <c r="A164" s="4">
        <v>163</v>
      </c>
      <c r="B164" s="4">
        <v>41</v>
      </c>
      <c r="C164" s="4" t="s">
        <v>116</v>
      </c>
      <c r="D164" s="4" t="s">
        <v>919</v>
      </c>
      <c r="E164" s="4">
        <v>150</v>
      </c>
      <c r="F164" s="4" t="s">
        <v>917</v>
      </c>
      <c r="G164" s="4" t="e">
        <f>E164*VLOOKUP(B164,alimentos_master!$A:$M,13,FALSE())/100</f>
        <v>#N/A</v>
      </c>
      <c r="H164" s="4" t="e">
        <f>E164*VLOOKUP(B164,alimentos_master!$A:$N,14,FALSE())/100</f>
        <v>#N/A</v>
      </c>
      <c r="I164" s="4" t="e">
        <f>E164*VLOOKUP(B164,alimentos_master!$A:$O,15,FALSE())/100</f>
        <v>#N/A</v>
      </c>
      <c r="J164" s="4" t="e">
        <f>E164*VLOOKUP(B164,alimentos_master!$A:$R,18,FALSE())/100</f>
        <v>#N/A</v>
      </c>
    </row>
    <row r="165" spans="1:10" ht="15" customHeight="1" x14ac:dyDescent="0.2">
      <c r="A165" s="4">
        <v>164</v>
      </c>
      <c r="B165" s="4">
        <v>41</v>
      </c>
      <c r="C165" s="4" t="s">
        <v>116</v>
      </c>
      <c r="D165" s="4" t="s">
        <v>920</v>
      </c>
      <c r="E165" s="4">
        <v>200</v>
      </c>
      <c r="F165" s="4" t="s">
        <v>917</v>
      </c>
      <c r="G165" s="4" t="e">
        <f>E165*VLOOKUP(B165,alimentos_master!$A:$M,13,FALSE())/100</f>
        <v>#N/A</v>
      </c>
      <c r="H165" s="4" t="e">
        <f>E165*VLOOKUP(B165,alimentos_master!$A:$N,14,FALSE())/100</f>
        <v>#N/A</v>
      </c>
      <c r="I165" s="4" t="e">
        <f>E165*VLOOKUP(B165,alimentos_master!$A:$O,15,FALSE())/100</f>
        <v>#N/A</v>
      </c>
      <c r="J165" s="4" t="e">
        <f>E165*VLOOKUP(B165,alimentos_master!$A:$R,18,FALSE())/100</f>
        <v>#N/A</v>
      </c>
    </row>
    <row r="166" spans="1:10" ht="15" customHeight="1" x14ac:dyDescent="0.2">
      <c r="A166" s="4">
        <v>165</v>
      </c>
      <c r="B166" s="4">
        <v>42</v>
      </c>
      <c r="C166" s="4" t="s">
        <v>117</v>
      </c>
      <c r="D166" s="4" t="s">
        <v>916</v>
      </c>
      <c r="E166" s="4">
        <v>75</v>
      </c>
      <c r="F166" s="4" t="s">
        <v>917</v>
      </c>
      <c r="G166" s="4" t="e">
        <f>E166*VLOOKUP(B166,alimentos_master!$A:$M,13,FALSE())/100</f>
        <v>#N/A</v>
      </c>
      <c r="H166" s="4" t="e">
        <f>E166*VLOOKUP(B166,alimentos_master!$A:$N,14,FALSE())/100</f>
        <v>#N/A</v>
      </c>
      <c r="I166" s="4" t="e">
        <f>E166*VLOOKUP(B166,alimentos_master!$A:$O,15,FALSE())/100</f>
        <v>#N/A</v>
      </c>
      <c r="J166" s="4" t="e">
        <f>E166*VLOOKUP(B166,alimentos_master!$A:$R,18,FALSE())/100</f>
        <v>#N/A</v>
      </c>
    </row>
    <row r="167" spans="1:10" ht="15" customHeight="1" x14ac:dyDescent="0.2">
      <c r="A167" s="4">
        <v>166</v>
      </c>
      <c r="B167" s="4">
        <v>42</v>
      </c>
      <c r="C167" s="4" t="s">
        <v>117</v>
      </c>
      <c r="D167" s="4" t="s">
        <v>918</v>
      </c>
      <c r="E167" s="4">
        <v>100</v>
      </c>
      <c r="F167" s="4" t="s">
        <v>917</v>
      </c>
      <c r="G167" s="4" t="e">
        <f>E167*VLOOKUP(B167,alimentos_master!$A:$M,13,FALSE())/100</f>
        <v>#N/A</v>
      </c>
      <c r="H167" s="4" t="e">
        <f>E167*VLOOKUP(B167,alimentos_master!$A:$N,14,FALSE())/100</f>
        <v>#N/A</v>
      </c>
      <c r="I167" s="4" t="e">
        <f>E167*VLOOKUP(B167,alimentos_master!$A:$O,15,FALSE())/100</f>
        <v>#N/A</v>
      </c>
      <c r="J167" s="4" t="e">
        <f>E167*VLOOKUP(B167,alimentos_master!$A:$R,18,FALSE())/100</f>
        <v>#N/A</v>
      </c>
    </row>
    <row r="168" spans="1:10" ht="15" customHeight="1" x14ac:dyDescent="0.2">
      <c r="A168" s="4">
        <v>167</v>
      </c>
      <c r="B168" s="4">
        <v>42</v>
      </c>
      <c r="C168" s="4" t="s">
        <v>117</v>
      </c>
      <c r="D168" s="4" t="s">
        <v>919</v>
      </c>
      <c r="E168" s="4">
        <v>150</v>
      </c>
      <c r="F168" s="4" t="s">
        <v>917</v>
      </c>
      <c r="G168" s="4" t="e">
        <f>E168*VLOOKUP(B168,alimentos_master!$A:$M,13,FALSE())/100</f>
        <v>#N/A</v>
      </c>
      <c r="H168" s="4" t="e">
        <f>E168*VLOOKUP(B168,alimentos_master!$A:$N,14,FALSE())/100</f>
        <v>#N/A</v>
      </c>
      <c r="I168" s="4" t="e">
        <f>E168*VLOOKUP(B168,alimentos_master!$A:$O,15,FALSE())/100</f>
        <v>#N/A</v>
      </c>
      <c r="J168" s="4" t="e">
        <f>E168*VLOOKUP(B168,alimentos_master!$A:$R,18,FALSE())/100</f>
        <v>#N/A</v>
      </c>
    </row>
    <row r="169" spans="1:10" ht="15" customHeight="1" x14ac:dyDescent="0.2">
      <c r="A169" s="4">
        <v>168</v>
      </c>
      <c r="B169" s="4">
        <v>42</v>
      </c>
      <c r="C169" s="4" t="s">
        <v>117</v>
      </c>
      <c r="D169" s="4" t="s">
        <v>920</v>
      </c>
      <c r="E169" s="4">
        <v>200</v>
      </c>
      <c r="F169" s="4" t="s">
        <v>917</v>
      </c>
      <c r="G169" s="4" t="e">
        <f>E169*VLOOKUP(B169,alimentos_master!$A:$M,13,FALSE())/100</f>
        <v>#N/A</v>
      </c>
      <c r="H169" s="4" t="e">
        <f>E169*VLOOKUP(B169,alimentos_master!$A:$N,14,FALSE())/100</f>
        <v>#N/A</v>
      </c>
      <c r="I169" s="4" t="e">
        <f>E169*VLOOKUP(B169,alimentos_master!$A:$O,15,FALSE())/100</f>
        <v>#N/A</v>
      </c>
      <c r="J169" s="4" t="e">
        <f>E169*VLOOKUP(B169,alimentos_master!$A:$R,18,FALSE())/100</f>
        <v>#N/A</v>
      </c>
    </row>
    <row r="170" spans="1:10" ht="15" customHeight="1" x14ac:dyDescent="0.2">
      <c r="A170" s="4">
        <v>169</v>
      </c>
      <c r="B170" s="4">
        <v>43</v>
      </c>
      <c r="C170" s="4" t="s">
        <v>118</v>
      </c>
      <c r="D170" s="4" t="s">
        <v>916</v>
      </c>
      <c r="E170" s="4">
        <v>75</v>
      </c>
      <c r="F170" s="4" t="s">
        <v>917</v>
      </c>
      <c r="G170" s="4" t="e">
        <f>E170*VLOOKUP(B170,alimentos_master!$A:$M,13,FALSE())/100</f>
        <v>#N/A</v>
      </c>
      <c r="H170" s="4" t="e">
        <f>E170*VLOOKUP(B170,alimentos_master!$A:$N,14,FALSE())/100</f>
        <v>#N/A</v>
      </c>
      <c r="I170" s="4" t="e">
        <f>E170*VLOOKUP(B170,alimentos_master!$A:$O,15,FALSE())/100</f>
        <v>#N/A</v>
      </c>
      <c r="J170" s="4" t="e">
        <f>E170*VLOOKUP(B170,alimentos_master!$A:$R,18,FALSE())/100</f>
        <v>#N/A</v>
      </c>
    </row>
    <row r="171" spans="1:10" ht="15" customHeight="1" x14ac:dyDescent="0.2">
      <c r="A171" s="4">
        <v>170</v>
      </c>
      <c r="B171" s="4">
        <v>43</v>
      </c>
      <c r="C171" s="4" t="s">
        <v>118</v>
      </c>
      <c r="D171" s="4" t="s">
        <v>918</v>
      </c>
      <c r="E171" s="4">
        <v>100</v>
      </c>
      <c r="F171" s="4" t="s">
        <v>917</v>
      </c>
      <c r="G171" s="4" t="e">
        <f>E171*VLOOKUP(B171,alimentos_master!$A:$M,13,FALSE())/100</f>
        <v>#N/A</v>
      </c>
      <c r="H171" s="4" t="e">
        <f>E171*VLOOKUP(B171,alimentos_master!$A:$N,14,FALSE())/100</f>
        <v>#N/A</v>
      </c>
      <c r="I171" s="4" t="e">
        <f>E171*VLOOKUP(B171,alimentos_master!$A:$O,15,FALSE())/100</f>
        <v>#N/A</v>
      </c>
      <c r="J171" s="4" t="e">
        <f>E171*VLOOKUP(B171,alimentos_master!$A:$R,18,FALSE())/100</f>
        <v>#N/A</v>
      </c>
    </row>
    <row r="172" spans="1:10" ht="15" customHeight="1" x14ac:dyDescent="0.2">
      <c r="A172" s="4">
        <v>171</v>
      </c>
      <c r="B172" s="4">
        <v>43</v>
      </c>
      <c r="C172" s="4" t="s">
        <v>118</v>
      </c>
      <c r="D172" s="4" t="s">
        <v>919</v>
      </c>
      <c r="E172" s="4">
        <v>150</v>
      </c>
      <c r="F172" s="4" t="s">
        <v>917</v>
      </c>
      <c r="G172" s="4" t="e">
        <f>E172*VLOOKUP(B172,alimentos_master!$A:$M,13,FALSE())/100</f>
        <v>#N/A</v>
      </c>
      <c r="H172" s="4" t="e">
        <f>E172*VLOOKUP(B172,alimentos_master!$A:$N,14,FALSE())/100</f>
        <v>#N/A</v>
      </c>
      <c r="I172" s="4" t="e">
        <f>E172*VLOOKUP(B172,alimentos_master!$A:$O,15,FALSE())/100</f>
        <v>#N/A</v>
      </c>
      <c r="J172" s="4" t="e">
        <f>E172*VLOOKUP(B172,alimentos_master!$A:$R,18,FALSE())/100</f>
        <v>#N/A</v>
      </c>
    </row>
    <row r="173" spans="1:10" ht="15" customHeight="1" x14ac:dyDescent="0.2">
      <c r="A173" s="4">
        <v>172</v>
      </c>
      <c r="B173" s="4">
        <v>43</v>
      </c>
      <c r="C173" s="4" t="s">
        <v>118</v>
      </c>
      <c r="D173" s="4" t="s">
        <v>920</v>
      </c>
      <c r="E173" s="4">
        <v>200</v>
      </c>
      <c r="F173" s="4" t="s">
        <v>917</v>
      </c>
      <c r="G173" s="4" t="e">
        <f>E173*VLOOKUP(B173,alimentos_master!$A:$M,13,FALSE())/100</f>
        <v>#N/A</v>
      </c>
      <c r="H173" s="4" t="e">
        <f>E173*VLOOKUP(B173,alimentos_master!$A:$N,14,FALSE())/100</f>
        <v>#N/A</v>
      </c>
      <c r="I173" s="4" t="e">
        <f>E173*VLOOKUP(B173,alimentos_master!$A:$O,15,FALSE())/100</f>
        <v>#N/A</v>
      </c>
      <c r="J173" s="4" t="e">
        <f>E173*VLOOKUP(B173,alimentos_master!$A:$R,18,FALSE())/100</f>
        <v>#N/A</v>
      </c>
    </row>
    <row r="174" spans="1:10" ht="15" customHeight="1" x14ac:dyDescent="0.2">
      <c r="A174" s="4">
        <v>173</v>
      </c>
      <c r="B174" s="4">
        <v>44</v>
      </c>
      <c r="C174" s="4" t="s">
        <v>119</v>
      </c>
      <c r="D174" s="4" t="s">
        <v>916</v>
      </c>
      <c r="E174" s="4">
        <v>75</v>
      </c>
      <c r="F174" s="4" t="s">
        <v>917</v>
      </c>
      <c r="G174" s="4" t="e">
        <f>E174*VLOOKUP(B174,alimentos_master!$A:$M,13,FALSE())/100</f>
        <v>#N/A</v>
      </c>
      <c r="H174" s="4" t="e">
        <f>E174*VLOOKUP(B174,alimentos_master!$A:$N,14,FALSE())/100</f>
        <v>#N/A</v>
      </c>
      <c r="I174" s="4" t="e">
        <f>E174*VLOOKUP(B174,alimentos_master!$A:$O,15,FALSE())/100</f>
        <v>#N/A</v>
      </c>
      <c r="J174" s="4" t="e">
        <f>E174*VLOOKUP(B174,alimentos_master!$A:$R,18,FALSE())/100</f>
        <v>#N/A</v>
      </c>
    </row>
    <row r="175" spans="1:10" ht="15" customHeight="1" x14ac:dyDescent="0.2">
      <c r="A175" s="4">
        <v>174</v>
      </c>
      <c r="B175" s="4">
        <v>44</v>
      </c>
      <c r="C175" s="4" t="s">
        <v>119</v>
      </c>
      <c r="D175" s="4" t="s">
        <v>918</v>
      </c>
      <c r="E175" s="4">
        <v>100</v>
      </c>
      <c r="F175" s="4" t="s">
        <v>917</v>
      </c>
      <c r="G175" s="4" t="e">
        <f>E175*VLOOKUP(B175,alimentos_master!$A:$M,13,FALSE())/100</f>
        <v>#N/A</v>
      </c>
      <c r="H175" s="4" t="e">
        <f>E175*VLOOKUP(B175,alimentos_master!$A:$N,14,FALSE())/100</f>
        <v>#N/A</v>
      </c>
      <c r="I175" s="4" t="e">
        <f>E175*VLOOKUP(B175,alimentos_master!$A:$O,15,FALSE())/100</f>
        <v>#N/A</v>
      </c>
      <c r="J175" s="4" t="e">
        <f>E175*VLOOKUP(B175,alimentos_master!$A:$R,18,FALSE())/100</f>
        <v>#N/A</v>
      </c>
    </row>
    <row r="176" spans="1:10" ht="15" customHeight="1" x14ac:dyDescent="0.2">
      <c r="A176" s="4">
        <v>175</v>
      </c>
      <c r="B176" s="4">
        <v>44</v>
      </c>
      <c r="C176" s="4" t="s">
        <v>119</v>
      </c>
      <c r="D176" s="4" t="s">
        <v>919</v>
      </c>
      <c r="E176" s="4">
        <v>150</v>
      </c>
      <c r="F176" s="4" t="s">
        <v>917</v>
      </c>
      <c r="G176" s="4" t="e">
        <f>E176*VLOOKUP(B176,alimentos_master!$A:$M,13,FALSE())/100</f>
        <v>#N/A</v>
      </c>
      <c r="H176" s="4" t="e">
        <f>E176*VLOOKUP(B176,alimentos_master!$A:$N,14,FALSE())/100</f>
        <v>#N/A</v>
      </c>
      <c r="I176" s="4" t="e">
        <f>E176*VLOOKUP(B176,alimentos_master!$A:$O,15,FALSE())/100</f>
        <v>#N/A</v>
      </c>
      <c r="J176" s="4" t="e">
        <f>E176*VLOOKUP(B176,alimentos_master!$A:$R,18,FALSE())/100</f>
        <v>#N/A</v>
      </c>
    </row>
    <row r="177" spans="1:10" ht="15" customHeight="1" x14ac:dyDescent="0.2">
      <c r="A177" s="4">
        <v>176</v>
      </c>
      <c r="B177" s="4">
        <v>44</v>
      </c>
      <c r="C177" s="4" t="s">
        <v>119</v>
      </c>
      <c r="D177" s="4" t="s">
        <v>920</v>
      </c>
      <c r="E177" s="4">
        <v>200</v>
      </c>
      <c r="F177" s="4" t="s">
        <v>917</v>
      </c>
      <c r="G177" s="4" t="e">
        <f>E177*VLOOKUP(B177,alimentos_master!$A:$M,13,FALSE())/100</f>
        <v>#N/A</v>
      </c>
      <c r="H177" s="4" t="e">
        <f>E177*VLOOKUP(B177,alimentos_master!$A:$N,14,FALSE())/100</f>
        <v>#N/A</v>
      </c>
      <c r="I177" s="4" t="e">
        <f>E177*VLOOKUP(B177,alimentos_master!$A:$O,15,FALSE())/100</f>
        <v>#N/A</v>
      </c>
      <c r="J177" s="4" t="e">
        <f>E177*VLOOKUP(B177,alimentos_master!$A:$R,18,FALSE())/100</f>
        <v>#N/A</v>
      </c>
    </row>
    <row r="178" spans="1:10" ht="15" customHeight="1" x14ac:dyDescent="0.2">
      <c r="A178" s="4">
        <v>177</v>
      </c>
      <c r="B178" s="4">
        <v>45</v>
      </c>
      <c r="C178" s="4" t="s">
        <v>120</v>
      </c>
      <c r="D178" s="4" t="s">
        <v>916</v>
      </c>
      <c r="E178" s="4">
        <v>75</v>
      </c>
      <c r="F178" s="4" t="s">
        <v>917</v>
      </c>
      <c r="G178" s="4" t="e">
        <f>E178*VLOOKUP(B178,alimentos_master!$A:$M,13,FALSE())/100</f>
        <v>#N/A</v>
      </c>
      <c r="H178" s="4" t="e">
        <f>E178*VLOOKUP(B178,alimentos_master!$A:$N,14,FALSE())/100</f>
        <v>#N/A</v>
      </c>
      <c r="I178" s="4" t="e">
        <f>E178*VLOOKUP(B178,alimentos_master!$A:$O,15,FALSE())/100</f>
        <v>#N/A</v>
      </c>
      <c r="J178" s="4" t="e">
        <f>E178*VLOOKUP(B178,alimentos_master!$A:$R,18,FALSE())/100</f>
        <v>#N/A</v>
      </c>
    </row>
    <row r="179" spans="1:10" ht="15" customHeight="1" x14ac:dyDescent="0.2">
      <c r="A179" s="4">
        <v>178</v>
      </c>
      <c r="B179" s="4">
        <v>45</v>
      </c>
      <c r="C179" s="4" t="s">
        <v>120</v>
      </c>
      <c r="D179" s="4" t="s">
        <v>918</v>
      </c>
      <c r="E179" s="4">
        <v>100</v>
      </c>
      <c r="F179" s="4" t="s">
        <v>917</v>
      </c>
      <c r="G179" s="4" t="e">
        <f>E179*VLOOKUP(B179,alimentos_master!$A:$M,13,FALSE())/100</f>
        <v>#N/A</v>
      </c>
      <c r="H179" s="4" t="e">
        <f>E179*VLOOKUP(B179,alimentos_master!$A:$N,14,FALSE())/100</f>
        <v>#N/A</v>
      </c>
      <c r="I179" s="4" t="e">
        <f>E179*VLOOKUP(B179,alimentos_master!$A:$O,15,FALSE())/100</f>
        <v>#N/A</v>
      </c>
      <c r="J179" s="4" t="e">
        <f>E179*VLOOKUP(B179,alimentos_master!$A:$R,18,FALSE())/100</f>
        <v>#N/A</v>
      </c>
    </row>
    <row r="180" spans="1:10" ht="15" customHeight="1" x14ac:dyDescent="0.2">
      <c r="A180" s="4">
        <v>179</v>
      </c>
      <c r="B180" s="4">
        <v>45</v>
      </c>
      <c r="C180" s="4" t="s">
        <v>120</v>
      </c>
      <c r="D180" s="4" t="s">
        <v>919</v>
      </c>
      <c r="E180" s="4">
        <v>150</v>
      </c>
      <c r="F180" s="4" t="s">
        <v>917</v>
      </c>
      <c r="G180" s="4" t="e">
        <f>E180*VLOOKUP(B180,alimentos_master!$A:$M,13,FALSE())/100</f>
        <v>#N/A</v>
      </c>
      <c r="H180" s="4" t="e">
        <f>E180*VLOOKUP(B180,alimentos_master!$A:$N,14,FALSE())/100</f>
        <v>#N/A</v>
      </c>
      <c r="I180" s="4" t="e">
        <f>E180*VLOOKUP(B180,alimentos_master!$A:$O,15,FALSE())/100</f>
        <v>#N/A</v>
      </c>
      <c r="J180" s="4" t="e">
        <f>E180*VLOOKUP(B180,alimentos_master!$A:$R,18,FALSE())/100</f>
        <v>#N/A</v>
      </c>
    </row>
    <row r="181" spans="1:10" ht="15" customHeight="1" x14ac:dyDescent="0.2">
      <c r="A181" s="4">
        <v>180</v>
      </c>
      <c r="B181" s="4">
        <v>45</v>
      </c>
      <c r="C181" s="4" t="s">
        <v>120</v>
      </c>
      <c r="D181" s="4" t="s">
        <v>920</v>
      </c>
      <c r="E181" s="4">
        <v>200</v>
      </c>
      <c r="F181" s="4" t="s">
        <v>917</v>
      </c>
      <c r="G181" s="4" t="e">
        <f>E181*VLOOKUP(B181,alimentos_master!$A:$M,13,FALSE())/100</f>
        <v>#N/A</v>
      </c>
      <c r="H181" s="4" t="e">
        <f>E181*VLOOKUP(B181,alimentos_master!$A:$N,14,FALSE())/100</f>
        <v>#N/A</v>
      </c>
      <c r="I181" s="4" t="e">
        <f>E181*VLOOKUP(B181,alimentos_master!$A:$O,15,FALSE())/100</f>
        <v>#N/A</v>
      </c>
      <c r="J181" s="4" t="e">
        <f>E181*VLOOKUP(B181,alimentos_master!$A:$R,18,FALSE())/100</f>
        <v>#N/A</v>
      </c>
    </row>
    <row r="182" spans="1:10" ht="15" customHeight="1" x14ac:dyDescent="0.2">
      <c r="A182" s="4">
        <v>181</v>
      </c>
      <c r="B182" s="4">
        <v>46</v>
      </c>
      <c r="C182" s="4" t="s">
        <v>121</v>
      </c>
      <c r="D182" s="4" t="s">
        <v>916</v>
      </c>
      <c r="E182" s="4">
        <v>75</v>
      </c>
      <c r="F182" s="4" t="s">
        <v>917</v>
      </c>
      <c r="G182" s="4" t="e">
        <f>E182*VLOOKUP(B182,alimentos_master!$A:$M,13,FALSE())/100</f>
        <v>#N/A</v>
      </c>
      <c r="H182" s="4" t="e">
        <f>E182*VLOOKUP(B182,alimentos_master!$A:$N,14,FALSE())/100</f>
        <v>#N/A</v>
      </c>
      <c r="I182" s="4" t="e">
        <f>E182*VLOOKUP(B182,alimentos_master!$A:$O,15,FALSE())/100</f>
        <v>#N/A</v>
      </c>
      <c r="J182" s="4" t="e">
        <f>E182*VLOOKUP(B182,alimentos_master!$A:$R,18,FALSE())/100</f>
        <v>#N/A</v>
      </c>
    </row>
    <row r="183" spans="1:10" ht="15" customHeight="1" x14ac:dyDescent="0.2">
      <c r="A183" s="4">
        <v>182</v>
      </c>
      <c r="B183" s="4">
        <v>46</v>
      </c>
      <c r="C183" s="4" t="s">
        <v>121</v>
      </c>
      <c r="D183" s="4" t="s">
        <v>918</v>
      </c>
      <c r="E183" s="4">
        <v>100</v>
      </c>
      <c r="F183" s="4" t="s">
        <v>917</v>
      </c>
      <c r="G183" s="4" t="e">
        <f>E183*VLOOKUP(B183,alimentos_master!$A:$M,13,FALSE())/100</f>
        <v>#N/A</v>
      </c>
      <c r="H183" s="4" t="e">
        <f>E183*VLOOKUP(B183,alimentos_master!$A:$N,14,FALSE())/100</f>
        <v>#N/A</v>
      </c>
      <c r="I183" s="4" t="e">
        <f>E183*VLOOKUP(B183,alimentos_master!$A:$O,15,FALSE())/100</f>
        <v>#N/A</v>
      </c>
      <c r="J183" s="4" t="e">
        <f>E183*VLOOKUP(B183,alimentos_master!$A:$R,18,FALSE())/100</f>
        <v>#N/A</v>
      </c>
    </row>
    <row r="184" spans="1:10" ht="15" customHeight="1" x14ac:dyDescent="0.2">
      <c r="A184" s="4">
        <v>183</v>
      </c>
      <c r="B184" s="4">
        <v>46</v>
      </c>
      <c r="C184" s="4" t="s">
        <v>121</v>
      </c>
      <c r="D184" s="4" t="s">
        <v>919</v>
      </c>
      <c r="E184" s="4">
        <v>150</v>
      </c>
      <c r="F184" s="4" t="s">
        <v>917</v>
      </c>
      <c r="G184" s="4" t="e">
        <f>E184*VLOOKUP(B184,alimentos_master!$A:$M,13,FALSE())/100</f>
        <v>#N/A</v>
      </c>
      <c r="H184" s="4" t="e">
        <f>E184*VLOOKUP(B184,alimentos_master!$A:$N,14,FALSE())/100</f>
        <v>#N/A</v>
      </c>
      <c r="I184" s="4" t="e">
        <f>E184*VLOOKUP(B184,alimentos_master!$A:$O,15,FALSE())/100</f>
        <v>#N/A</v>
      </c>
      <c r="J184" s="4" t="e">
        <f>E184*VLOOKUP(B184,alimentos_master!$A:$R,18,FALSE())/100</f>
        <v>#N/A</v>
      </c>
    </row>
    <row r="185" spans="1:10" ht="15" customHeight="1" x14ac:dyDescent="0.2">
      <c r="A185" s="4">
        <v>184</v>
      </c>
      <c r="B185" s="4">
        <v>46</v>
      </c>
      <c r="C185" s="4" t="s">
        <v>121</v>
      </c>
      <c r="D185" s="4" t="s">
        <v>920</v>
      </c>
      <c r="E185" s="4">
        <v>200</v>
      </c>
      <c r="F185" s="4" t="s">
        <v>917</v>
      </c>
      <c r="G185" s="4" t="e">
        <f>E185*VLOOKUP(B185,alimentos_master!$A:$M,13,FALSE())/100</f>
        <v>#N/A</v>
      </c>
      <c r="H185" s="4" t="e">
        <f>E185*VLOOKUP(B185,alimentos_master!$A:$N,14,FALSE())/100</f>
        <v>#N/A</v>
      </c>
      <c r="I185" s="4" t="e">
        <f>E185*VLOOKUP(B185,alimentos_master!$A:$O,15,FALSE())/100</f>
        <v>#N/A</v>
      </c>
      <c r="J185" s="4" t="e">
        <f>E185*VLOOKUP(B185,alimentos_master!$A:$R,18,FALSE())/100</f>
        <v>#N/A</v>
      </c>
    </row>
    <row r="186" spans="1:10" ht="15" customHeight="1" x14ac:dyDescent="0.2">
      <c r="A186" s="4">
        <v>185</v>
      </c>
      <c r="B186" s="4">
        <v>47</v>
      </c>
      <c r="C186" s="4" t="s">
        <v>122</v>
      </c>
      <c r="D186" s="4" t="s">
        <v>916</v>
      </c>
      <c r="E186" s="4">
        <v>75</v>
      </c>
      <c r="F186" s="4" t="s">
        <v>917</v>
      </c>
      <c r="G186" s="4" t="e">
        <f>E186*VLOOKUP(B186,alimentos_master!$A:$M,13,FALSE())/100</f>
        <v>#N/A</v>
      </c>
      <c r="H186" s="4" t="e">
        <f>E186*VLOOKUP(B186,alimentos_master!$A:$N,14,FALSE())/100</f>
        <v>#N/A</v>
      </c>
      <c r="I186" s="4" t="e">
        <f>E186*VLOOKUP(B186,alimentos_master!$A:$O,15,FALSE())/100</f>
        <v>#N/A</v>
      </c>
      <c r="J186" s="4" t="e">
        <f>E186*VLOOKUP(B186,alimentos_master!$A:$R,18,FALSE())/100</f>
        <v>#N/A</v>
      </c>
    </row>
    <row r="187" spans="1:10" ht="15" customHeight="1" x14ac:dyDescent="0.2">
      <c r="A187" s="4">
        <v>186</v>
      </c>
      <c r="B187" s="4">
        <v>47</v>
      </c>
      <c r="C187" s="4" t="s">
        <v>122</v>
      </c>
      <c r="D187" s="4" t="s">
        <v>918</v>
      </c>
      <c r="E187" s="4">
        <v>100</v>
      </c>
      <c r="F187" s="4" t="s">
        <v>917</v>
      </c>
      <c r="G187" s="4" t="e">
        <f>E187*VLOOKUP(B187,alimentos_master!$A:$M,13,FALSE())/100</f>
        <v>#N/A</v>
      </c>
      <c r="H187" s="4" t="e">
        <f>E187*VLOOKUP(B187,alimentos_master!$A:$N,14,FALSE())/100</f>
        <v>#N/A</v>
      </c>
      <c r="I187" s="4" t="e">
        <f>E187*VLOOKUP(B187,alimentos_master!$A:$O,15,FALSE())/100</f>
        <v>#N/A</v>
      </c>
      <c r="J187" s="4" t="e">
        <f>E187*VLOOKUP(B187,alimentos_master!$A:$R,18,FALSE())/100</f>
        <v>#N/A</v>
      </c>
    </row>
    <row r="188" spans="1:10" ht="15" customHeight="1" x14ac:dyDescent="0.2">
      <c r="A188" s="4">
        <v>187</v>
      </c>
      <c r="B188" s="4">
        <v>47</v>
      </c>
      <c r="C188" s="4" t="s">
        <v>122</v>
      </c>
      <c r="D188" s="4" t="s">
        <v>919</v>
      </c>
      <c r="E188" s="4">
        <v>150</v>
      </c>
      <c r="F188" s="4" t="s">
        <v>917</v>
      </c>
      <c r="G188" s="4" t="e">
        <f>E188*VLOOKUP(B188,alimentos_master!$A:$M,13,FALSE())/100</f>
        <v>#N/A</v>
      </c>
      <c r="H188" s="4" t="e">
        <f>E188*VLOOKUP(B188,alimentos_master!$A:$N,14,FALSE())/100</f>
        <v>#N/A</v>
      </c>
      <c r="I188" s="4" t="e">
        <f>E188*VLOOKUP(B188,alimentos_master!$A:$O,15,FALSE())/100</f>
        <v>#N/A</v>
      </c>
      <c r="J188" s="4" t="e">
        <f>E188*VLOOKUP(B188,alimentos_master!$A:$R,18,FALSE())/100</f>
        <v>#N/A</v>
      </c>
    </row>
    <row r="189" spans="1:10" ht="15" customHeight="1" x14ac:dyDescent="0.2">
      <c r="A189" s="4">
        <v>188</v>
      </c>
      <c r="B189" s="4">
        <v>47</v>
      </c>
      <c r="C189" s="4" t="s">
        <v>122</v>
      </c>
      <c r="D189" s="4" t="s">
        <v>920</v>
      </c>
      <c r="E189" s="4">
        <v>200</v>
      </c>
      <c r="F189" s="4" t="s">
        <v>917</v>
      </c>
      <c r="G189" s="4" t="e">
        <f>E189*VLOOKUP(B189,alimentos_master!$A:$M,13,FALSE())/100</f>
        <v>#N/A</v>
      </c>
      <c r="H189" s="4" t="e">
        <f>E189*VLOOKUP(B189,alimentos_master!$A:$N,14,FALSE())/100</f>
        <v>#N/A</v>
      </c>
      <c r="I189" s="4" t="e">
        <f>E189*VLOOKUP(B189,alimentos_master!$A:$O,15,FALSE())/100</f>
        <v>#N/A</v>
      </c>
      <c r="J189" s="4" t="e">
        <f>E189*VLOOKUP(B189,alimentos_master!$A:$R,18,FALSE())/100</f>
        <v>#N/A</v>
      </c>
    </row>
    <row r="190" spans="1:10" ht="15" customHeight="1" x14ac:dyDescent="0.2">
      <c r="A190" s="4">
        <v>189</v>
      </c>
      <c r="B190" s="4">
        <v>48</v>
      </c>
      <c r="C190" s="4" t="s">
        <v>123</v>
      </c>
      <c r="D190" s="4" t="s">
        <v>916</v>
      </c>
      <c r="E190" s="4">
        <v>75</v>
      </c>
      <c r="F190" s="4" t="s">
        <v>917</v>
      </c>
      <c r="G190" s="4" t="e">
        <f>E190*VLOOKUP(B190,alimentos_master!$A:$M,13,FALSE())/100</f>
        <v>#N/A</v>
      </c>
      <c r="H190" s="4" t="e">
        <f>E190*VLOOKUP(B190,alimentos_master!$A:$N,14,FALSE())/100</f>
        <v>#N/A</v>
      </c>
      <c r="I190" s="4" t="e">
        <f>E190*VLOOKUP(B190,alimentos_master!$A:$O,15,FALSE())/100</f>
        <v>#N/A</v>
      </c>
      <c r="J190" s="4" t="e">
        <f>E190*VLOOKUP(B190,alimentos_master!$A:$R,18,FALSE())/100</f>
        <v>#N/A</v>
      </c>
    </row>
    <row r="191" spans="1:10" ht="15" customHeight="1" x14ac:dyDescent="0.2">
      <c r="A191" s="4">
        <v>190</v>
      </c>
      <c r="B191" s="4">
        <v>48</v>
      </c>
      <c r="C191" s="4" t="s">
        <v>123</v>
      </c>
      <c r="D191" s="4" t="s">
        <v>918</v>
      </c>
      <c r="E191" s="4">
        <v>100</v>
      </c>
      <c r="F191" s="4" t="s">
        <v>917</v>
      </c>
      <c r="G191" s="4" t="e">
        <f>E191*VLOOKUP(B191,alimentos_master!$A:$M,13,FALSE())/100</f>
        <v>#N/A</v>
      </c>
      <c r="H191" s="4" t="e">
        <f>E191*VLOOKUP(B191,alimentos_master!$A:$N,14,FALSE())/100</f>
        <v>#N/A</v>
      </c>
      <c r="I191" s="4" t="e">
        <f>E191*VLOOKUP(B191,alimentos_master!$A:$O,15,FALSE())/100</f>
        <v>#N/A</v>
      </c>
      <c r="J191" s="4" t="e">
        <f>E191*VLOOKUP(B191,alimentos_master!$A:$R,18,FALSE())/100</f>
        <v>#N/A</v>
      </c>
    </row>
    <row r="192" spans="1:10" ht="15" customHeight="1" x14ac:dyDescent="0.2">
      <c r="A192" s="4">
        <v>191</v>
      </c>
      <c r="B192" s="4">
        <v>48</v>
      </c>
      <c r="C192" s="4" t="s">
        <v>123</v>
      </c>
      <c r="D192" s="4" t="s">
        <v>919</v>
      </c>
      <c r="E192" s="4">
        <v>150</v>
      </c>
      <c r="F192" s="4" t="s">
        <v>917</v>
      </c>
      <c r="G192" s="4" t="e">
        <f>E192*VLOOKUP(B192,alimentos_master!$A:$M,13,FALSE())/100</f>
        <v>#N/A</v>
      </c>
      <c r="H192" s="4" t="e">
        <f>E192*VLOOKUP(B192,alimentos_master!$A:$N,14,FALSE())/100</f>
        <v>#N/A</v>
      </c>
      <c r="I192" s="4" t="e">
        <f>E192*VLOOKUP(B192,alimentos_master!$A:$O,15,FALSE())/100</f>
        <v>#N/A</v>
      </c>
      <c r="J192" s="4" t="e">
        <f>E192*VLOOKUP(B192,alimentos_master!$A:$R,18,FALSE())/100</f>
        <v>#N/A</v>
      </c>
    </row>
    <row r="193" spans="1:10" ht="15" customHeight="1" x14ac:dyDescent="0.2">
      <c r="A193" s="4">
        <v>192</v>
      </c>
      <c r="B193" s="4">
        <v>48</v>
      </c>
      <c r="C193" s="4" t="s">
        <v>123</v>
      </c>
      <c r="D193" s="4" t="s">
        <v>920</v>
      </c>
      <c r="E193" s="4">
        <v>200</v>
      </c>
      <c r="F193" s="4" t="s">
        <v>917</v>
      </c>
      <c r="G193" s="4" t="e">
        <f>E193*VLOOKUP(B193,alimentos_master!$A:$M,13,FALSE())/100</f>
        <v>#N/A</v>
      </c>
      <c r="H193" s="4" t="e">
        <f>E193*VLOOKUP(B193,alimentos_master!$A:$N,14,FALSE())/100</f>
        <v>#N/A</v>
      </c>
      <c r="I193" s="4" t="e">
        <f>E193*VLOOKUP(B193,alimentos_master!$A:$O,15,FALSE())/100</f>
        <v>#N/A</v>
      </c>
      <c r="J193" s="4" t="e">
        <f>E193*VLOOKUP(B193,alimentos_master!$A:$R,18,FALSE())/100</f>
        <v>#N/A</v>
      </c>
    </row>
    <row r="194" spans="1:10" ht="15" customHeight="1" x14ac:dyDescent="0.2">
      <c r="A194" s="4">
        <v>193</v>
      </c>
      <c r="B194" s="4">
        <v>49</v>
      </c>
      <c r="C194" s="4" t="s">
        <v>124</v>
      </c>
      <c r="D194" s="4" t="s">
        <v>916</v>
      </c>
      <c r="E194" s="4">
        <v>75</v>
      </c>
      <c r="F194" s="4" t="s">
        <v>917</v>
      </c>
      <c r="G194" s="4">
        <f>E194*VLOOKUP(B194,alimentos_master!$A:$M,13,FALSE())/100</f>
        <v>291.75</v>
      </c>
      <c r="H194" s="4">
        <f>E194*VLOOKUP(B194,alimentos_master!$A:$N,14,FALSE())/100</f>
        <v>12.675000000000001</v>
      </c>
      <c r="I194" s="4">
        <f>E194*VLOOKUP(B194,alimentos_master!$A:$O,15,FALSE())/100</f>
        <v>49.725000000000001</v>
      </c>
      <c r="J194" s="4">
        <f>E194*VLOOKUP(B194,alimentos_master!$A:$R,18,FALSE())/100</f>
        <v>5.1749999999999998</v>
      </c>
    </row>
    <row r="195" spans="1:10" ht="15" customHeight="1" x14ac:dyDescent="0.2">
      <c r="A195" s="4">
        <v>194</v>
      </c>
      <c r="B195" s="4">
        <v>49</v>
      </c>
      <c r="C195" s="4" t="s">
        <v>124</v>
      </c>
      <c r="D195" s="4" t="s">
        <v>918</v>
      </c>
      <c r="E195" s="4">
        <v>100</v>
      </c>
      <c r="F195" s="4" t="s">
        <v>917</v>
      </c>
      <c r="G195" s="4">
        <f>E195*VLOOKUP(B195,alimentos_master!$A:$M,13,FALSE())/100</f>
        <v>389</v>
      </c>
      <c r="H195" s="4">
        <f>E195*VLOOKUP(B195,alimentos_master!$A:$N,14,FALSE())/100</f>
        <v>16.899999999999999</v>
      </c>
      <c r="I195" s="4">
        <f>E195*VLOOKUP(B195,alimentos_master!$A:$O,15,FALSE())/100</f>
        <v>66.3</v>
      </c>
      <c r="J195" s="4">
        <f>E195*VLOOKUP(B195,alimentos_master!$A:$R,18,FALSE())/100</f>
        <v>6.9</v>
      </c>
    </row>
    <row r="196" spans="1:10" ht="15" customHeight="1" x14ac:dyDescent="0.2">
      <c r="A196" s="4">
        <v>195</v>
      </c>
      <c r="B196" s="4">
        <v>49</v>
      </c>
      <c r="C196" s="4" t="s">
        <v>124</v>
      </c>
      <c r="D196" s="4" t="s">
        <v>919</v>
      </c>
      <c r="E196" s="4">
        <v>150</v>
      </c>
      <c r="F196" s="4" t="s">
        <v>917</v>
      </c>
      <c r="G196" s="4">
        <f>E196*VLOOKUP(B196,alimentos_master!$A:$M,13,FALSE())/100</f>
        <v>583.5</v>
      </c>
      <c r="H196" s="4">
        <f>E196*VLOOKUP(B196,alimentos_master!$A:$N,14,FALSE())/100</f>
        <v>25.35</v>
      </c>
      <c r="I196" s="4">
        <f>E196*VLOOKUP(B196,alimentos_master!$A:$O,15,FALSE())/100</f>
        <v>99.45</v>
      </c>
      <c r="J196" s="4">
        <f>E196*VLOOKUP(B196,alimentos_master!$A:$R,18,FALSE())/100</f>
        <v>10.35</v>
      </c>
    </row>
    <row r="197" spans="1:10" ht="15" customHeight="1" x14ac:dyDescent="0.2">
      <c r="A197" s="4">
        <v>196</v>
      </c>
      <c r="B197" s="4">
        <v>49</v>
      </c>
      <c r="C197" s="4" t="s">
        <v>124</v>
      </c>
      <c r="D197" s="4" t="s">
        <v>920</v>
      </c>
      <c r="E197" s="4">
        <v>200</v>
      </c>
      <c r="F197" s="4" t="s">
        <v>917</v>
      </c>
      <c r="G197" s="4">
        <f>E197*VLOOKUP(B197,alimentos_master!$A:$M,13,FALSE())/100</f>
        <v>778</v>
      </c>
      <c r="H197" s="4">
        <f>E197*VLOOKUP(B197,alimentos_master!$A:$N,14,FALSE())/100</f>
        <v>33.799999999999997</v>
      </c>
      <c r="I197" s="4">
        <f>E197*VLOOKUP(B197,alimentos_master!$A:$O,15,FALSE())/100</f>
        <v>132.6</v>
      </c>
      <c r="J197" s="4">
        <f>E197*VLOOKUP(B197,alimentos_master!$A:$R,18,FALSE())/100</f>
        <v>13.8</v>
      </c>
    </row>
    <row r="198" spans="1:10" ht="15" customHeight="1" x14ac:dyDescent="0.2">
      <c r="A198" s="4">
        <v>197</v>
      </c>
      <c r="B198" s="4">
        <v>50</v>
      </c>
      <c r="C198" s="4" t="s">
        <v>128</v>
      </c>
      <c r="D198" s="4" t="s">
        <v>916</v>
      </c>
      <c r="E198" s="4">
        <v>75</v>
      </c>
      <c r="F198" s="4" t="s">
        <v>917</v>
      </c>
      <c r="G198" s="4" t="e">
        <f>E198*VLOOKUP(B198,alimentos_master!$A:$M,13,FALSE())/100</f>
        <v>#N/A</v>
      </c>
      <c r="H198" s="4" t="e">
        <f>E198*VLOOKUP(B198,alimentos_master!$A:$N,14,FALSE())/100</f>
        <v>#N/A</v>
      </c>
      <c r="I198" s="4" t="e">
        <f>E198*VLOOKUP(B198,alimentos_master!$A:$O,15,FALSE())/100</f>
        <v>#N/A</v>
      </c>
      <c r="J198" s="4" t="e">
        <f>E198*VLOOKUP(B198,alimentos_master!$A:$R,18,FALSE())/100</f>
        <v>#N/A</v>
      </c>
    </row>
    <row r="199" spans="1:10" ht="15" customHeight="1" x14ac:dyDescent="0.2">
      <c r="A199" s="4">
        <v>198</v>
      </c>
      <c r="B199" s="4">
        <v>50</v>
      </c>
      <c r="C199" s="4" t="s">
        <v>128</v>
      </c>
      <c r="D199" s="4" t="s">
        <v>918</v>
      </c>
      <c r="E199" s="4">
        <v>100</v>
      </c>
      <c r="F199" s="4" t="s">
        <v>917</v>
      </c>
      <c r="G199" s="4" t="e">
        <f>E199*VLOOKUP(B199,alimentos_master!$A:$M,13,FALSE())/100</f>
        <v>#N/A</v>
      </c>
      <c r="H199" s="4" t="e">
        <f>E199*VLOOKUP(B199,alimentos_master!$A:$N,14,FALSE())/100</f>
        <v>#N/A</v>
      </c>
      <c r="I199" s="4" t="e">
        <f>E199*VLOOKUP(B199,alimentos_master!$A:$O,15,FALSE())/100</f>
        <v>#N/A</v>
      </c>
      <c r="J199" s="4" t="e">
        <f>E199*VLOOKUP(B199,alimentos_master!$A:$R,18,FALSE())/100</f>
        <v>#N/A</v>
      </c>
    </row>
    <row r="200" spans="1:10" ht="15" customHeight="1" x14ac:dyDescent="0.2">
      <c r="A200" s="4">
        <v>199</v>
      </c>
      <c r="B200" s="4">
        <v>50</v>
      </c>
      <c r="C200" s="4" t="s">
        <v>128</v>
      </c>
      <c r="D200" s="4" t="s">
        <v>919</v>
      </c>
      <c r="E200" s="4">
        <v>150</v>
      </c>
      <c r="F200" s="4" t="s">
        <v>917</v>
      </c>
      <c r="G200" s="4" t="e">
        <f>E200*VLOOKUP(B200,alimentos_master!$A:$M,13,FALSE())/100</f>
        <v>#N/A</v>
      </c>
      <c r="H200" s="4" t="e">
        <f>E200*VLOOKUP(B200,alimentos_master!$A:$N,14,FALSE())/100</f>
        <v>#N/A</v>
      </c>
      <c r="I200" s="4" t="e">
        <f>E200*VLOOKUP(B200,alimentos_master!$A:$O,15,FALSE())/100</f>
        <v>#N/A</v>
      </c>
      <c r="J200" s="4" t="e">
        <f>E200*VLOOKUP(B200,alimentos_master!$A:$R,18,FALSE())/100</f>
        <v>#N/A</v>
      </c>
    </row>
    <row r="201" spans="1:10" ht="15" customHeight="1" x14ac:dyDescent="0.2">
      <c r="A201" s="4">
        <v>200</v>
      </c>
      <c r="B201" s="4">
        <v>50</v>
      </c>
      <c r="C201" s="4" t="s">
        <v>128</v>
      </c>
      <c r="D201" s="4" t="s">
        <v>920</v>
      </c>
      <c r="E201" s="4">
        <v>200</v>
      </c>
      <c r="F201" s="4" t="s">
        <v>917</v>
      </c>
      <c r="G201" s="4" t="e">
        <f>E201*VLOOKUP(B201,alimentos_master!$A:$M,13,FALSE())/100</f>
        <v>#N/A</v>
      </c>
      <c r="H201" s="4" t="e">
        <f>E201*VLOOKUP(B201,alimentos_master!$A:$N,14,FALSE())/100</f>
        <v>#N/A</v>
      </c>
      <c r="I201" s="4" t="e">
        <f>E201*VLOOKUP(B201,alimentos_master!$A:$O,15,FALSE())/100</f>
        <v>#N/A</v>
      </c>
      <c r="J201" s="4" t="e">
        <f>E201*VLOOKUP(B201,alimentos_master!$A:$R,18,FALSE())/100</f>
        <v>#N/A</v>
      </c>
    </row>
    <row r="202" spans="1:10" ht="15" customHeight="1" x14ac:dyDescent="0.2">
      <c r="A202" s="4">
        <v>201</v>
      </c>
      <c r="B202" s="4">
        <v>51</v>
      </c>
      <c r="C202" s="4" t="s">
        <v>129</v>
      </c>
      <c r="D202" s="4" t="s">
        <v>916</v>
      </c>
      <c r="E202" s="4">
        <v>75</v>
      </c>
      <c r="F202" s="4" t="s">
        <v>917</v>
      </c>
      <c r="G202" s="4" t="e">
        <f>E202*VLOOKUP(B202,alimentos_master!$A:$M,13,FALSE())/100</f>
        <v>#N/A</v>
      </c>
      <c r="H202" s="4" t="e">
        <f>E202*VLOOKUP(B202,alimentos_master!$A:$N,14,FALSE())/100</f>
        <v>#N/A</v>
      </c>
      <c r="I202" s="4" t="e">
        <f>E202*VLOOKUP(B202,alimentos_master!$A:$O,15,FALSE())/100</f>
        <v>#N/A</v>
      </c>
      <c r="J202" s="4" t="e">
        <f>E202*VLOOKUP(B202,alimentos_master!$A:$R,18,FALSE())/100</f>
        <v>#N/A</v>
      </c>
    </row>
    <row r="203" spans="1:10" ht="15" customHeight="1" x14ac:dyDescent="0.2">
      <c r="A203" s="4">
        <v>202</v>
      </c>
      <c r="B203" s="4">
        <v>51</v>
      </c>
      <c r="C203" s="4" t="s">
        <v>129</v>
      </c>
      <c r="D203" s="4" t="s">
        <v>918</v>
      </c>
      <c r="E203" s="4">
        <v>100</v>
      </c>
      <c r="F203" s="4" t="s">
        <v>917</v>
      </c>
      <c r="G203" s="4" t="e">
        <f>E203*VLOOKUP(B203,alimentos_master!$A:$M,13,FALSE())/100</f>
        <v>#N/A</v>
      </c>
      <c r="H203" s="4" t="e">
        <f>E203*VLOOKUP(B203,alimentos_master!$A:$N,14,FALSE())/100</f>
        <v>#N/A</v>
      </c>
      <c r="I203" s="4" t="e">
        <f>E203*VLOOKUP(B203,alimentos_master!$A:$O,15,FALSE())/100</f>
        <v>#N/A</v>
      </c>
      <c r="J203" s="4" t="e">
        <f>E203*VLOOKUP(B203,alimentos_master!$A:$R,18,FALSE())/100</f>
        <v>#N/A</v>
      </c>
    </row>
    <row r="204" spans="1:10" ht="15" customHeight="1" x14ac:dyDescent="0.2">
      <c r="A204" s="4">
        <v>203</v>
      </c>
      <c r="B204" s="4">
        <v>51</v>
      </c>
      <c r="C204" s="4" t="s">
        <v>129</v>
      </c>
      <c r="D204" s="4" t="s">
        <v>919</v>
      </c>
      <c r="E204" s="4">
        <v>150</v>
      </c>
      <c r="F204" s="4" t="s">
        <v>917</v>
      </c>
      <c r="G204" s="4" t="e">
        <f>E204*VLOOKUP(B204,alimentos_master!$A:$M,13,FALSE())/100</f>
        <v>#N/A</v>
      </c>
      <c r="H204" s="4" t="e">
        <f>E204*VLOOKUP(B204,alimentos_master!$A:$N,14,FALSE())/100</f>
        <v>#N/A</v>
      </c>
      <c r="I204" s="4" t="e">
        <f>E204*VLOOKUP(B204,alimentos_master!$A:$O,15,FALSE())/100</f>
        <v>#N/A</v>
      </c>
      <c r="J204" s="4" t="e">
        <f>E204*VLOOKUP(B204,alimentos_master!$A:$R,18,FALSE())/100</f>
        <v>#N/A</v>
      </c>
    </row>
    <row r="205" spans="1:10" ht="15" customHeight="1" x14ac:dyDescent="0.2">
      <c r="A205" s="4">
        <v>204</v>
      </c>
      <c r="B205" s="4">
        <v>51</v>
      </c>
      <c r="C205" s="4" t="s">
        <v>129</v>
      </c>
      <c r="D205" s="4" t="s">
        <v>920</v>
      </c>
      <c r="E205" s="4">
        <v>200</v>
      </c>
      <c r="F205" s="4" t="s">
        <v>917</v>
      </c>
      <c r="G205" s="4" t="e">
        <f>E205*VLOOKUP(B205,alimentos_master!$A:$M,13,FALSE())/100</f>
        <v>#N/A</v>
      </c>
      <c r="H205" s="4" t="e">
        <f>E205*VLOOKUP(B205,alimentos_master!$A:$N,14,FALSE())/100</f>
        <v>#N/A</v>
      </c>
      <c r="I205" s="4" t="e">
        <f>E205*VLOOKUP(B205,alimentos_master!$A:$O,15,FALSE())/100</f>
        <v>#N/A</v>
      </c>
      <c r="J205" s="4" t="e">
        <f>E205*VLOOKUP(B205,alimentos_master!$A:$R,18,FALSE())/100</f>
        <v>#N/A</v>
      </c>
    </row>
    <row r="206" spans="1:10" ht="15" customHeight="1" x14ac:dyDescent="0.2">
      <c r="A206" s="4">
        <v>205</v>
      </c>
      <c r="B206" s="4">
        <v>52</v>
      </c>
      <c r="C206" s="4" t="s">
        <v>130</v>
      </c>
      <c r="D206" s="4" t="s">
        <v>916</v>
      </c>
      <c r="E206" s="4">
        <v>75</v>
      </c>
      <c r="F206" s="4" t="s">
        <v>917</v>
      </c>
      <c r="G206" s="4">
        <f>E206*VLOOKUP(B206,alimentos_master!$A:$M,13,FALSE())/100</f>
        <v>105</v>
      </c>
      <c r="H206" s="4">
        <f>E206*VLOOKUP(B206,alimentos_master!$A:$N,14,FALSE())/100</f>
        <v>4.5599999999999996</v>
      </c>
      <c r="I206" s="4">
        <f>E206*VLOOKUP(B206,alimentos_master!$A:$O,15,FALSE())/100</f>
        <v>17.9025</v>
      </c>
      <c r="J206" s="4">
        <f>E206*VLOOKUP(B206,alimentos_master!$A:$R,18,FALSE())/100</f>
        <v>1.86</v>
      </c>
    </row>
    <row r="207" spans="1:10" ht="15" customHeight="1" x14ac:dyDescent="0.2">
      <c r="A207" s="4">
        <v>206</v>
      </c>
      <c r="B207" s="4">
        <v>52</v>
      </c>
      <c r="C207" s="4" t="s">
        <v>130</v>
      </c>
      <c r="D207" s="4" t="s">
        <v>918</v>
      </c>
      <c r="E207" s="4">
        <v>100</v>
      </c>
      <c r="F207" s="4" t="s">
        <v>917</v>
      </c>
      <c r="G207" s="4">
        <f>E207*VLOOKUP(B207,alimentos_master!$A:$M,13,FALSE())/100</f>
        <v>140</v>
      </c>
      <c r="H207" s="4">
        <f>E207*VLOOKUP(B207,alimentos_master!$A:$N,14,FALSE())/100</f>
        <v>6.08</v>
      </c>
      <c r="I207" s="4">
        <f>E207*VLOOKUP(B207,alimentos_master!$A:$O,15,FALSE())/100</f>
        <v>23.87</v>
      </c>
      <c r="J207" s="4">
        <f>E207*VLOOKUP(B207,alimentos_master!$A:$R,18,FALSE())/100</f>
        <v>2.48</v>
      </c>
    </row>
    <row r="208" spans="1:10" ht="15" customHeight="1" x14ac:dyDescent="0.2">
      <c r="A208" s="4">
        <v>207</v>
      </c>
      <c r="B208" s="4">
        <v>52</v>
      </c>
      <c r="C208" s="4" t="s">
        <v>130</v>
      </c>
      <c r="D208" s="4" t="s">
        <v>919</v>
      </c>
      <c r="E208" s="4">
        <v>150</v>
      </c>
      <c r="F208" s="4" t="s">
        <v>917</v>
      </c>
      <c r="G208" s="4">
        <f>E208*VLOOKUP(B208,alimentos_master!$A:$M,13,FALSE())/100</f>
        <v>210</v>
      </c>
      <c r="H208" s="4">
        <f>E208*VLOOKUP(B208,alimentos_master!$A:$N,14,FALSE())/100</f>
        <v>9.1199999999999992</v>
      </c>
      <c r="I208" s="4">
        <f>E208*VLOOKUP(B208,alimentos_master!$A:$O,15,FALSE())/100</f>
        <v>35.805</v>
      </c>
      <c r="J208" s="4">
        <f>E208*VLOOKUP(B208,alimentos_master!$A:$R,18,FALSE())/100</f>
        <v>3.72</v>
      </c>
    </row>
    <row r="209" spans="1:10" ht="15" customHeight="1" x14ac:dyDescent="0.2">
      <c r="A209" s="4">
        <v>208</v>
      </c>
      <c r="B209" s="4">
        <v>52</v>
      </c>
      <c r="C209" s="4" t="s">
        <v>130</v>
      </c>
      <c r="D209" s="4" t="s">
        <v>920</v>
      </c>
      <c r="E209" s="4">
        <v>200</v>
      </c>
      <c r="F209" s="4" t="s">
        <v>917</v>
      </c>
      <c r="G209" s="4">
        <f>E209*VLOOKUP(B209,alimentos_master!$A:$M,13,FALSE())/100</f>
        <v>280</v>
      </c>
      <c r="H209" s="4">
        <f>E209*VLOOKUP(B209,alimentos_master!$A:$N,14,FALSE())/100</f>
        <v>12.16</v>
      </c>
      <c r="I209" s="4">
        <f>E209*VLOOKUP(B209,alimentos_master!$A:$O,15,FALSE())/100</f>
        <v>47.74</v>
      </c>
      <c r="J209" s="4">
        <f>E209*VLOOKUP(B209,alimentos_master!$A:$R,18,FALSE())/100</f>
        <v>4.96</v>
      </c>
    </row>
    <row r="210" spans="1:10" ht="15" customHeight="1" x14ac:dyDescent="0.2">
      <c r="A210" s="4">
        <v>209</v>
      </c>
      <c r="B210" s="4">
        <v>53</v>
      </c>
      <c r="C210" s="4" t="s">
        <v>131</v>
      </c>
      <c r="D210" s="4" t="s">
        <v>916</v>
      </c>
      <c r="E210" s="4">
        <v>75</v>
      </c>
      <c r="F210" s="4" t="s">
        <v>917</v>
      </c>
      <c r="G210" s="4" t="e">
        <f>E210*VLOOKUP(B210,alimentos_master!$A:$M,13,FALSE())/100</f>
        <v>#N/A</v>
      </c>
      <c r="H210" s="4" t="e">
        <f>E210*VLOOKUP(B210,alimentos_master!$A:$N,14,FALSE())/100</f>
        <v>#N/A</v>
      </c>
      <c r="I210" s="4" t="e">
        <f>E210*VLOOKUP(B210,alimentos_master!$A:$O,15,FALSE())/100</f>
        <v>#N/A</v>
      </c>
      <c r="J210" s="4" t="e">
        <f>E210*VLOOKUP(B210,alimentos_master!$A:$R,18,FALSE())/100</f>
        <v>#N/A</v>
      </c>
    </row>
    <row r="211" spans="1:10" ht="15" customHeight="1" x14ac:dyDescent="0.2">
      <c r="A211" s="4">
        <v>210</v>
      </c>
      <c r="B211" s="4">
        <v>53</v>
      </c>
      <c r="C211" s="4" t="s">
        <v>131</v>
      </c>
      <c r="D211" s="4" t="s">
        <v>918</v>
      </c>
      <c r="E211" s="4">
        <v>100</v>
      </c>
      <c r="F211" s="4" t="s">
        <v>917</v>
      </c>
      <c r="G211" s="4" t="e">
        <f>E211*VLOOKUP(B211,alimentos_master!$A:$M,13,FALSE())/100</f>
        <v>#N/A</v>
      </c>
      <c r="H211" s="4" t="e">
        <f>E211*VLOOKUP(B211,alimentos_master!$A:$N,14,FALSE())/100</f>
        <v>#N/A</v>
      </c>
      <c r="I211" s="4" t="e">
        <f>E211*VLOOKUP(B211,alimentos_master!$A:$O,15,FALSE())/100</f>
        <v>#N/A</v>
      </c>
      <c r="J211" s="4" t="e">
        <f>E211*VLOOKUP(B211,alimentos_master!$A:$R,18,FALSE())/100</f>
        <v>#N/A</v>
      </c>
    </row>
    <row r="212" spans="1:10" ht="15" customHeight="1" x14ac:dyDescent="0.2">
      <c r="A212" s="4">
        <v>211</v>
      </c>
      <c r="B212" s="4">
        <v>53</v>
      </c>
      <c r="C212" s="4" t="s">
        <v>131</v>
      </c>
      <c r="D212" s="4" t="s">
        <v>919</v>
      </c>
      <c r="E212" s="4">
        <v>150</v>
      </c>
      <c r="F212" s="4" t="s">
        <v>917</v>
      </c>
      <c r="G212" s="4" t="e">
        <f>E212*VLOOKUP(B212,alimentos_master!$A:$M,13,FALSE())/100</f>
        <v>#N/A</v>
      </c>
      <c r="H212" s="4" t="e">
        <f>E212*VLOOKUP(B212,alimentos_master!$A:$N,14,FALSE())/100</f>
        <v>#N/A</v>
      </c>
      <c r="I212" s="4" t="e">
        <f>E212*VLOOKUP(B212,alimentos_master!$A:$O,15,FALSE())/100</f>
        <v>#N/A</v>
      </c>
      <c r="J212" s="4" t="e">
        <f>E212*VLOOKUP(B212,alimentos_master!$A:$R,18,FALSE())/100</f>
        <v>#N/A</v>
      </c>
    </row>
    <row r="213" spans="1:10" ht="15" customHeight="1" x14ac:dyDescent="0.2">
      <c r="A213" s="4">
        <v>212</v>
      </c>
      <c r="B213" s="4">
        <v>53</v>
      </c>
      <c r="C213" s="4" t="s">
        <v>131</v>
      </c>
      <c r="D213" s="4" t="s">
        <v>920</v>
      </c>
      <c r="E213" s="4">
        <v>200</v>
      </c>
      <c r="F213" s="4" t="s">
        <v>917</v>
      </c>
      <c r="G213" s="4" t="e">
        <f>E213*VLOOKUP(B213,alimentos_master!$A:$M,13,FALSE())/100</f>
        <v>#N/A</v>
      </c>
      <c r="H213" s="4" t="e">
        <f>E213*VLOOKUP(B213,alimentos_master!$A:$N,14,FALSE())/100</f>
        <v>#N/A</v>
      </c>
      <c r="I213" s="4" t="e">
        <f>E213*VLOOKUP(B213,alimentos_master!$A:$O,15,FALSE())/100</f>
        <v>#N/A</v>
      </c>
      <c r="J213" s="4" t="e">
        <f>E213*VLOOKUP(B213,alimentos_master!$A:$R,18,FALSE())/100</f>
        <v>#N/A</v>
      </c>
    </row>
    <row r="214" spans="1:10" ht="15" customHeight="1" x14ac:dyDescent="0.2">
      <c r="A214" s="4">
        <v>213</v>
      </c>
      <c r="B214" s="4">
        <v>54</v>
      </c>
      <c r="C214" s="4" t="s">
        <v>132</v>
      </c>
      <c r="D214" s="4" t="s">
        <v>916</v>
      </c>
      <c r="E214" s="4">
        <v>75</v>
      </c>
      <c r="F214" s="4" t="s">
        <v>917</v>
      </c>
      <c r="G214" s="4" t="e">
        <f>E214*VLOOKUP(B214,alimentos_master!$A:$M,13,FALSE())/100</f>
        <v>#N/A</v>
      </c>
      <c r="H214" s="4" t="e">
        <f>E214*VLOOKUP(B214,alimentos_master!$A:$N,14,FALSE())/100</f>
        <v>#N/A</v>
      </c>
      <c r="I214" s="4" t="e">
        <f>E214*VLOOKUP(B214,alimentos_master!$A:$O,15,FALSE())/100</f>
        <v>#N/A</v>
      </c>
      <c r="J214" s="4" t="e">
        <f>E214*VLOOKUP(B214,alimentos_master!$A:$R,18,FALSE())/100</f>
        <v>#N/A</v>
      </c>
    </row>
    <row r="215" spans="1:10" ht="15" customHeight="1" x14ac:dyDescent="0.2">
      <c r="A215" s="4">
        <v>214</v>
      </c>
      <c r="B215" s="4">
        <v>54</v>
      </c>
      <c r="C215" s="4" t="s">
        <v>132</v>
      </c>
      <c r="D215" s="4" t="s">
        <v>918</v>
      </c>
      <c r="E215" s="4">
        <v>100</v>
      </c>
      <c r="F215" s="4" t="s">
        <v>917</v>
      </c>
      <c r="G215" s="4" t="e">
        <f>E215*VLOOKUP(B215,alimentos_master!$A:$M,13,FALSE())/100</f>
        <v>#N/A</v>
      </c>
      <c r="H215" s="4" t="e">
        <f>E215*VLOOKUP(B215,alimentos_master!$A:$N,14,FALSE())/100</f>
        <v>#N/A</v>
      </c>
      <c r="I215" s="4" t="e">
        <f>E215*VLOOKUP(B215,alimentos_master!$A:$O,15,FALSE())/100</f>
        <v>#N/A</v>
      </c>
      <c r="J215" s="4" t="e">
        <f>E215*VLOOKUP(B215,alimentos_master!$A:$R,18,FALSE())/100</f>
        <v>#N/A</v>
      </c>
    </row>
    <row r="216" spans="1:10" ht="15" customHeight="1" x14ac:dyDescent="0.2">
      <c r="A216" s="4">
        <v>215</v>
      </c>
      <c r="B216" s="4">
        <v>54</v>
      </c>
      <c r="C216" s="4" t="s">
        <v>132</v>
      </c>
      <c r="D216" s="4" t="s">
        <v>919</v>
      </c>
      <c r="E216" s="4">
        <v>150</v>
      </c>
      <c r="F216" s="4" t="s">
        <v>917</v>
      </c>
      <c r="G216" s="4" t="e">
        <f>E216*VLOOKUP(B216,alimentos_master!$A:$M,13,FALSE())/100</f>
        <v>#N/A</v>
      </c>
      <c r="H216" s="4" t="e">
        <f>E216*VLOOKUP(B216,alimentos_master!$A:$N,14,FALSE())/100</f>
        <v>#N/A</v>
      </c>
      <c r="I216" s="4" t="e">
        <f>E216*VLOOKUP(B216,alimentos_master!$A:$O,15,FALSE())/100</f>
        <v>#N/A</v>
      </c>
      <c r="J216" s="4" t="e">
        <f>E216*VLOOKUP(B216,alimentos_master!$A:$R,18,FALSE())/100</f>
        <v>#N/A</v>
      </c>
    </row>
    <row r="217" spans="1:10" ht="15" customHeight="1" x14ac:dyDescent="0.2">
      <c r="A217" s="4">
        <v>216</v>
      </c>
      <c r="B217" s="4">
        <v>54</v>
      </c>
      <c r="C217" s="4" t="s">
        <v>132</v>
      </c>
      <c r="D217" s="4" t="s">
        <v>920</v>
      </c>
      <c r="E217" s="4">
        <v>200</v>
      </c>
      <c r="F217" s="4" t="s">
        <v>917</v>
      </c>
      <c r="G217" s="4" t="e">
        <f>E217*VLOOKUP(B217,alimentos_master!$A:$M,13,FALSE())/100</f>
        <v>#N/A</v>
      </c>
      <c r="H217" s="4" t="e">
        <f>E217*VLOOKUP(B217,alimentos_master!$A:$N,14,FALSE())/100</f>
        <v>#N/A</v>
      </c>
      <c r="I217" s="4" t="e">
        <f>E217*VLOOKUP(B217,alimentos_master!$A:$O,15,FALSE())/100</f>
        <v>#N/A</v>
      </c>
      <c r="J217" s="4" t="e">
        <f>E217*VLOOKUP(B217,alimentos_master!$A:$R,18,FALSE())/100</f>
        <v>#N/A</v>
      </c>
    </row>
    <row r="218" spans="1:10" ht="15" customHeight="1" x14ac:dyDescent="0.2">
      <c r="A218" s="4">
        <v>217</v>
      </c>
      <c r="B218" s="4">
        <v>55</v>
      </c>
      <c r="C218" s="4" t="s">
        <v>133</v>
      </c>
      <c r="D218" s="4" t="s">
        <v>916</v>
      </c>
      <c r="E218" s="4">
        <v>75</v>
      </c>
      <c r="F218" s="4" t="s">
        <v>917</v>
      </c>
      <c r="G218" s="4" t="e">
        <f>E218*VLOOKUP(B218,alimentos_master!$A:$M,13,FALSE())/100</f>
        <v>#N/A</v>
      </c>
      <c r="H218" s="4" t="e">
        <f>E218*VLOOKUP(B218,alimentos_master!$A:$N,14,FALSE())/100</f>
        <v>#N/A</v>
      </c>
      <c r="I218" s="4" t="e">
        <f>E218*VLOOKUP(B218,alimentos_master!$A:$O,15,FALSE())/100</f>
        <v>#N/A</v>
      </c>
      <c r="J218" s="4" t="e">
        <f>E218*VLOOKUP(B218,alimentos_master!$A:$R,18,FALSE())/100</f>
        <v>#N/A</v>
      </c>
    </row>
    <row r="219" spans="1:10" ht="15" customHeight="1" x14ac:dyDescent="0.2">
      <c r="A219" s="4">
        <v>218</v>
      </c>
      <c r="B219" s="4">
        <v>55</v>
      </c>
      <c r="C219" s="4" t="s">
        <v>133</v>
      </c>
      <c r="D219" s="4" t="s">
        <v>918</v>
      </c>
      <c r="E219" s="4">
        <v>100</v>
      </c>
      <c r="F219" s="4" t="s">
        <v>917</v>
      </c>
      <c r="G219" s="4" t="e">
        <f>E219*VLOOKUP(B219,alimentos_master!$A:$M,13,FALSE())/100</f>
        <v>#N/A</v>
      </c>
      <c r="H219" s="4" t="e">
        <f>E219*VLOOKUP(B219,alimentos_master!$A:$N,14,FALSE())/100</f>
        <v>#N/A</v>
      </c>
      <c r="I219" s="4" t="e">
        <f>E219*VLOOKUP(B219,alimentos_master!$A:$O,15,FALSE())/100</f>
        <v>#N/A</v>
      </c>
      <c r="J219" s="4" t="e">
        <f>E219*VLOOKUP(B219,alimentos_master!$A:$R,18,FALSE())/100</f>
        <v>#N/A</v>
      </c>
    </row>
    <row r="220" spans="1:10" ht="15" customHeight="1" x14ac:dyDescent="0.2">
      <c r="A220" s="4">
        <v>219</v>
      </c>
      <c r="B220" s="4">
        <v>55</v>
      </c>
      <c r="C220" s="4" t="s">
        <v>133</v>
      </c>
      <c r="D220" s="4" t="s">
        <v>919</v>
      </c>
      <c r="E220" s="4">
        <v>150</v>
      </c>
      <c r="F220" s="4" t="s">
        <v>917</v>
      </c>
      <c r="G220" s="4" t="e">
        <f>E220*VLOOKUP(B220,alimentos_master!$A:$M,13,FALSE())/100</f>
        <v>#N/A</v>
      </c>
      <c r="H220" s="4" t="e">
        <f>E220*VLOOKUP(B220,alimentos_master!$A:$N,14,FALSE())/100</f>
        <v>#N/A</v>
      </c>
      <c r="I220" s="4" t="e">
        <f>E220*VLOOKUP(B220,alimentos_master!$A:$O,15,FALSE())/100</f>
        <v>#N/A</v>
      </c>
      <c r="J220" s="4" t="e">
        <f>E220*VLOOKUP(B220,alimentos_master!$A:$R,18,FALSE())/100</f>
        <v>#N/A</v>
      </c>
    </row>
    <row r="221" spans="1:10" ht="15" customHeight="1" x14ac:dyDescent="0.2">
      <c r="A221" s="4">
        <v>220</v>
      </c>
      <c r="B221" s="4">
        <v>55</v>
      </c>
      <c r="C221" s="4" t="s">
        <v>133</v>
      </c>
      <c r="D221" s="4" t="s">
        <v>920</v>
      </c>
      <c r="E221" s="4">
        <v>200</v>
      </c>
      <c r="F221" s="4" t="s">
        <v>917</v>
      </c>
      <c r="G221" s="4" t="e">
        <f>E221*VLOOKUP(B221,alimentos_master!$A:$M,13,FALSE())/100</f>
        <v>#N/A</v>
      </c>
      <c r="H221" s="4" t="e">
        <f>E221*VLOOKUP(B221,alimentos_master!$A:$N,14,FALSE())/100</f>
        <v>#N/A</v>
      </c>
      <c r="I221" s="4" t="e">
        <f>E221*VLOOKUP(B221,alimentos_master!$A:$O,15,FALSE())/100</f>
        <v>#N/A</v>
      </c>
      <c r="J221" s="4" t="e">
        <f>E221*VLOOKUP(B221,alimentos_master!$A:$R,18,FALSE())/100</f>
        <v>#N/A</v>
      </c>
    </row>
    <row r="222" spans="1:10" ht="15" customHeight="1" x14ac:dyDescent="0.2">
      <c r="A222" s="4">
        <v>221</v>
      </c>
      <c r="B222" s="4">
        <v>56</v>
      </c>
      <c r="C222" s="4" t="s">
        <v>134</v>
      </c>
      <c r="D222" s="4" t="s">
        <v>916</v>
      </c>
      <c r="E222" s="4">
        <v>75</v>
      </c>
      <c r="F222" s="4" t="s">
        <v>917</v>
      </c>
      <c r="G222" s="4" t="e">
        <f>E222*VLOOKUP(B222,alimentos_master!$A:$M,13,FALSE())/100</f>
        <v>#N/A</v>
      </c>
      <c r="H222" s="4" t="e">
        <f>E222*VLOOKUP(B222,alimentos_master!$A:$N,14,FALSE())/100</f>
        <v>#N/A</v>
      </c>
      <c r="I222" s="4" t="e">
        <f>E222*VLOOKUP(B222,alimentos_master!$A:$O,15,FALSE())/100</f>
        <v>#N/A</v>
      </c>
      <c r="J222" s="4" t="e">
        <f>E222*VLOOKUP(B222,alimentos_master!$A:$R,18,FALSE())/100</f>
        <v>#N/A</v>
      </c>
    </row>
    <row r="223" spans="1:10" ht="15" customHeight="1" x14ac:dyDescent="0.2">
      <c r="A223" s="4">
        <v>222</v>
      </c>
      <c r="B223" s="4">
        <v>56</v>
      </c>
      <c r="C223" s="4" t="s">
        <v>134</v>
      </c>
      <c r="D223" s="4" t="s">
        <v>918</v>
      </c>
      <c r="E223" s="4">
        <v>100</v>
      </c>
      <c r="F223" s="4" t="s">
        <v>917</v>
      </c>
      <c r="G223" s="4" t="e">
        <f>E223*VLOOKUP(B223,alimentos_master!$A:$M,13,FALSE())/100</f>
        <v>#N/A</v>
      </c>
      <c r="H223" s="4" t="e">
        <f>E223*VLOOKUP(B223,alimentos_master!$A:$N,14,FALSE())/100</f>
        <v>#N/A</v>
      </c>
      <c r="I223" s="4" t="e">
        <f>E223*VLOOKUP(B223,alimentos_master!$A:$O,15,FALSE())/100</f>
        <v>#N/A</v>
      </c>
      <c r="J223" s="4" t="e">
        <f>E223*VLOOKUP(B223,alimentos_master!$A:$R,18,FALSE())/100</f>
        <v>#N/A</v>
      </c>
    </row>
    <row r="224" spans="1:10" ht="15" customHeight="1" x14ac:dyDescent="0.2">
      <c r="A224" s="4">
        <v>223</v>
      </c>
      <c r="B224" s="4">
        <v>56</v>
      </c>
      <c r="C224" s="4" t="s">
        <v>134</v>
      </c>
      <c r="D224" s="4" t="s">
        <v>919</v>
      </c>
      <c r="E224" s="4">
        <v>150</v>
      </c>
      <c r="F224" s="4" t="s">
        <v>917</v>
      </c>
      <c r="G224" s="4" t="e">
        <f>E224*VLOOKUP(B224,alimentos_master!$A:$M,13,FALSE())/100</f>
        <v>#N/A</v>
      </c>
      <c r="H224" s="4" t="e">
        <f>E224*VLOOKUP(B224,alimentos_master!$A:$N,14,FALSE())/100</f>
        <v>#N/A</v>
      </c>
      <c r="I224" s="4" t="e">
        <f>E224*VLOOKUP(B224,alimentos_master!$A:$O,15,FALSE())/100</f>
        <v>#N/A</v>
      </c>
      <c r="J224" s="4" t="e">
        <f>E224*VLOOKUP(B224,alimentos_master!$A:$R,18,FALSE())/100</f>
        <v>#N/A</v>
      </c>
    </row>
    <row r="225" spans="1:10" ht="15" customHeight="1" x14ac:dyDescent="0.2">
      <c r="A225" s="4">
        <v>224</v>
      </c>
      <c r="B225" s="4">
        <v>56</v>
      </c>
      <c r="C225" s="4" t="s">
        <v>134</v>
      </c>
      <c r="D225" s="4" t="s">
        <v>920</v>
      </c>
      <c r="E225" s="4">
        <v>200</v>
      </c>
      <c r="F225" s="4" t="s">
        <v>917</v>
      </c>
      <c r="G225" s="4" t="e">
        <f>E225*VLOOKUP(B225,alimentos_master!$A:$M,13,FALSE())/100</f>
        <v>#N/A</v>
      </c>
      <c r="H225" s="4" t="e">
        <f>E225*VLOOKUP(B225,alimentos_master!$A:$N,14,FALSE())/100</f>
        <v>#N/A</v>
      </c>
      <c r="I225" s="4" t="e">
        <f>E225*VLOOKUP(B225,alimentos_master!$A:$O,15,FALSE())/100</f>
        <v>#N/A</v>
      </c>
      <c r="J225" s="4" t="e">
        <f>E225*VLOOKUP(B225,alimentos_master!$A:$R,18,FALSE())/100</f>
        <v>#N/A</v>
      </c>
    </row>
    <row r="226" spans="1:10" ht="15" customHeight="1" x14ac:dyDescent="0.2">
      <c r="A226" s="4">
        <v>225</v>
      </c>
      <c r="B226" s="4">
        <v>57</v>
      </c>
      <c r="C226" s="4" t="s">
        <v>135</v>
      </c>
      <c r="D226" s="4" t="s">
        <v>916</v>
      </c>
      <c r="E226" s="4">
        <v>75</v>
      </c>
      <c r="F226" s="4" t="s">
        <v>917</v>
      </c>
      <c r="G226" s="4" t="e">
        <f>E226*VLOOKUP(B226,alimentos_master!$A:$M,13,FALSE())/100</f>
        <v>#N/A</v>
      </c>
      <c r="H226" s="4" t="e">
        <f>E226*VLOOKUP(B226,alimentos_master!$A:$N,14,FALSE())/100</f>
        <v>#N/A</v>
      </c>
      <c r="I226" s="4" t="e">
        <f>E226*VLOOKUP(B226,alimentos_master!$A:$O,15,FALSE())/100</f>
        <v>#N/A</v>
      </c>
      <c r="J226" s="4" t="e">
        <f>E226*VLOOKUP(B226,alimentos_master!$A:$R,18,FALSE())/100</f>
        <v>#N/A</v>
      </c>
    </row>
    <row r="227" spans="1:10" ht="15" customHeight="1" x14ac:dyDescent="0.2">
      <c r="A227" s="4">
        <v>226</v>
      </c>
      <c r="B227" s="4">
        <v>57</v>
      </c>
      <c r="C227" s="4" t="s">
        <v>135</v>
      </c>
      <c r="D227" s="4" t="s">
        <v>918</v>
      </c>
      <c r="E227" s="4">
        <v>100</v>
      </c>
      <c r="F227" s="4" t="s">
        <v>917</v>
      </c>
      <c r="G227" s="4" t="e">
        <f>E227*VLOOKUP(B227,alimentos_master!$A:$M,13,FALSE())/100</f>
        <v>#N/A</v>
      </c>
      <c r="H227" s="4" t="e">
        <f>E227*VLOOKUP(B227,alimentos_master!$A:$N,14,FALSE())/100</f>
        <v>#N/A</v>
      </c>
      <c r="I227" s="4" t="e">
        <f>E227*VLOOKUP(B227,alimentos_master!$A:$O,15,FALSE())/100</f>
        <v>#N/A</v>
      </c>
      <c r="J227" s="4" t="e">
        <f>E227*VLOOKUP(B227,alimentos_master!$A:$R,18,FALSE())/100</f>
        <v>#N/A</v>
      </c>
    </row>
    <row r="228" spans="1:10" ht="15" customHeight="1" x14ac:dyDescent="0.2">
      <c r="A228" s="4">
        <v>227</v>
      </c>
      <c r="B228" s="4">
        <v>57</v>
      </c>
      <c r="C228" s="4" t="s">
        <v>135</v>
      </c>
      <c r="D228" s="4" t="s">
        <v>919</v>
      </c>
      <c r="E228" s="4">
        <v>150</v>
      </c>
      <c r="F228" s="4" t="s">
        <v>917</v>
      </c>
      <c r="G228" s="4" t="e">
        <f>E228*VLOOKUP(B228,alimentos_master!$A:$M,13,FALSE())/100</f>
        <v>#N/A</v>
      </c>
      <c r="H228" s="4" t="e">
        <f>E228*VLOOKUP(B228,alimentos_master!$A:$N,14,FALSE())/100</f>
        <v>#N/A</v>
      </c>
      <c r="I228" s="4" t="e">
        <f>E228*VLOOKUP(B228,alimentos_master!$A:$O,15,FALSE())/100</f>
        <v>#N/A</v>
      </c>
      <c r="J228" s="4" t="e">
        <f>E228*VLOOKUP(B228,alimentos_master!$A:$R,18,FALSE())/100</f>
        <v>#N/A</v>
      </c>
    </row>
    <row r="229" spans="1:10" ht="15" customHeight="1" x14ac:dyDescent="0.2">
      <c r="A229" s="4">
        <v>228</v>
      </c>
      <c r="B229" s="4">
        <v>57</v>
      </c>
      <c r="C229" s="4" t="s">
        <v>135</v>
      </c>
      <c r="D229" s="4" t="s">
        <v>920</v>
      </c>
      <c r="E229" s="4">
        <v>200</v>
      </c>
      <c r="F229" s="4" t="s">
        <v>917</v>
      </c>
      <c r="G229" s="4" t="e">
        <f>E229*VLOOKUP(B229,alimentos_master!$A:$M,13,FALSE())/100</f>
        <v>#N/A</v>
      </c>
      <c r="H229" s="4" t="e">
        <f>E229*VLOOKUP(B229,alimentos_master!$A:$N,14,FALSE())/100</f>
        <v>#N/A</v>
      </c>
      <c r="I229" s="4" t="e">
        <f>E229*VLOOKUP(B229,alimentos_master!$A:$O,15,FALSE())/100</f>
        <v>#N/A</v>
      </c>
      <c r="J229" s="4" t="e">
        <f>E229*VLOOKUP(B229,alimentos_master!$A:$R,18,FALSE())/100</f>
        <v>#N/A</v>
      </c>
    </row>
    <row r="230" spans="1:10" ht="15" customHeight="1" x14ac:dyDescent="0.2">
      <c r="A230" s="4">
        <v>229</v>
      </c>
      <c r="B230" s="4">
        <v>58</v>
      </c>
      <c r="C230" s="4" t="s">
        <v>136</v>
      </c>
      <c r="D230" s="4" t="s">
        <v>916</v>
      </c>
      <c r="E230" s="4">
        <v>75</v>
      </c>
      <c r="F230" s="4" t="s">
        <v>917</v>
      </c>
      <c r="G230" s="4" t="e">
        <f>E230*VLOOKUP(B230,alimentos_master!$A:$M,13,FALSE())/100</f>
        <v>#N/A</v>
      </c>
      <c r="H230" s="4" t="e">
        <f>E230*VLOOKUP(B230,alimentos_master!$A:$N,14,FALSE())/100</f>
        <v>#N/A</v>
      </c>
      <c r="I230" s="4" t="e">
        <f>E230*VLOOKUP(B230,alimentos_master!$A:$O,15,FALSE())/100</f>
        <v>#N/A</v>
      </c>
      <c r="J230" s="4" t="e">
        <f>E230*VLOOKUP(B230,alimentos_master!$A:$R,18,FALSE())/100</f>
        <v>#N/A</v>
      </c>
    </row>
    <row r="231" spans="1:10" ht="15" customHeight="1" x14ac:dyDescent="0.2">
      <c r="A231" s="4">
        <v>230</v>
      </c>
      <c r="B231" s="4">
        <v>58</v>
      </c>
      <c r="C231" s="4" t="s">
        <v>136</v>
      </c>
      <c r="D231" s="4" t="s">
        <v>918</v>
      </c>
      <c r="E231" s="4">
        <v>100</v>
      </c>
      <c r="F231" s="4" t="s">
        <v>917</v>
      </c>
      <c r="G231" s="4" t="e">
        <f>E231*VLOOKUP(B231,alimentos_master!$A:$M,13,FALSE())/100</f>
        <v>#N/A</v>
      </c>
      <c r="H231" s="4" t="e">
        <f>E231*VLOOKUP(B231,alimentos_master!$A:$N,14,FALSE())/100</f>
        <v>#N/A</v>
      </c>
      <c r="I231" s="4" t="e">
        <f>E231*VLOOKUP(B231,alimentos_master!$A:$O,15,FALSE())/100</f>
        <v>#N/A</v>
      </c>
      <c r="J231" s="4" t="e">
        <f>E231*VLOOKUP(B231,alimentos_master!$A:$R,18,FALSE())/100</f>
        <v>#N/A</v>
      </c>
    </row>
    <row r="232" spans="1:10" ht="15" customHeight="1" x14ac:dyDescent="0.2">
      <c r="A232" s="4">
        <v>231</v>
      </c>
      <c r="B232" s="4">
        <v>58</v>
      </c>
      <c r="C232" s="4" t="s">
        <v>136</v>
      </c>
      <c r="D232" s="4" t="s">
        <v>919</v>
      </c>
      <c r="E232" s="4">
        <v>150</v>
      </c>
      <c r="F232" s="4" t="s">
        <v>917</v>
      </c>
      <c r="G232" s="4" t="e">
        <f>E232*VLOOKUP(B232,alimentos_master!$A:$M,13,FALSE())/100</f>
        <v>#N/A</v>
      </c>
      <c r="H232" s="4" t="e">
        <f>E232*VLOOKUP(B232,alimentos_master!$A:$N,14,FALSE())/100</f>
        <v>#N/A</v>
      </c>
      <c r="I232" s="4" t="e">
        <f>E232*VLOOKUP(B232,alimentos_master!$A:$O,15,FALSE())/100</f>
        <v>#N/A</v>
      </c>
      <c r="J232" s="4" t="e">
        <f>E232*VLOOKUP(B232,alimentos_master!$A:$R,18,FALSE())/100</f>
        <v>#N/A</v>
      </c>
    </row>
    <row r="233" spans="1:10" ht="15" customHeight="1" x14ac:dyDescent="0.2">
      <c r="A233" s="4">
        <v>232</v>
      </c>
      <c r="B233" s="4">
        <v>58</v>
      </c>
      <c r="C233" s="4" t="s">
        <v>136</v>
      </c>
      <c r="D233" s="4" t="s">
        <v>920</v>
      </c>
      <c r="E233" s="4">
        <v>200</v>
      </c>
      <c r="F233" s="4" t="s">
        <v>917</v>
      </c>
      <c r="G233" s="4" t="e">
        <f>E233*VLOOKUP(B233,alimentos_master!$A:$M,13,FALSE())/100</f>
        <v>#N/A</v>
      </c>
      <c r="H233" s="4" t="e">
        <f>E233*VLOOKUP(B233,alimentos_master!$A:$N,14,FALSE())/100</f>
        <v>#N/A</v>
      </c>
      <c r="I233" s="4" t="e">
        <f>E233*VLOOKUP(B233,alimentos_master!$A:$O,15,FALSE())/100</f>
        <v>#N/A</v>
      </c>
      <c r="J233" s="4" t="e">
        <f>E233*VLOOKUP(B233,alimentos_master!$A:$R,18,FALSE())/100</f>
        <v>#N/A</v>
      </c>
    </row>
    <row r="234" spans="1:10" ht="15" customHeight="1" x14ac:dyDescent="0.2">
      <c r="A234" s="4">
        <v>233</v>
      </c>
      <c r="B234" s="4">
        <v>59</v>
      </c>
      <c r="C234" s="4" t="s">
        <v>137</v>
      </c>
      <c r="D234" s="4" t="s">
        <v>916</v>
      </c>
      <c r="E234" s="4">
        <v>75</v>
      </c>
      <c r="F234" s="4" t="s">
        <v>917</v>
      </c>
      <c r="G234" s="4" t="e">
        <f>E234*VLOOKUP(B234,alimentos_master!$A:$M,13,FALSE())/100</f>
        <v>#N/A</v>
      </c>
      <c r="H234" s="4" t="e">
        <f>E234*VLOOKUP(B234,alimentos_master!$A:$N,14,FALSE())/100</f>
        <v>#N/A</v>
      </c>
      <c r="I234" s="4" t="e">
        <f>E234*VLOOKUP(B234,alimentos_master!$A:$O,15,FALSE())/100</f>
        <v>#N/A</v>
      </c>
      <c r="J234" s="4" t="e">
        <f>E234*VLOOKUP(B234,alimentos_master!$A:$R,18,FALSE())/100</f>
        <v>#N/A</v>
      </c>
    </row>
    <row r="235" spans="1:10" ht="15" customHeight="1" x14ac:dyDescent="0.2">
      <c r="A235" s="4">
        <v>234</v>
      </c>
      <c r="B235" s="4">
        <v>59</v>
      </c>
      <c r="C235" s="4" t="s">
        <v>137</v>
      </c>
      <c r="D235" s="4" t="s">
        <v>918</v>
      </c>
      <c r="E235" s="4">
        <v>100</v>
      </c>
      <c r="F235" s="4" t="s">
        <v>917</v>
      </c>
      <c r="G235" s="4" t="e">
        <f>E235*VLOOKUP(B235,alimentos_master!$A:$M,13,FALSE())/100</f>
        <v>#N/A</v>
      </c>
      <c r="H235" s="4" t="e">
        <f>E235*VLOOKUP(B235,alimentos_master!$A:$N,14,FALSE())/100</f>
        <v>#N/A</v>
      </c>
      <c r="I235" s="4" t="e">
        <f>E235*VLOOKUP(B235,alimentos_master!$A:$O,15,FALSE())/100</f>
        <v>#N/A</v>
      </c>
      <c r="J235" s="4" t="e">
        <f>E235*VLOOKUP(B235,alimentos_master!$A:$R,18,FALSE())/100</f>
        <v>#N/A</v>
      </c>
    </row>
    <row r="236" spans="1:10" ht="15" customHeight="1" x14ac:dyDescent="0.2">
      <c r="A236" s="4">
        <v>235</v>
      </c>
      <c r="B236" s="4">
        <v>59</v>
      </c>
      <c r="C236" s="4" t="s">
        <v>137</v>
      </c>
      <c r="D236" s="4" t="s">
        <v>919</v>
      </c>
      <c r="E236" s="4">
        <v>150</v>
      </c>
      <c r="F236" s="4" t="s">
        <v>917</v>
      </c>
      <c r="G236" s="4" t="e">
        <f>E236*VLOOKUP(B236,alimentos_master!$A:$M,13,FALSE())/100</f>
        <v>#N/A</v>
      </c>
      <c r="H236" s="4" t="e">
        <f>E236*VLOOKUP(B236,alimentos_master!$A:$N,14,FALSE())/100</f>
        <v>#N/A</v>
      </c>
      <c r="I236" s="4" t="e">
        <f>E236*VLOOKUP(B236,alimentos_master!$A:$O,15,FALSE())/100</f>
        <v>#N/A</v>
      </c>
      <c r="J236" s="4" t="e">
        <f>E236*VLOOKUP(B236,alimentos_master!$A:$R,18,FALSE())/100</f>
        <v>#N/A</v>
      </c>
    </row>
    <row r="237" spans="1:10" ht="15" customHeight="1" x14ac:dyDescent="0.2">
      <c r="A237" s="4">
        <v>236</v>
      </c>
      <c r="B237" s="4">
        <v>59</v>
      </c>
      <c r="C237" s="4" t="s">
        <v>137</v>
      </c>
      <c r="D237" s="4" t="s">
        <v>920</v>
      </c>
      <c r="E237" s="4">
        <v>200</v>
      </c>
      <c r="F237" s="4" t="s">
        <v>917</v>
      </c>
      <c r="G237" s="4" t="e">
        <f>E237*VLOOKUP(B237,alimentos_master!$A:$M,13,FALSE())/100</f>
        <v>#N/A</v>
      </c>
      <c r="H237" s="4" t="e">
        <f>E237*VLOOKUP(B237,alimentos_master!$A:$N,14,FALSE())/100</f>
        <v>#N/A</v>
      </c>
      <c r="I237" s="4" t="e">
        <f>E237*VLOOKUP(B237,alimentos_master!$A:$O,15,FALSE())/100</f>
        <v>#N/A</v>
      </c>
      <c r="J237" s="4" t="e">
        <f>E237*VLOOKUP(B237,alimentos_master!$A:$R,18,FALSE())/100</f>
        <v>#N/A</v>
      </c>
    </row>
    <row r="238" spans="1:10" ht="15" customHeight="1" x14ac:dyDescent="0.2">
      <c r="A238" s="4">
        <v>237</v>
      </c>
      <c r="B238" s="4">
        <v>60</v>
      </c>
      <c r="C238" s="4" t="s">
        <v>138</v>
      </c>
      <c r="D238" s="4" t="s">
        <v>916</v>
      </c>
      <c r="E238" s="4">
        <v>75</v>
      </c>
      <c r="F238" s="4" t="s">
        <v>917</v>
      </c>
      <c r="G238" s="4" t="e">
        <f>E238*VLOOKUP(B238,alimentos_master!$A:$M,13,FALSE())/100</f>
        <v>#N/A</v>
      </c>
      <c r="H238" s="4" t="e">
        <f>E238*VLOOKUP(B238,alimentos_master!$A:$N,14,FALSE())/100</f>
        <v>#N/A</v>
      </c>
      <c r="I238" s="4" t="e">
        <f>E238*VLOOKUP(B238,alimentos_master!$A:$O,15,FALSE())/100</f>
        <v>#N/A</v>
      </c>
      <c r="J238" s="4" t="e">
        <f>E238*VLOOKUP(B238,alimentos_master!$A:$R,18,FALSE())/100</f>
        <v>#N/A</v>
      </c>
    </row>
    <row r="239" spans="1:10" ht="15" customHeight="1" x14ac:dyDescent="0.2">
      <c r="A239" s="4">
        <v>238</v>
      </c>
      <c r="B239" s="4">
        <v>60</v>
      </c>
      <c r="C239" s="4" t="s">
        <v>138</v>
      </c>
      <c r="D239" s="4" t="s">
        <v>918</v>
      </c>
      <c r="E239" s="4">
        <v>100</v>
      </c>
      <c r="F239" s="4" t="s">
        <v>917</v>
      </c>
      <c r="G239" s="4" t="e">
        <f>E239*VLOOKUP(B239,alimentos_master!$A:$M,13,FALSE())/100</f>
        <v>#N/A</v>
      </c>
      <c r="H239" s="4" t="e">
        <f>E239*VLOOKUP(B239,alimentos_master!$A:$N,14,FALSE())/100</f>
        <v>#N/A</v>
      </c>
      <c r="I239" s="4" t="e">
        <f>E239*VLOOKUP(B239,alimentos_master!$A:$O,15,FALSE())/100</f>
        <v>#N/A</v>
      </c>
      <c r="J239" s="4" t="e">
        <f>E239*VLOOKUP(B239,alimentos_master!$A:$R,18,FALSE())/100</f>
        <v>#N/A</v>
      </c>
    </row>
    <row r="240" spans="1:10" ht="15" customHeight="1" x14ac:dyDescent="0.2">
      <c r="A240" s="4">
        <v>239</v>
      </c>
      <c r="B240" s="4">
        <v>60</v>
      </c>
      <c r="C240" s="4" t="s">
        <v>138</v>
      </c>
      <c r="D240" s="4" t="s">
        <v>919</v>
      </c>
      <c r="E240" s="4">
        <v>150</v>
      </c>
      <c r="F240" s="4" t="s">
        <v>917</v>
      </c>
      <c r="G240" s="4" t="e">
        <f>E240*VLOOKUP(B240,alimentos_master!$A:$M,13,FALSE())/100</f>
        <v>#N/A</v>
      </c>
      <c r="H240" s="4" t="e">
        <f>E240*VLOOKUP(B240,alimentos_master!$A:$N,14,FALSE())/100</f>
        <v>#N/A</v>
      </c>
      <c r="I240" s="4" t="e">
        <f>E240*VLOOKUP(B240,alimentos_master!$A:$O,15,FALSE())/100</f>
        <v>#N/A</v>
      </c>
      <c r="J240" s="4" t="e">
        <f>E240*VLOOKUP(B240,alimentos_master!$A:$R,18,FALSE())/100</f>
        <v>#N/A</v>
      </c>
    </row>
    <row r="241" spans="1:10" ht="15" customHeight="1" x14ac:dyDescent="0.2">
      <c r="A241" s="4">
        <v>240</v>
      </c>
      <c r="B241" s="4">
        <v>60</v>
      </c>
      <c r="C241" s="4" t="s">
        <v>138</v>
      </c>
      <c r="D241" s="4" t="s">
        <v>920</v>
      </c>
      <c r="E241" s="4">
        <v>200</v>
      </c>
      <c r="F241" s="4" t="s">
        <v>917</v>
      </c>
      <c r="G241" s="4" t="e">
        <f>E241*VLOOKUP(B241,alimentos_master!$A:$M,13,FALSE())/100</f>
        <v>#N/A</v>
      </c>
      <c r="H241" s="4" t="e">
        <f>E241*VLOOKUP(B241,alimentos_master!$A:$N,14,FALSE())/100</f>
        <v>#N/A</v>
      </c>
      <c r="I241" s="4" t="e">
        <f>E241*VLOOKUP(B241,alimentos_master!$A:$O,15,FALSE())/100</f>
        <v>#N/A</v>
      </c>
      <c r="J241" s="4" t="e">
        <f>E241*VLOOKUP(B241,alimentos_master!$A:$R,18,FALSE())/100</f>
        <v>#N/A</v>
      </c>
    </row>
    <row r="242" spans="1:10" ht="15" customHeight="1" x14ac:dyDescent="0.2">
      <c r="A242" s="4">
        <v>241</v>
      </c>
      <c r="B242" s="4">
        <v>61</v>
      </c>
      <c r="C242" s="4" t="s">
        <v>139</v>
      </c>
      <c r="D242" s="4" t="s">
        <v>916</v>
      </c>
      <c r="E242" s="4">
        <v>75</v>
      </c>
      <c r="F242" s="4" t="s">
        <v>917</v>
      </c>
      <c r="G242" s="4">
        <f>E242*VLOOKUP(B242,alimentos_master!$A:$M,13,FALSE())/100</f>
        <v>276</v>
      </c>
      <c r="H242" s="4">
        <f>E242*VLOOKUP(B242,alimentos_master!$A:$N,14,FALSE())/100</f>
        <v>10.574999999999999</v>
      </c>
      <c r="I242" s="4">
        <f>E242*VLOOKUP(B242,alimentos_master!$A:$O,15,FALSE())/100</f>
        <v>48.15</v>
      </c>
      <c r="J242" s="4">
        <f>E242*VLOOKUP(B242,alimentos_master!$A:$R,18,FALSE())/100</f>
        <v>4.5750000000000002</v>
      </c>
    </row>
    <row r="243" spans="1:10" ht="15" customHeight="1" x14ac:dyDescent="0.2">
      <c r="A243" s="4">
        <v>242</v>
      </c>
      <c r="B243" s="4">
        <v>61</v>
      </c>
      <c r="C243" s="4" t="s">
        <v>139</v>
      </c>
      <c r="D243" s="4" t="s">
        <v>918</v>
      </c>
      <c r="E243" s="4">
        <v>100</v>
      </c>
      <c r="F243" s="4" t="s">
        <v>917</v>
      </c>
      <c r="G243" s="4">
        <f>E243*VLOOKUP(B243,alimentos_master!$A:$M,13,FALSE())/100</f>
        <v>368</v>
      </c>
      <c r="H243" s="4">
        <f>E243*VLOOKUP(B243,alimentos_master!$A:$N,14,FALSE())/100</f>
        <v>14.1</v>
      </c>
      <c r="I243" s="4">
        <f>E243*VLOOKUP(B243,alimentos_master!$A:$O,15,FALSE())/100</f>
        <v>64.2</v>
      </c>
      <c r="J243" s="4">
        <f>E243*VLOOKUP(B243,alimentos_master!$A:$R,18,FALSE())/100</f>
        <v>6.1</v>
      </c>
    </row>
    <row r="244" spans="1:10" ht="15" customHeight="1" x14ac:dyDescent="0.2">
      <c r="A244" s="4">
        <v>243</v>
      </c>
      <c r="B244" s="4">
        <v>61</v>
      </c>
      <c r="C244" s="4" t="s">
        <v>139</v>
      </c>
      <c r="D244" s="4" t="s">
        <v>919</v>
      </c>
      <c r="E244" s="4">
        <v>150</v>
      </c>
      <c r="F244" s="4" t="s">
        <v>917</v>
      </c>
      <c r="G244" s="4">
        <f>E244*VLOOKUP(B244,alimentos_master!$A:$M,13,FALSE())/100</f>
        <v>552</v>
      </c>
      <c r="H244" s="4">
        <f>E244*VLOOKUP(B244,alimentos_master!$A:$N,14,FALSE())/100</f>
        <v>21.15</v>
      </c>
      <c r="I244" s="4">
        <f>E244*VLOOKUP(B244,alimentos_master!$A:$O,15,FALSE())/100</f>
        <v>96.3</v>
      </c>
      <c r="J244" s="4">
        <f>E244*VLOOKUP(B244,alimentos_master!$A:$R,18,FALSE())/100</f>
        <v>9.15</v>
      </c>
    </row>
    <row r="245" spans="1:10" ht="15" customHeight="1" x14ac:dyDescent="0.2">
      <c r="A245" s="4">
        <v>244</v>
      </c>
      <c r="B245" s="4">
        <v>61</v>
      </c>
      <c r="C245" s="4" t="s">
        <v>139</v>
      </c>
      <c r="D245" s="4" t="s">
        <v>920</v>
      </c>
      <c r="E245" s="4">
        <v>200</v>
      </c>
      <c r="F245" s="4" t="s">
        <v>917</v>
      </c>
      <c r="G245" s="4">
        <f>E245*VLOOKUP(B245,alimentos_master!$A:$M,13,FALSE())/100</f>
        <v>736</v>
      </c>
      <c r="H245" s="4">
        <f>E245*VLOOKUP(B245,alimentos_master!$A:$N,14,FALSE())/100</f>
        <v>28.2</v>
      </c>
      <c r="I245" s="4">
        <f>E245*VLOOKUP(B245,alimentos_master!$A:$O,15,FALSE())/100</f>
        <v>128.4</v>
      </c>
      <c r="J245" s="4">
        <f>E245*VLOOKUP(B245,alimentos_master!$A:$R,18,FALSE())/100</f>
        <v>12.2</v>
      </c>
    </row>
    <row r="246" spans="1:10" ht="15" customHeight="1" x14ac:dyDescent="0.2">
      <c r="A246" s="4">
        <v>245</v>
      </c>
      <c r="B246" s="4">
        <v>62</v>
      </c>
      <c r="C246" s="4" t="s">
        <v>142</v>
      </c>
      <c r="D246" s="4" t="s">
        <v>916</v>
      </c>
      <c r="E246" s="4">
        <v>75</v>
      </c>
      <c r="F246" s="4" t="s">
        <v>917</v>
      </c>
      <c r="G246" s="4" t="e">
        <f>E246*VLOOKUP(B246,alimentos_master!$A:$M,13,FALSE())/100</f>
        <v>#N/A</v>
      </c>
      <c r="H246" s="4" t="e">
        <f>E246*VLOOKUP(B246,alimentos_master!$A:$N,14,FALSE())/100</f>
        <v>#N/A</v>
      </c>
      <c r="I246" s="4" t="e">
        <f>E246*VLOOKUP(B246,alimentos_master!$A:$O,15,FALSE())/100</f>
        <v>#N/A</v>
      </c>
      <c r="J246" s="4" t="e">
        <f>E246*VLOOKUP(B246,alimentos_master!$A:$R,18,FALSE())/100</f>
        <v>#N/A</v>
      </c>
    </row>
    <row r="247" spans="1:10" ht="15" customHeight="1" x14ac:dyDescent="0.2">
      <c r="A247" s="4">
        <v>246</v>
      </c>
      <c r="B247" s="4">
        <v>62</v>
      </c>
      <c r="C247" s="4" t="s">
        <v>142</v>
      </c>
      <c r="D247" s="4" t="s">
        <v>918</v>
      </c>
      <c r="E247" s="4">
        <v>100</v>
      </c>
      <c r="F247" s="4" t="s">
        <v>917</v>
      </c>
      <c r="G247" s="4" t="e">
        <f>E247*VLOOKUP(B247,alimentos_master!$A:$M,13,FALSE())/100</f>
        <v>#N/A</v>
      </c>
      <c r="H247" s="4" t="e">
        <f>E247*VLOOKUP(B247,alimentos_master!$A:$N,14,FALSE())/100</f>
        <v>#N/A</v>
      </c>
      <c r="I247" s="4" t="e">
        <f>E247*VLOOKUP(B247,alimentos_master!$A:$O,15,FALSE())/100</f>
        <v>#N/A</v>
      </c>
      <c r="J247" s="4" t="e">
        <f>E247*VLOOKUP(B247,alimentos_master!$A:$R,18,FALSE())/100</f>
        <v>#N/A</v>
      </c>
    </row>
    <row r="248" spans="1:10" ht="15" customHeight="1" x14ac:dyDescent="0.2">
      <c r="A248" s="4">
        <v>247</v>
      </c>
      <c r="B248" s="4">
        <v>62</v>
      </c>
      <c r="C248" s="4" t="s">
        <v>142</v>
      </c>
      <c r="D248" s="4" t="s">
        <v>919</v>
      </c>
      <c r="E248" s="4">
        <v>150</v>
      </c>
      <c r="F248" s="4" t="s">
        <v>917</v>
      </c>
      <c r="G248" s="4" t="e">
        <f>E248*VLOOKUP(B248,alimentos_master!$A:$M,13,FALSE())/100</f>
        <v>#N/A</v>
      </c>
      <c r="H248" s="4" t="e">
        <f>E248*VLOOKUP(B248,alimentos_master!$A:$N,14,FALSE())/100</f>
        <v>#N/A</v>
      </c>
      <c r="I248" s="4" t="e">
        <f>E248*VLOOKUP(B248,alimentos_master!$A:$O,15,FALSE())/100</f>
        <v>#N/A</v>
      </c>
      <c r="J248" s="4" t="e">
        <f>E248*VLOOKUP(B248,alimentos_master!$A:$R,18,FALSE())/100</f>
        <v>#N/A</v>
      </c>
    </row>
    <row r="249" spans="1:10" ht="15" customHeight="1" x14ac:dyDescent="0.2">
      <c r="A249" s="4">
        <v>248</v>
      </c>
      <c r="B249" s="4">
        <v>62</v>
      </c>
      <c r="C249" s="4" t="s">
        <v>142</v>
      </c>
      <c r="D249" s="4" t="s">
        <v>920</v>
      </c>
      <c r="E249" s="4">
        <v>200</v>
      </c>
      <c r="F249" s="4" t="s">
        <v>917</v>
      </c>
      <c r="G249" s="4" t="e">
        <f>E249*VLOOKUP(B249,alimentos_master!$A:$M,13,FALSE())/100</f>
        <v>#N/A</v>
      </c>
      <c r="H249" s="4" t="e">
        <f>E249*VLOOKUP(B249,alimentos_master!$A:$N,14,FALSE())/100</f>
        <v>#N/A</v>
      </c>
      <c r="I249" s="4" t="e">
        <f>E249*VLOOKUP(B249,alimentos_master!$A:$O,15,FALSE())/100</f>
        <v>#N/A</v>
      </c>
      <c r="J249" s="4" t="e">
        <f>E249*VLOOKUP(B249,alimentos_master!$A:$R,18,FALSE())/100</f>
        <v>#N/A</v>
      </c>
    </row>
    <row r="250" spans="1:10" ht="15" customHeight="1" x14ac:dyDescent="0.2">
      <c r="A250" s="4">
        <v>249</v>
      </c>
      <c r="B250" s="4">
        <v>63</v>
      </c>
      <c r="C250" s="4" t="s">
        <v>143</v>
      </c>
      <c r="D250" s="4" t="s">
        <v>916</v>
      </c>
      <c r="E250" s="4">
        <v>75</v>
      </c>
      <c r="F250" s="4" t="s">
        <v>917</v>
      </c>
      <c r="G250" s="4" t="e">
        <f>E250*VLOOKUP(B250,alimentos_master!$A:$M,13,FALSE())/100</f>
        <v>#N/A</v>
      </c>
      <c r="H250" s="4" t="e">
        <f>E250*VLOOKUP(B250,alimentos_master!$A:$N,14,FALSE())/100</f>
        <v>#N/A</v>
      </c>
      <c r="I250" s="4" t="e">
        <f>E250*VLOOKUP(B250,alimentos_master!$A:$O,15,FALSE())/100</f>
        <v>#N/A</v>
      </c>
      <c r="J250" s="4" t="e">
        <f>E250*VLOOKUP(B250,alimentos_master!$A:$R,18,FALSE())/100</f>
        <v>#N/A</v>
      </c>
    </row>
    <row r="251" spans="1:10" ht="15" customHeight="1" x14ac:dyDescent="0.2">
      <c r="A251" s="4">
        <v>250</v>
      </c>
      <c r="B251" s="4">
        <v>63</v>
      </c>
      <c r="C251" s="4" t="s">
        <v>143</v>
      </c>
      <c r="D251" s="4" t="s">
        <v>918</v>
      </c>
      <c r="E251" s="4">
        <v>100</v>
      </c>
      <c r="F251" s="4" t="s">
        <v>917</v>
      </c>
      <c r="G251" s="4" t="e">
        <f>E251*VLOOKUP(B251,alimentos_master!$A:$M,13,FALSE())/100</f>
        <v>#N/A</v>
      </c>
      <c r="H251" s="4" t="e">
        <f>E251*VLOOKUP(B251,alimentos_master!$A:$N,14,FALSE())/100</f>
        <v>#N/A</v>
      </c>
      <c r="I251" s="4" t="e">
        <f>E251*VLOOKUP(B251,alimentos_master!$A:$O,15,FALSE())/100</f>
        <v>#N/A</v>
      </c>
      <c r="J251" s="4" t="e">
        <f>E251*VLOOKUP(B251,alimentos_master!$A:$R,18,FALSE())/100</f>
        <v>#N/A</v>
      </c>
    </row>
    <row r="252" spans="1:10" ht="15" customHeight="1" x14ac:dyDescent="0.2">
      <c r="A252" s="4">
        <v>251</v>
      </c>
      <c r="B252" s="4">
        <v>63</v>
      </c>
      <c r="C252" s="4" t="s">
        <v>143</v>
      </c>
      <c r="D252" s="4" t="s">
        <v>919</v>
      </c>
      <c r="E252" s="4">
        <v>150</v>
      </c>
      <c r="F252" s="4" t="s">
        <v>917</v>
      </c>
      <c r="G252" s="4" t="e">
        <f>E252*VLOOKUP(B252,alimentos_master!$A:$M,13,FALSE())/100</f>
        <v>#N/A</v>
      </c>
      <c r="H252" s="4" t="e">
        <f>E252*VLOOKUP(B252,alimentos_master!$A:$N,14,FALSE())/100</f>
        <v>#N/A</v>
      </c>
      <c r="I252" s="4" t="e">
        <f>E252*VLOOKUP(B252,alimentos_master!$A:$O,15,FALSE())/100</f>
        <v>#N/A</v>
      </c>
      <c r="J252" s="4" t="e">
        <f>E252*VLOOKUP(B252,alimentos_master!$A:$R,18,FALSE())/100</f>
        <v>#N/A</v>
      </c>
    </row>
    <row r="253" spans="1:10" ht="15" customHeight="1" x14ac:dyDescent="0.2">
      <c r="A253" s="4">
        <v>252</v>
      </c>
      <c r="B253" s="4">
        <v>63</v>
      </c>
      <c r="C253" s="4" t="s">
        <v>143</v>
      </c>
      <c r="D253" s="4" t="s">
        <v>920</v>
      </c>
      <c r="E253" s="4">
        <v>200</v>
      </c>
      <c r="F253" s="4" t="s">
        <v>917</v>
      </c>
      <c r="G253" s="4" t="e">
        <f>E253*VLOOKUP(B253,alimentos_master!$A:$M,13,FALSE())/100</f>
        <v>#N/A</v>
      </c>
      <c r="H253" s="4" t="e">
        <f>E253*VLOOKUP(B253,alimentos_master!$A:$N,14,FALSE())/100</f>
        <v>#N/A</v>
      </c>
      <c r="I253" s="4" t="e">
        <f>E253*VLOOKUP(B253,alimentos_master!$A:$O,15,FALSE())/100</f>
        <v>#N/A</v>
      </c>
      <c r="J253" s="4" t="e">
        <f>E253*VLOOKUP(B253,alimentos_master!$A:$R,18,FALSE())/100</f>
        <v>#N/A</v>
      </c>
    </row>
    <row r="254" spans="1:10" ht="15" customHeight="1" x14ac:dyDescent="0.2">
      <c r="A254" s="4">
        <v>253</v>
      </c>
      <c r="B254" s="4">
        <v>64</v>
      </c>
      <c r="C254" s="4" t="s">
        <v>144</v>
      </c>
      <c r="D254" s="4" t="s">
        <v>916</v>
      </c>
      <c r="E254" s="4">
        <v>75</v>
      </c>
      <c r="F254" s="4" t="s">
        <v>917</v>
      </c>
      <c r="G254" s="4">
        <f>E254*VLOOKUP(B254,alimentos_master!$A:$M,13,FALSE())/100</f>
        <v>93.825000000000003</v>
      </c>
      <c r="H254" s="4">
        <f>E254*VLOOKUP(B254,alimentos_master!$A:$N,14,FALSE())/100</f>
        <v>3.81</v>
      </c>
      <c r="I254" s="4">
        <f>E254*VLOOKUP(B254,alimentos_master!$A:$O,15,FALSE())/100</f>
        <v>17.3325</v>
      </c>
      <c r="J254" s="4">
        <f>E254*VLOOKUP(B254,alimentos_master!$A:$R,18,FALSE())/100</f>
        <v>1.5525</v>
      </c>
    </row>
    <row r="255" spans="1:10" ht="15" customHeight="1" x14ac:dyDescent="0.2">
      <c r="A255" s="4">
        <v>254</v>
      </c>
      <c r="B255" s="4">
        <v>64</v>
      </c>
      <c r="C255" s="4" t="s">
        <v>144</v>
      </c>
      <c r="D255" s="4" t="s">
        <v>918</v>
      </c>
      <c r="E255" s="4">
        <v>100</v>
      </c>
      <c r="F255" s="4" t="s">
        <v>917</v>
      </c>
      <c r="G255" s="4">
        <f>E255*VLOOKUP(B255,alimentos_master!$A:$M,13,FALSE())/100</f>
        <v>125.1</v>
      </c>
      <c r="H255" s="4">
        <f>E255*VLOOKUP(B255,alimentos_master!$A:$N,14,FALSE())/100</f>
        <v>5.08</v>
      </c>
      <c r="I255" s="4">
        <f>E255*VLOOKUP(B255,alimentos_master!$A:$O,15,FALSE())/100</f>
        <v>23.11</v>
      </c>
      <c r="J255" s="4">
        <f>E255*VLOOKUP(B255,alimentos_master!$A:$R,18,FALSE())/100</f>
        <v>2.0699999999999998</v>
      </c>
    </row>
    <row r="256" spans="1:10" ht="15" customHeight="1" x14ac:dyDescent="0.2">
      <c r="A256" s="4">
        <v>255</v>
      </c>
      <c r="B256" s="4">
        <v>64</v>
      </c>
      <c r="C256" s="4" t="s">
        <v>144</v>
      </c>
      <c r="D256" s="4" t="s">
        <v>919</v>
      </c>
      <c r="E256" s="4">
        <v>150</v>
      </c>
      <c r="F256" s="4" t="s">
        <v>917</v>
      </c>
      <c r="G256" s="4">
        <f>E256*VLOOKUP(B256,alimentos_master!$A:$M,13,FALSE())/100</f>
        <v>187.65</v>
      </c>
      <c r="H256" s="4">
        <f>E256*VLOOKUP(B256,alimentos_master!$A:$N,14,FALSE())/100</f>
        <v>7.62</v>
      </c>
      <c r="I256" s="4">
        <f>E256*VLOOKUP(B256,alimentos_master!$A:$O,15,FALSE())/100</f>
        <v>34.664999999999999</v>
      </c>
      <c r="J256" s="4">
        <f>E256*VLOOKUP(B256,alimentos_master!$A:$R,18,FALSE())/100</f>
        <v>3.105</v>
      </c>
    </row>
    <row r="257" spans="1:10" ht="15" customHeight="1" x14ac:dyDescent="0.2">
      <c r="A257" s="4">
        <v>256</v>
      </c>
      <c r="B257" s="4">
        <v>64</v>
      </c>
      <c r="C257" s="4" t="s">
        <v>144</v>
      </c>
      <c r="D257" s="4" t="s">
        <v>920</v>
      </c>
      <c r="E257" s="4">
        <v>200</v>
      </c>
      <c r="F257" s="4" t="s">
        <v>917</v>
      </c>
      <c r="G257" s="4">
        <f>E257*VLOOKUP(B257,alimentos_master!$A:$M,13,FALSE())/100</f>
        <v>250.2</v>
      </c>
      <c r="H257" s="4">
        <f>E257*VLOOKUP(B257,alimentos_master!$A:$N,14,FALSE())/100</f>
        <v>10.16</v>
      </c>
      <c r="I257" s="4">
        <f>E257*VLOOKUP(B257,alimentos_master!$A:$O,15,FALSE())/100</f>
        <v>46.22</v>
      </c>
      <c r="J257" s="4">
        <f>E257*VLOOKUP(B257,alimentos_master!$A:$R,18,FALSE())/100</f>
        <v>4.1399999999999997</v>
      </c>
    </row>
    <row r="258" spans="1:10" ht="15" customHeight="1" x14ac:dyDescent="0.2">
      <c r="A258" s="4">
        <v>257</v>
      </c>
      <c r="B258" s="4">
        <v>65</v>
      </c>
      <c r="C258" s="4" t="s">
        <v>145</v>
      </c>
      <c r="D258" s="4" t="s">
        <v>916</v>
      </c>
      <c r="E258" s="4">
        <v>75</v>
      </c>
      <c r="F258" s="4" t="s">
        <v>917</v>
      </c>
      <c r="G258" s="4" t="e">
        <f>E258*VLOOKUP(B258,alimentos_master!$A:$M,13,FALSE())/100</f>
        <v>#N/A</v>
      </c>
      <c r="H258" s="4" t="e">
        <f>E258*VLOOKUP(B258,alimentos_master!$A:$N,14,FALSE())/100</f>
        <v>#N/A</v>
      </c>
      <c r="I258" s="4" t="e">
        <f>E258*VLOOKUP(B258,alimentos_master!$A:$O,15,FALSE())/100</f>
        <v>#N/A</v>
      </c>
      <c r="J258" s="4" t="e">
        <f>E258*VLOOKUP(B258,alimentos_master!$A:$R,18,FALSE())/100</f>
        <v>#N/A</v>
      </c>
    </row>
    <row r="259" spans="1:10" ht="15" customHeight="1" x14ac:dyDescent="0.2">
      <c r="A259" s="4">
        <v>258</v>
      </c>
      <c r="B259" s="4">
        <v>65</v>
      </c>
      <c r="C259" s="4" t="s">
        <v>145</v>
      </c>
      <c r="D259" s="4" t="s">
        <v>918</v>
      </c>
      <c r="E259" s="4">
        <v>100</v>
      </c>
      <c r="F259" s="4" t="s">
        <v>917</v>
      </c>
      <c r="G259" s="4" t="e">
        <f>E259*VLOOKUP(B259,alimentos_master!$A:$M,13,FALSE())/100</f>
        <v>#N/A</v>
      </c>
      <c r="H259" s="4" t="e">
        <f>E259*VLOOKUP(B259,alimentos_master!$A:$N,14,FALSE())/100</f>
        <v>#N/A</v>
      </c>
      <c r="I259" s="4" t="e">
        <f>E259*VLOOKUP(B259,alimentos_master!$A:$O,15,FALSE())/100</f>
        <v>#N/A</v>
      </c>
      <c r="J259" s="4" t="e">
        <f>E259*VLOOKUP(B259,alimentos_master!$A:$R,18,FALSE())/100</f>
        <v>#N/A</v>
      </c>
    </row>
    <row r="260" spans="1:10" ht="15" customHeight="1" x14ac:dyDescent="0.2">
      <c r="A260" s="4">
        <v>259</v>
      </c>
      <c r="B260" s="4">
        <v>65</v>
      </c>
      <c r="C260" s="4" t="s">
        <v>145</v>
      </c>
      <c r="D260" s="4" t="s">
        <v>919</v>
      </c>
      <c r="E260" s="4">
        <v>150</v>
      </c>
      <c r="F260" s="4" t="s">
        <v>917</v>
      </c>
      <c r="G260" s="4" t="e">
        <f>E260*VLOOKUP(B260,alimentos_master!$A:$M,13,FALSE())/100</f>
        <v>#N/A</v>
      </c>
      <c r="H260" s="4" t="e">
        <f>E260*VLOOKUP(B260,alimentos_master!$A:$N,14,FALSE())/100</f>
        <v>#N/A</v>
      </c>
      <c r="I260" s="4" t="e">
        <f>E260*VLOOKUP(B260,alimentos_master!$A:$O,15,FALSE())/100</f>
        <v>#N/A</v>
      </c>
      <c r="J260" s="4" t="e">
        <f>E260*VLOOKUP(B260,alimentos_master!$A:$R,18,FALSE())/100</f>
        <v>#N/A</v>
      </c>
    </row>
    <row r="261" spans="1:10" ht="15" customHeight="1" x14ac:dyDescent="0.2">
      <c r="A261" s="4">
        <v>260</v>
      </c>
      <c r="B261" s="4">
        <v>65</v>
      </c>
      <c r="C261" s="4" t="s">
        <v>145</v>
      </c>
      <c r="D261" s="4" t="s">
        <v>920</v>
      </c>
      <c r="E261" s="4">
        <v>200</v>
      </c>
      <c r="F261" s="4" t="s">
        <v>917</v>
      </c>
      <c r="G261" s="4" t="e">
        <f>E261*VLOOKUP(B261,alimentos_master!$A:$M,13,FALSE())/100</f>
        <v>#N/A</v>
      </c>
      <c r="H261" s="4" t="e">
        <f>E261*VLOOKUP(B261,alimentos_master!$A:$N,14,FALSE())/100</f>
        <v>#N/A</v>
      </c>
      <c r="I261" s="4" t="e">
        <f>E261*VLOOKUP(B261,alimentos_master!$A:$O,15,FALSE())/100</f>
        <v>#N/A</v>
      </c>
      <c r="J261" s="4" t="e">
        <f>E261*VLOOKUP(B261,alimentos_master!$A:$R,18,FALSE())/100</f>
        <v>#N/A</v>
      </c>
    </row>
    <row r="262" spans="1:10" ht="15" customHeight="1" x14ac:dyDescent="0.2">
      <c r="A262" s="4">
        <v>261</v>
      </c>
      <c r="B262" s="4">
        <v>66</v>
      </c>
      <c r="C262" s="4" t="s">
        <v>146</v>
      </c>
      <c r="D262" s="4" t="s">
        <v>916</v>
      </c>
      <c r="E262" s="4">
        <v>75</v>
      </c>
      <c r="F262" s="4" t="s">
        <v>917</v>
      </c>
      <c r="G262" s="4" t="e">
        <f>E262*VLOOKUP(B262,alimentos_master!$A:$M,13,FALSE())/100</f>
        <v>#N/A</v>
      </c>
      <c r="H262" s="4" t="e">
        <f>E262*VLOOKUP(B262,alimentos_master!$A:$N,14,FALSE())/100</f>
        <v>#N/A</v>
      </c>
      <c r="I262" s="4" t="e">
        <f>E262*VLOOKUP(B262,alimentos_master!$A:$O,15,FALSE())/100</f>
        <v>#N/A</v>
      </c>
      <c r="J262" s="4" t="e">
        <f>E262*VLOOKUP(B262,alimentos_master!$A:$R,18,FALSE())/100</f>
        <v>#N/A</v>
      </c>
    </row>
    <row r="263" spans="1:10" ht="15" customHeight="1" x14ac:dyDescent="0.2">
      <c r="A263" s="4">
        <v>262</v>
      </c>
      <c r="B263" s="4">
        <v>66</v>
      </c>
      <c r="C263" s="4" t="s">
        <v>146</v>
      </c>
      <c r="D263" s="4" t="s">
        <v>918</v>
      </c>
      <c r="E263" s="4">
        <v>100</v>
      </c>
      <c r="F263" s="4" t="s">
        <v>917</v>
      </c>
      <c r="G263" s="4" t="e">
        <f>E263*VLOOKUP(B263,alimentos_master!$A:$M,13,FALSE())/100</f>
        <v>#N/A</v>
      </c>
      <c r="H263" s="4" t="e">
        <f>E263*VLOOKUP(B263,alimentos_master!$A:$N,14,FALSE())/100</f>
        <v>#N/A</v>
      </c>
      <c r="I263" s="4" t="e">
        <f>E263*VLOOKUP(B263,alimentos_master!$A:$O,15,FALSE())/100</f>
        <v>#N/A</v>
      </c>
      <c r="J263" s="4" t="e">
        <f>E263*VLOOKUP(B263,alimentos_master!$A:$R,18,FALSE())/100</f>
        <v>#N/A</v>
      </c>
    </row>
    <row r="264" spans="1:10" ht="15" customHeight="1" x14ac:dyDescent="0.2">
      <c r="A264" s="4">
        <v>263</v>
      </c>
      <c r="B264" s="4">
        <v>66</v>
      </c>
      <c r="C264" s="4" t="s">
        <v>146</v>
      </c>
      <c r="D264" s="4" t="s">
        <v>919</v>
      </c>
      <c r="E264" s="4">
        <v>150</v>
      </c>
      <c r="F264" s="4" t="s">
        <v>917</v>
      </c>
      <c r="G264" s="4" t="e">
        <f>E264*VLOOKUP(B264,alimentos_master!$A:$M,13,FALSE())/100</f>
        <v>#N/A</v>
      </c>
      <c r="H264" s="4" t="e">
        <f>E264*VLOOKUP(B264,alimentos_master!$A:$N,14,FALSE())/100</f>
        <v>#N/A</v>
      </c>
      <c r="I264" s="4" t="e">
        <f>E264*VLOOKUP(B264,alimentos_master!$A:$O,15,FALSE())/100</f>
        <v>#N/A</v>
      </c>
      <c r="J264" s="4" t="e">
        <f>E264*VLOOKUP(B264,alimentos_master!$A:$R,18,FALSE())/100</f>
        <v>#N/A</v>
      </c>
    </row>
    <row r="265" spans="1:10" ht="15" customHeight="1" x14ac:dyDescent="0.2">
      <c r="A265" s="4">
        <v>264</v>
      </c>
      <c r="B265" s="4">
        <v>66</v>
      </c>
      <c r="C265" s="4" t="s">
        <v>146</v>
      </c>
      <c r="D265" s="4" t="s">
        <v>920</v>
      </c>
      <c r="E265" s="4">
        <v>200</v>
      </c>
      <c r="F265" s="4" t="s">
        <v>917</v>
      </c>
      <c r="G265" s="4" t="e">
        <f>E265*VLOOKUP(B265,alimentos_master!$A:$M,13,FALSE())/100</f>
        <v>#N/A</v>
      </c>
      <c r="H265" s="4" t="e">
        <f>E265*VLOOKUP(B265,alimentos_master!$A:$N,14,FALSE())/100</f>
        <v>#N/A</v>
      </c>
      <c r="I265" s="4" t="e">
        <f>E265*VLOOKUP(B265,alimentos_master!$A:$O,15,FALSE())/100</f>
        <v>#N/A</v>
      </c>
      <c r="J265" s="4" t="e">
        <f>E265*VLOOKUP(B265,alimentos_master!$A:$R,18,FALSE())/100</f>
        <v>#N/A</v>
      </c>
    </row>
    <row r="266" spans="1:10" ht="15" customHeight="1" x14ac:dyDescent="0.2">
      <c r="A266" s="4">
        <v>265</v>
      </c>
      <c r="B266" s="4">
        <v>67</v>
      </c>
      <c r="C266" s="4" t="s">
        <v>147</v>
      </c>
      <c r="D266" s="4" t="s">
        <v>916</v>
      </c>
      <c r="E266" s="4">
        <v>75</v>
      </c>
      <c r="F266" s="4" t="s">
        <v>917</v>
      </c>
      <c r="G266" s="4" t="e">
        <f>E266*VLOOKUP(B266,alimentos_master!$A:$M,13,FALSE())/100</f>
        <v>#N/A</v>
      </c>
      <c r="H266" s="4" t="e">
        <f>E266*VLOOKUP(B266,alimentos_master!$A:$N,14,FALSE())/100</f>
        <v>#N/A</v>
      </c>
      <c r="I266" s="4" t="e">
        <f>E266*VLOOKUP(B266,alimentos_master!$A:$O,15,FALSE())/100</f>
        <v>#N/A</v>
      </c>
      <c r="J266" s="4" t="e">
        <f>E266*VLOOKUP(B266,alimentos_master!$A:$R,18,FALSE())/100</f>
        <v>#N/A</v>
      </c>
    </row>
    <row r="267" spans="1:10" ht="15" customHeight="1" x14ac:dyDescent="0.2">
      <c r="A267" s="4">
        <v>266</v>
      </c>
      <c r="B267" s="4">
        <v>67</v>
      </c>
      <c r="C267" s="4" t="s">
        <v>147</v>
      </c>
      <c r="D267" s="4" t="s">
        <v>918</v>
      </c>
      <c r="E267" s="4">
        <v>100</v>
      </c>
      <c r="F267" s="4" t="s">
        <v>917</v>
      </c>
      <c r="G267" s="4" t="e">
        <f>E267*VLOOKUP(B267,alimentos_master!$A:$M,13,FALSE())/100</f>
        <v>#N/A</v>
      </c>
      <c r="H267" s="4" t="e">
        <f>E267*VLOOKUP(B267,alimentos_master!$A:$N,14,FALSE())/100</f>
        <v>#N/A</v>
      </c>
      <c r="I267" s="4" t="e">
        <f>E267*VLOOKUP(B267,alimentos_master!$A:$O,15,FALSE())/100</f>
        <v>#N/A</v>
      </c>
      <c r="J267" s="4" t="e">
        <f>E267*VLOOKUP(B267,alimentos_master!$A:$R,18,FALSE())/100</f>
        <v>#N/A</v>
      </c>
    </row>
    <row r="268" spans="1:10" ht="15" customHeight="1" x14ac:dyDescent="0.2">
      <c r="A268" s="4">
        <v>267</v>
      </c>
      <c r="B268" s="4">
        <v>67</v>
      </c>
      <c r="C268" s="4" t="s">
        <v>147</v>
      </c>
      <c r="D268" s="4" t="s">
        <v>919</v>
      </c>
      <c r="E268" s="4">
        <v>150</v>
      </c>
      <c r="F268" s="4" t="s">
        <v>917</v>
      </c>
      <c r="G268" s="4" t="e">
        <f>E268*VLOOKUP(B268,alimentos_master!$A:$M,13,FALSE())/100</f>
        <v>#N/A</v>
      </c>
      <c r="H268" s="4" t="e">
        <f>E268*VLOOKUP(B268,alimentos_master!$A:$N,14,FALSE())/100</f>
        <v>#N/A</v>
      </c>
      <c r="I268" s="4" t="e">
        <f>E268*VLOOKUP(B268,alimentos_master!$A:$O,15,FALSE())/100</f>
        <v>#N/A</v>
      </c>
      <c r="J268" s="4" t="e">
        <f>E268*VLOOKUP(B268,alimentos_master!$A:$R,18,FALSE())/100</f>
        <v>#N/A</v>
      </c>
    </row>
    <row r="269" spans="1:10" ht="15" customHeight="1" x14ac:dyDescent="0.2">
      <c r="A269" s="4">
        <v>268</v>
      </c>
      <c r="B269" s="4">
        <v>67</v>
      </c>
      <c r="C269" s="4" t="s">
        <v>147</v>
      </c>
      <c r="D269" s="4" t="s">
        <v>920</v>
      </c>
      <c r="E269" s="4">
        <v>200</v>
      </c>
      <c r="F269" s="4" t="s">
        <v>917</v>
      </c>
      <c r="G269" s="4" t="e">
        <f>E269*VLOOKUP(B269,alimentos_master!$A:$M,13,FALSE())/100</f>
        <v>#N/A</v>
      </c>
      <c r="H269" s="4" t="e">
        <f>E269*VLOOKUP(B269,alimentos_master!$A:$N,14,FALSE())/100</f>
        <v>#N/A</v>
      </c>
      <c r="I269" s="4" t="e">
        <f>E269*VLOOKUP(B269,alimentos_master!$A:$O,15,FALSE())/100</f>
        <v>#N/A</v>
      </c>
      <c r="J269" s="4" t="e">
        <f>E269*VLOOKUP(B269,alimentos_master!$A:$R,18,FALSE())/100</f>
        <v>#N/A</v>
      </c>
    </row>
    <row r="270" spans="1:10" ht="15" customHeight="1" x14ac:dyDescent="0.2">
      <c r="A270" s="4">
        <v>269</v>
      </c>
      <c r="B270" s="4">
        <v>68</v>
      </c>
      <c r="C270" s="4" t="s">
        <v>149</v>
      </c>
      <c r="D270" s="4" t="s">
        <v>916</v>
      </c>
      <c r="E270" s="4">
        <v>75</v>
      </c>
      <c r="F270" s="4" t="s">
        <v>917</v>
      </c>
      <c r="G270" s="4" t="e">
        <f>E270*VLOOKUP(B270,alimentos_master!$A:$M,13,FALSE())/100</f>
        <v>#N/A</v>
      </c>
      <c r="H270" s="4" t="e">
        <f>E270*VLOOKUP(B270,alimentos_master!$A:$N,14,FALSE())/100</f>
        <v>#N/A</v>
      </c>
      <c r="I270" s="4" t="e">
        <f>E270*VLOOKUP(B270,alimentos_master!$A:$O,15,FALSE())/100</f>
        <v>#N/A</v>
      </c>
      <c r="J270" s="4" t="e">
        <f>E270*VLOOKUP(B270,alimentos_master!$A:$R,18,FALSE())/100</f>
        <v>#N/A</v>
      </c>
    </row>
    <row r="271" spans="1:10" ht="15" customHeight="1" x14ac:dyDescent="0.2">
      <c r="A271" s="4">
        <v>270</v>
      </c>
      <c r="B271" s="4">
        <v>68</v>
      </c>
      <c r="C271" s="4" t="s">
        <v>149</v>
      </c>
      <c r="D271" s="4" t="s">
        <v>918</v>
      </c>
      <c r="E271" s="4">
        <v>100</v>
      </c>
      <c r="F271" s="4" t="s">
        <v>917</v>
      </c>
      <c r="G271" s="4" t="e">
        <f>E271*VLOOKUP(B271,alimentos_master!$A:$M,13,FALSE())/100</f>
        <v>#N/A</v>
      </c>
      <c r="H271" s="4" t="e">
        <f>E271*VLOOKUP(B271,alimentos_master!$A:$N,14,FALSE())/100</f>
        <v>#N/A</v>
      </c>
      <c r="I271" s="4" t="e">
        <f>E271*VLOOKUP(B271,alimentos_master!$A:$O,15,FALSE())/100</f>
        <v>#N/A</v>
      </c>
      <c r="J271" s="4" t="e">
        <f>E271*VLOOKUP(B271,alimentos_master!$A:$R,18,FALSE())/100</f>
        <v>#N/A</v>
      </c>
    </row>
    <row r="272" spans="1:10" ht="15" customHeight="1" x14ac:dyDescent="0.2">
      <c r="A272" s="4">
        <v>271</v>
      </c>
      <c r="B272" s="4">
        <v>68</v>
      </c>
      <c r="C272" s="4" t="s">
        <v>149</v>
      </c>
      <c r="D272" s="4" t="s">
        <v>919</v>
      </c>
      <c r="E272" s="4">
        <v>150</v>
      </c>
      <c r="F272" s="4" t="s">
        <v>917</v>
      </c>
      <c r="G272" s="4" t="e">
        <f>E272*VLOOKUP(B272,alimentos_master!$A:$M,13,FALSE())/100</f>
        <v>#N/A</v>
      </c>
      <c r="H272" s="4" t="e">
        <f>E272*VLOOKUP(B272,alimentos_master!$A:$N,14,FALSE())/100</f>
        <v>#N/A</v>
      </c>
      <c r="I272" s="4" t="e">
        <f>E272*VLOOKUP(B272,alimentos_master!$A:$O,15,FALSE())/100</f>
        <v>#N/A</v>
      </c>
      <c r="J272" s="4" t="e">
        <f>E272*VLOOKUP(B272,alimentos_master!$A:$R,18,FALSE())/100</f>
        <v>#N/A</v>
      </c>
    </row>
    <row r="273" spans="1:10" ht="15" customHeight="1" x14ac:dyDescent="0.2">
      <c r="A273" s="4">
        <v>272</v>
      </c>
      <c r="B273" s="4">
        <v>68</v>
      </c>
      <c r="C273" s="4" t="s">
        <v>149</v>
      </c>
      <c r="D273" s="4" t="s">
        <v>920</v>
      </c>
      <c r="E273" s="4">
        <v>200</v>
      </c>
      <c r="F273" s="4" t="s">
        <v>917</v>
      </c>
      <c r="G273" s="4" t="e">
        <f>E273*VLOOKUP(B273,alimentos_master!$A:$M,13,FALSE())/100</f>
        <v>#N/A</v>
      </c>
      <c r="H273" s="4" t="e">
        <f>E273*VLOOKUP(B273,alimentos_master!$A:$N,14,FALSE())/100</f>
        <v>#N/A</v>
      </c>
      <c r="I273" s="4" t="e">
        <f>E273*VLOOKUP(B273,alimentos_master!$A:$O,15,FALSE())/100</f>
        <v>#N/A</v>
      </c>
      <c r="J273" s="4" t="e">
        <f>E273*VLOOKUP(B273,alimentos_master!$A:$R,18,FALSE())/100</f>
        <v>#N/A</v>
      </c>
    </row>
    <row r="274" spans="1:10" ht="15" customHeight="1" x14ac:dyDescent="0.2">
      <c r="A274" s="4">
        <v>273</v>
      </c>
      <c r="B274" s="4">
        <v>69</v>
      </c>
      <c r="C274" s="4" t="s">
        <v>150</v>
      </c>
      <c r="D274" s="4" t="s">
        <v>916</v>
      </c>
      <c r="E274" s="4">
        <v>75</v>
      </c>
      <c r="F274" s="4" t="s">
        <v>917</v>
      </c>
      <c r="G274" s="4" t="e">
        <f>E274*VLOOKUP(B274,alimentos_master!$A:$M,13,FALSE())/100</f>
        <v>#N/A</v>
      </c>
      <c r="H274" s="4" t="e">
        <f>E274*VLOOKUP(B274,alimentos_master!$A:$N,14,FALSE())/100</f>
        <v>#N/A</v>
      </c>
      <c r="I274" s="4" t="e">
        <f>E274*VLOOKUP(B274,alimentos_master!$A:$O,15,FALSE())/100</f>
        <v>#N/A</v>
      </c>
      <c r="J274" s="4" t="e">
        <f>E274*VLOOKUP(B274,alimentos_master!$A:$R,18,FALSE())/100</f>
        <v>#N/A</v>
      </c>
    </row>
    <row r="275" spans="1:10" ht="15" customHeight="1" x14ac:dyDescent="0.2">
      <c r="A275" s="4">
        <v>274</v>
      </c>
      <c r="B275" s="4">
        <v>69</v>
      </c>
      <c r="C275" s="4" t="s">
        <v>150</v>
      </c>
      <c r="D275" s="4" t="s">
        <v>918</v>
      </c>
      <c r="E275" s="4">
        <v>100</v>
      </c>
      <c r="F275" s="4" t="s">
        <v>917</v>
      </c>
      <c r="G275" s="4" t="e">
        <f>E275*VLOOKUP(B275,alimentos_master!$A:$M,13,FALSE())/100</f>
        <v>#N/A</v>
      </c>
      <c r="H275" s="4" t="e">
        <f>E275*VLOOKUP(B275,alimentos_master!$A:$N,14,FALSE())/100</f>
        <v>#N/A</v>
      </c>
      <c r="I275" s="4" t="e">
        <f>E275*VLOOKUP(B275,alimentos_master!$A:$O,15,FALSE())/100</f>
        <v>#N/A</v>
      </c>
      <c r="J275" s="4" t="e">
        <f>E275*VLOOKUP(B275,alimentos_master!$A:$R,18,FALSE())/100</f>
        <v>#N/A</v>
      </c>
    </row>
    <row r="276" spans="1:10" ht="15" customHeight="1" x14ac:dyDescent="0.2">
      <c r="A276" s="4">
        <v>275</v>
      </c>
      <c r="B276" s="4">
        <v>69</v>
      </c>
      <c r="C276" s="4" t="s">
        <v>150</v>
      </c>
      <c r="D276" s="4" t="s">
        <v>919</v>
      </c>
      <c r="E276" s="4">
        <v>150</v>
      </c>
      <c r="F276" s="4" t="s">
        <v>917</v>
      </c>
      <c r="G276" s="4" t="e">
        <f>E276*VLOOKUP(B276,alimentos_master!$A:$M,13,FALSE())/100</f>
        <v>#N/A</v>
      </c>
      <c r="H276" s="4" t="e">
        <f>E276*VLOOKUP(B276,alimentos_master!$A:$N,14,FALSE())/100</f>
        <v>#N/A</v>
      </c>
      <c r="I276" s="4" t="e">
        <f>E276*VLOOKUP(B276,alimentos_master!$A:$O,15,FALSE())/100</f>
        <v>#N/A</v>
      </c>
      <c r="J276" s="4" t="e">
        <f>E276*VLOOKUP(B276,alimentos_master!$A:$R,18,FALSE())/100</f>
        <v>#N/A</v>
      </c>
    </row>
    <row r="277" spans="1:10" ht="15" customHeight="1" x14ac:dyDescent="0.2">
      <c r="A277" s="4">
        <v>276</v>
      </c>
      <c r="B277" s="4">
        <v>69</v>
      </c>
      <c r="C277" s="4" t="s">
        <v>150</v>
      </c>
      <c r="D277" s="4" t="s">
        <v>920</v>
      </c>
      <c r="E277" s="4">
        <v>200</v>
      </c>
      <c r="F277" s="4" t="s">
        <v>917</v>
      </c>
      <c r="G277" s="4" t="e">
        <f>E277*VLOOKUP(B277,alimentos_master!$A:$M,13,FALSE())/100</f>
        <v>#N/A</v>
      </c>
      <c r="H277" s="4" t="e">
        <f>E277*VLOOKUP(B277,alimentos_master!$A:$N,14,FALSE())/100</f>
        <v>#N/A</v>
      </c>
      <c r="I277" s="4" t="e">
        <f>E277*VLOOKUP(B277,alimentos_master!$A:$O,15,FALSE())/100</f>
        <v>#N/A</v>
      </c>
      <c r="J277" s="4" t="e">
        <f>E277*VLOOKUP(B277,alimentos_master!$A:$R,18,FALSE())/100</f>
        <v>#N/A</v>
      </c>
    </row>
    <row r="278" spans="1:10" ht="15" customHeight="1" x14ac:dyDescent="0.2">
      <c r="A278" s="4">
        <v>277</v>
      </c>
      <c r="B278" s="4">
        <v>70</v>
      </c>
      <c r="C278" s="4" t="s">
        <v>151</v>
      </c>
      <c r="D278" s="4" t="s">
        <v>916</v>
      </c>
      <c r="E278" s="4">
        <v>75</v>
      </c>
      <c r="F278" s="4" t="s">
        <v>917</v>
      </c>
      <c r="G278" s="4">
        <f>E278*VLOOKUP(B278,alimentos_master!$A:$M,13,FALSE())/100</f>
        <v>282</v>
      </c>
      <c r="H278" s="4">
        <f>E278*VLOOKUP(B278,alimentos_master!$A:$N,14,FALSE())/100</f>
        <v>9.6</v>
      </c>
      <c r="I278" s="4">
        <f>E278*VLOOKUP(B278,alimentos_master!$A:$O,15,FALSE())/100</f>
        <v>58.05</v>
      </c>
      <c r="J278" s="4">
        <f>E278*VLOOKUP(B278,alimentos_master!$A:$R,18,FALSE())/100</f>
        <v>0.45</v>
      </c>
    </row>
    <row r="279" spans="1:10" ht="15" customHeight="1" x14ac:dyDescent="0.2">
      <c r="A279" s="4">
        <v>278</v>
      </c>
      <c r="B279" s="4">
        <v>70</v>
      </c>
      <c r="C279" s="4" t="s">
        <v>151</v>
      </c>
      <c r="D279" s="4" t="s">
        <v>918</v>
      </c>
      <c r="E279" s="4">
        <v>100</v>
      </c>
      <c r="F279" s="4" t="s">
        <v>917</v>
      </c>
      <c r="G279" s="4">
        <f>E279*VLOOKUP(B279,alimentos_master!$A:$M,13,FALSE())/100</f>
        <v>376</v>
      </c>
      <c r="H279" s="4">
        <f>E279*VLOOKUP(B279,alimentos_master!$A:$N,14,FALSE())/100</f>
        <v>12.8</v>
      </c>
      <c r="I279" s="4">
        <f>E279*VLOOKUP(B279,alimentos_master!$A:$O,15,FALSE())/100</f>
        <v>77.400000000000006</v>
      </c>
      <c r="J279" s="4">
        <f>E279*VLOOKUP(B279,alimentos_master!$A:$R,18,FALSE())/100</f>
        <v>0.6</v>
      </c>
    </row>
    <row r="280" spans="1:10" ht="15" customHeight="1" x14ac:dyDescent="0.2">
      <c r="A280" s="4">
        <v>279</v>
      </c>
      <c r="B280" s="4">
        <v>70</v>
      </c>
      <c r="C280" s="4" t="s">
        <v>151</v>
      </c>
      <c r="D280" s="4" t="s">
        <v>919</v>
      </c>
      <c r="E280" s="4">
        <v>150</v>
      </c>
      <c r="F280" s="4" t="s">
        <v>917</v>
      </c>
      <c r="G280" s="4">
        <f>E280*VLOOKUP(B280,alimentos_master!$A:$M,13,FALSE())/100</f>
        <v>564</v>
      </c>
      <c r="H280" s="4">
        <f>E280*VLOOKUP(B280,alimentos_master!$A:$N,14,FALSE())/100</f>
        <v>19.2</v>
      </c>
      <c r="I280" s="4">
        <f>E280*VLOOKUP(B280,alimentos_master!$A:$O,15,FALSE())/100</f>
        <v>116.1</v>
      </c>
      <c r="J280" s="4">
        <f>E280*VLOOKUP(B280,alimentos_master!$A:$R,18,FALSE())/100</f>
        <v>0.9</v>
      </c>
    </row>
    <row r="281" spans="1:10" ht="15" customHeight="1" x14ac:dyDescent="0.2">
      <c r="A281" s="4">
        <v>280</v>
      </c>
      <c r="B281" s="4">
        <v>70</v>
      </c>
      <c r="C281" s="4" t="s">
        <v>151</v>
      </c>
      <c r="D281" s="4" t="s">
        <v>920</v>
      </c>
      <c r="E281" s="4">
        <v>200</v>
      </c>
      <c r="F281" s="4" t="s">
        <v>917</v>
      </c>
      <c r="G281" s="4">
        <f>E281*VLOOKUP(B281,alimentos_master!$A:$M,13,FALSE())/100</f>
        <v>752</v>
      </c>
      <c r="H281" s="4">
        <f>E281*VLOOKUP(B281,alimentos_master!$A:$N,14,FALSE())/100</f>
        <v>25.6</v>
      </c>
      <c r="I281" s="4">
        <f>E281*VLOOKUP(B281,alimentos_master!$A:$O,15,FALSE())/100</f>
        <v>154.80000000000001</v>
      </c>
      <c r="J281" s="4">
        <f>E281*VLOOKUP(B281,alimentos_master!$A:$R,18,FALSE())/100</f>
        <v>1.2</v>
      </c>
    </row>
    <row r="282" spans="1:10" ht="15" customHeight="1" x14ac:dyDescent="0.2">
      <c r="A282" s="4">
        <v>281</v>
      </c>
      <c r="B282" s="4">
        <v>71</v>
      </c>
      <c r="C282" s="4" t="s">
        <v>153</v>
      </c>
      <c r="D282" s="4" t="s">
        <v>916</v>
      </c>
      <c r="E282" s="4">
        <v>75</v>
      </c>
      <c r="F282" s="4" t="s">
        <v>917</v>
      </c>
      <c r="G282" s="4" t="e">
        <f>E282*VLOOKUP(B282,alimentos_master!$A:$M,13,FALSE())/100</f>
        <v>#N/A</v>
      </c>
      <c r="H282" s="4" t="e">
        <f>E282*VLOOKUP(B282,alimentos_master!$A:$N,14,FALSE())/100</f>
        <v>#N/A</v>
      </c>
      <c r="I282" s="4" t="e">
        <f>E282*VLOOKUP(B282,alimentos_master!$A:$O,15,FALSE())/100</f>
        <v>#N/A</v>
      </c>
      <c r="J282" s="4" t="e">
        <f>E282*VLOOKUP(B282,alimentos_master!$A:$R,18,FALSE())/100</f>
        <v>#N/A</v>
      </c>
    </row>
    <row r="283" spans="1:10" ht="15" customHeight="1" x14ac:dyDescent="0.2">
      <c r="A283" s="4">
        <v>282</v>
      </c>
      <c r="B283" s="4">
        <v>71</v>
      </c>
      <c r="C283" s="4" t="s">
        <v>153</v>
      </c>
      <c r="D283" s="4" t="s">
        <v>918</v>
      </c>
      <c r="E283" s="4">
        <v>100</v>
      </c>
      <c r="F283" s="4" t="s">
        <v>917</v>
      </c>
      <c r="G283" s="4" t="e">
        <f>E283*VLOOKUP(B283,alimentos_master!$A:$M,13,FALSE())/100</f>
        <v>#N/A</v>
      </c>
      <c r="H283" s="4" t="e">
        <f>E283*VLOOKUP(B283,alimentos_master!$A:$N,14,FALSE())/100</f>
        <v>#N/A</v>
      </c>
      <c r="I283" s="4" t="e">
        <f>E283*VLOOKUP(B283,alimentos_master!$A:$O,15,FALSE())/100</f>
        <v>#N/A</v>
      </c>
      <c r="J283" s="4" t="e">
        <f>E283*VLOOKUP(B283,alimentos_master!$A:$R,18,FALSE())/100</f>
        <v>#N/A</v>
      </c>
    </row>
    <row r="284" spans="1:10" ht="15" customHeight="1" x14ac:dyDescent="0.2">
      <c r="A284" s="4">
        <v>283</v>
      </c>
      <c r="B284" s="4">
        <v>71</v>
      </c>
      <c r="C284" s="4" t="s">
        <v>153</v>
      </c>
      <c r="D284" s="4" t="s">
        <v>919</v>
      </c>
      <c r="E284" s="4">
        <v>150</v>
      </c>
      <c r="F284" s="4" t="s">
        <v>917</v>
      </c>
      <c r="G284" s="4" t="e">
        <f>E284*VLOOKUP(B284,alimentos_master!$A:$M,13,FALSE())/100</f>
        <v>#N/A</v>
      </c>
      <c r="H284" s="4" t="e">
        <f>E284*VLOOKUP(B284,alimentos_master!$A:$N,14,FALSE())/100</f>
        <v>#N/A</v>
      </c>
      <c r="I284" s="4" t="e">
        <f>E284*VLOOKUP(B284,alimentos_master!$A:$O,15,FALSE())/100</f>
        <v>#N/A</v>
      </c>
      <c r="J284" s="4" t="e">
        <f>E284*VLOOKUP(B284,alimentos_master!$A:$R,18,FALSE())/100</f>
        <v>#N/A</v>
      </c>
    </row>
    <row r="285" spans="1:10" ht="15" customHeight="1" x14ac:dyDescent="0.2">
      <c r="A285" s="4">
        <v>284</v>
      </c>
      <c r="B285" s="4">
        <v>71</v>
      </c>
      <c r="C285" s="4" t="s">
        <v>153</v>
      </c>
      <c r="D285" s="4" t="s">
        <v>920</v>
      </c>
      <c r="E285" s="4">
        <v>200</v>
      </c>
      <c r="F285" s="4" t="s">
        <v>917</v>
      </c>
      <c r="G285" s="4" t="e">
        <f>E285*VLOOKUP(B285,alimentos_master!$A:$M,13,FALSE())/100</f>
        <v>#N/A</v>
      </c>
      <c r="H285" s="4" t="e">
        <f>E285*VLOOKUP(B285,alimentos_master!$A:$N,14,FALSE())/100</f>
        <v>#N/A</v>
      </c>
      <c r="I285" s="4" t="e">
        <f>E285*VLOOKUP(B285,alimentos_master!$A:$O,15,FALSE())/100</f>
        <v>#N/A</v>
      </c>
      <c r="J285" s="4" t="e">
        <f>E285*VLOOKUP(B285,alimentos_master!$A:$R,18,FALSE())/100</f>
        <v>#N/A</v>
      </c>
    </row>
    <row r="286" spans="1:10" ht="15" customHeight="1" x14ac:dyDescent="0.2">
      <c r="A286" s="4">
        <v>285</v>
      </c>
      <c r="B286" s="4">
        <v>72</v>
      </c>
      <c r="C286" s="4" t="s">
        <v>154</v>
      </c>
      <c r="D286" s="4" t="s">
        <v>916</v>
      </c>
      <c r="E286" s="4">
        <v>75</v>
      </c>
      <c r="F286" s="4" t="s">
        <v>917</v>
      </c>
      <c r="G286" s="4" t="e">
        <f>E286*VLOOKUP(B286,alimentos_master!$A:$M,13,FALSE())/100</f>
        <v>#N/A</v>
      </c>
      <c r="H286" s="4" t="e">
        <f>E286*VLOOKUP(B286,alimentos_master!$A:$N,14,FALSE())/100</f>
        <v>#N/A</v>
      </c>
      <c r="I286" s="4" t="e">
        <f>E286*VLOOKUP(B286,alimentos_master!$A:$O,15,FALSE())/100</f>
        <v>#N/A</v>
      </c>
      <c r="J286" s="4" t="e">
        <f>E286*VLOOKUP(B286,alimentos_master!$A:$R,18,FALSE())/100</f>
        <v>#N/A</v>
      </c>
    </row>
    <row r="287" spans="1:10" ht="15" customHeight="1" x14ac:dyDescent="0.2">
      <c r="A287" s="4">
        <v>286</v>
      </c>
      <c r="B287" s="4">
        <v>72</v>
      </c>
      <c r="C287" s="4" t="s">
        <v>154</v>
      </c>
      <c r="D287" s="4" t="s">
        <v>918</v>
      </c>
      <c r="E287" s="4">
        <v>100</v>
      </c>
      <c r="F287" s="4" t="s">
        <v>917</v>
      </c>
      <c r="G287" s="4" t="e">
        <f>E287*VLOOKUP(B287,alimentos_master!$A:$M,13,FALSE())/100</f>
        <v>#N/A</v>
      </c>
      <c r="H287" s="4" t="e">
        <f>E287*VLOOKUP(B287,alimentos_master!$A:$N,14,FALSE())/100</f>
        <v>#N/A</v>
      </c>
      <c r="I287" s="4" t="e">
        <f>E287*VLOOKUP(B287,alimentos_master!$A:$O,15,FALSE())/100</f>
        <v>#N/A</v>
      </c>
      <c r="J287" s="4" t="e">
        <f>E287*VLOOKUP(B287,alimentos_master!$A:$R,18,FALSE())/100</f>
        <v>#N/A</v>
      </c>
    </row>
    <row r="288" spans="1:10" ht="15" customHeight="1" x14ac:dyDescent="0.2">
      <c r="A288" s="4">
        <v>287</v>
      </c>
      <c r="B288" s="4">
        <v>72</v>
      </c>
      <c r="C288" s="4" t="s">
        <v>154</v>
      </c>
      <c r="D288" s="4" t="s">
        <v>919</v>
      </c>
      <c r="E288" s="4">
        <v>150</v>
      </c>
      <c r="F288" s="4" t="s">
        <v>917</v>
      </c>
      <c r="G288" s="4" t="e">
        <f>E288*VLOOKUP(B288,alimentos_master!$A:$M,13,FALSE())/100</f>
        <v>#N/A</v>
      </c>
      <c r="H288" s="4" t="e">
        <f>E288*VLOOKUP(B288,alimentos_master!$A:$N,14,FALSE())/100</f>
        <v>#N/A</v>
      </c>
      <c r="I288" s="4" t="e">
        <f>E288*VLOOKUP(B288,alimentos_master!$A:$O,15,FALSE())/100</f>
        <v>#N/A</v>
      </c>
      <c r="J288" s="4" t="e">
        <f>E288*VLOOKUP(B288,alimentos_master!$A:$R,18,FALSE())/100</f>
        <v>#N/A</v>
      </c>
    </row>
    <row r="289" spans="1:10" ht="15" customHeight="1" x14ac:dyDescent="0.2">
      <c r="A289" s="4">
        <v>288</v>
      </c>
      <c r="B289" s="4">
        <v>72</v>
      </c>
      <c r="C289" s="4" t="s">
        <v>154</v>
      </c>
      <c r="D289" s="4" t="s">
        <v>920</v>
      </c>
      <c r="E289" s="4">
        <v>200</v>
      </c>
      <c r="F289" s="4" t="s">
        <v>917</v>
      </c>
      <c r="G289" s="4" t="e">
        <f>E289*VLOOKUP(B289,alimentos_master!$A:$M,13,FALSE())/100</f>
        <v>#N/A</v>
      </c>
      <c r="H289" s="4" t="e">
        <f>E289*VLOOKUP(B289,alimentos_master!$A:$N,14,FALSE())/100</f>
        <v>#N/A</v>
      </c>
      <c r="I289" s="4" t="e">
        <f>E289*VLOOKUP(B289,alimentos_master!$A:$O,15,FALSE())/100</f>
        <v>#N/A</v>
      </c>
      <c r="J289" s="4" t="e">
        <f>E289*VLOOKUP(B289,alimentos_master!$A:$R,18,FALSE())/100</f>
        <v>#N/A</v>
      </c>
    </row>
    <row r="290" spans="1:10" ht="15" customHeight="1" x14ac:dyDescent="0.2">
      <c r="A290" s="4">
        <v>289</v>
      </c>
      <c r="B290" s="4">
        <v>73</v>
      </c>
      <c r="C290" s="4" t="s">
        <v>155</v>
      </c>
      <c r="D290" s="4" t="s">
        <v>916</v>
      </c>
      <c r="E290" s="4">
        <v>75</v>
      </c>
      <c r="F290" s="4" t="s">
        <v>917</v>
      </c>
      <c r="G290" s="4">
        <f>E290*VLOOKUP(B290,alimentos_master!$A:$M,13,FALSE())/100</f>
        <v>101.55</v>
      </c>
      <c r="H290" s="4">
        <f>E290*VLOOKUP(B290,alimentos_master!$A:$N,14,FALSE())/100</f>
        <v>3.4575</v>
      </c>
      <c r="I290" s="4">
        <f>E290*VLOOKUP(B290,alimentos_master!$A:$O,15,FALSE())/100</f>
        <v>20.895</v>
      </c>
      <c r="J290" s="4">
        <f>E290*VLOOKUP(B290,alimentos_master!$A:$R,18,FALSE())/100</f>
        <v>0.16500000000000001</v>
      </c>
    </row>
    <row r="291" spans="1:10" ht="15" customHeight="1" x14ac:dyDescent="0.2">
      <c r="A291" s="4">
        <v>290</v>
      </c>
      <c r="B291" s="4">
        <v>73</v>
      </c>
      <c r="C291" s="4" t="s">
        <v>155</v>
      </c>
      <c r="D291" s="4" t="s">
        <v>918</v>
      </c>
      <c r="E291" s="4">
        <v>100</v>
      </c>
      <c r="F291" s="4" t="s">
        <v>917</v>
      </c>
      <c r="G291" s="4">
        <f>E291*VLOOKUP(B291,alimentos_master!$A:$M,13,FALSE())/100</f>
        <v>135.4</v>
      </c>
      <c r="H291" s="4">
        <f>E291*VLOOKUP(B291,alimentos_master!$A:$N,14,FALSE())/100</f>
        <v>4.6100000000000003</v>
      </c>
      <c r="I291" s="4">
        <f>E291*VLOOKUP(B291,alimentos_master!$A:$O,15,FALSE())/100</f>
        <v>27.86</v>
      </c>
      <c r="J291" s="4">
        <f>E291*VLOOKUP(B291,alimentos_master!$A:$R,18,FALSE())/100</f>
        <v>0.22</v>
      </c>
    </row>
    <row r="292" spans="1:10" ht="15" customHeight="1" x14ac:dyDescent="0.2">
      <c r="A292" s="4">
        <v>291</v>
      </c>
      <c r="B292" s="4">
        <v>73</v>
      </c>
      <c r="C292" s="4" t="s">
        <v>155</v>
      </c>
      <c r="D292" s="4" t="s">
        <v>919</v>
      </c>
      <c r="E292" s="4">
        <v>150</v>
      </c>
      <c r="F292" s="4" t="s">
        <v>917</v>
      </c>
      <c r="G292" s="4">
        <f>E292*VLOOKUP(B292,alimentos_master!$A:$M,13,FALSE())/100</f>
        <v>203.1</v>
      </c>
      <c r="H292" s="4">
        <f>E292*VLOOKUP(B292,alimentos_master!$A:$N,14,FALSE())/100</f>
        <v>6.915</v>
      </c>
      <c r="I292" s="4">
        <f>E292*VLOOKUP(B292,alimentos_master!$A:$O,15,FALSE())/100</f>
        <v>41.79</v>
      </c>
      <c r="J292" s="4">
        <f>E292*VLOOKUP(B292,alimentos_master!$A:$R,18,FALSE())/100</f>
        <v>0.33</v>
      </c>
    </row>
    <row r="293" spans="1:10" ht="15" customHeight="1" x14ac:dyDescent="0.2">
      <c r="A293" s="4">
        <v>292</v>
      </c>
      <c r="B293" s="4">
        <v>73</v>
      </c>
      <c r="C293" s="4" t="s">
        <v>155</v>
      </c>
      <c r="D293" s="4" t="s">
        <v>920</v>
      </c>
      <c r="E293" s="4">
        <v>200</v>
      </c>
      <c r="F293" s="4" t="s">
        <v>917</v>
      </c>
      <c r="G293" s="4">
        <f>E293*VLOOKUP(B293,alimentos_master!$A:$M,13,FALSE())/100</f>
        <v>270.8</v>
      </c>
      <c r="H293" s="4">
        <f>E293*VLOOKUP(B293,alimentos_master!$A:$N,14,FALSE())/100</f>
        <v>9.2200000000000006</v>
      </c>
      <c r="I293" s="4">
        <f>E293*VLOOKUP(B293,alimentos_master!$A:$O,15,FALSE())/100</f>
        <v>55.72</v>
      </c>
      <c r="J293" s="4">
        <f>E293*VLOOKUP(B293,alimentos_master!$A:$R,18,FALSE())/100</f>
        <v>0.44</v>
      </c>
    </row>
    <row r="294" spans="1:10" ht="15" customHeight="1" x14ac:dyDescent="0.2">
      <c r="A294" s="4">
        <v>293</v>
      </c>
      <c r="B294" s="4">
        <v>74</v>
      </c>
      <c r="C294" s="4" t="s">
        <v>156</v>
      </c>
      <c r="D294" s="4" t="s">
        <v>916</v>
      </c>
      <c r="E294" s="4">
        <v>75</v>
      </c>
      <c r="F294" s="4" t="s">
        <v>917</v>
      </c>
      <c r="G294" s="4" t="e">
        <f>E294*VLOOKUP(B294,alimentos_master!$A:$M,13,FALSE())/100</f>
        <v>#N/A</v>
      </c>
      <c r="H294" s="4" t="e">
        <f>E294*VLOOKUP(B294,alimentos_master!$A:$N,14,FALSE())/100</f>
        <v>#N/A</v>
      </c>
      <c r="I294" s="4" t="e">
        <f>E294*VLOOKUP(B294,alimentos_master!$A:$O,15,FALSE())/100</f>
        <v>#N/A</v>
      </c>
      <c r="J294" s="4" t="e">
        <f>E294*VLOOKUP(B294,alimentos_master!$A:$R,18,FALSE())/100</f>
        <v>#N/A</v>
      </c>
    </row>
    <row r="295" spans="1:10" ht="15" customHeight="1" x14ac:dyDescent="0.2">
      <c r="A295" s="4">
        <v>294</v>
      </c>
      <c r="B295" s="4">
        <v>74</v>
      </c>
      <c r="C295" s="4" t="s">
        <v>156</v>
      </c>
      <c r="D295" s="4" t="s">
        <v>918</v>
      </c>
      <c r="E295" s="4">
        <v>100</v>
      </c>
      <c r="F295" s="4" t="s">
        <v>917</v>
      </c>
      <c r="G295" s="4" t="e">
        <f>E295*VLOOKUP(B295,alimentos_master!$A:$M,13,FALSE())/100</f>
        <v>#N/A</v>
      </c>
      <c r="H295" s="4" t="e">
        <f>E295*VLOOKUP(B295,alimentos_master!$A:$N,14,FALSE())/100</f>
        <v>#N/A</v>
      </c>
      <c r="I295" s="4" t="e">
        <f>E295*VLOOKUP(B295,alimentos_master!$A:$O,15,FALSE())/100</f>
        <v>#N/A</v>
      </c>
      <c r="J295" s="4" t="e">
        <f>E295*VLOOKUP(B295,alimentos_master!$A:$R,18,FALSE())/100</f>
        <v>#N/A</v>
      </c>
    </row>
    <row r="296" spans="1:10" ht="15" customHeight="1" x14ac:dyDescent="0.2">
      <c r="A296" s="4">
        <v>295</v>
      </c>
      <c r="B296" s="4">
        <v>74</v>
      </c>
      <c r="C296" s="4" t="s">
        <v>156</v>
      </c>
      <c r="D296" s="4" t="s">
        <v>919</v>
      </c>
      <c r="E296" s="4">
        <v>150</v>
      </c>
      <c r="F296" s="4" t="s">
        <v>917</v>
      </c>
      <c r="G296" s="4" t="e">
        <f>E296*VLOOKUP(B296,alimentos_master!$A:$M,13,FALSE())/100</f>
        <v>#N/A</v>
      </c>
      <c r="H296" s="4" t="e">
        <f>E296*VLOOKUP(B296,alimentos_master!$A:$N,14,FALSE())/100</f>
        <v>#N/A</v>
      </c>
      <c r="I296" s="4" t="e">
        <f>E296*VLOOKUP(B296,alimentos_master!$A:$O,15,FALSE())/100</f>
        <v>#N/A</v>
      </c>
      <c r="J296" s="4" t="e">
        <f>E296*VLOOKUP(B296,alimentos_master!$A:$R,18,FALSE())/100</f>
        <v>#N/A</v>
      </c>
    </row>
    <row r="297" spans="1:10" ht="15" customHeight="1" x14ac:dyDescent="0.2">
      <c r="A297" s="4">
        <v>296</v>
      </c>
      <c r="B297" s="4">
        <v>74</v>
      </c>
      <c r="C297" s="4" t="s">
        <v>156</v>
      </c>
      <c r="D297" s="4" t="s">
        <v>920</v>
      </c>
      <c r="E297" s="4">
        <v>200</v>
      </c>
      <c r="F297" s="4" t="s">
        <v>917</v>
      </c>
      <c r="G297" s="4" t="e">
        <f>E297*VLOOKUP(B297,alimentos_master!$A:$M,13,FALSE())/100</f>
        <v>#N/A</v>
      </c>
      <c r="H297" s="4" t="e">
        <f>E297*VLOOKUP(B297,alimentos_master!$A:$N,14,FALSE())/100</f>
        <v>#N/A</v>
      </c>
      <c r="I297" s="4" t="e">
        <f>E297*VLOOKUP(B297,alimentos_master!$A:$O,15,FALSE())/100</f>
        <v>#N/A</v>
      </c>
      <c r="J297" s="4" t="e">
        <f>E297*VLOOKUP(B297,alimentos_master!$A:$R,18,FALSE())/100</f>
        <v>#N/A</v>
      </c>
    </row>
    <row r="298" spans="1:10" ht="15" customHeight="1" x14ac:dyDescent="0.2">
      <c r="A298" s="4">
        <v>297</v>
      </c>
      <c r="B298" s="4">
        <v>75</v>
      </c>
      <c r="C298" s="4" t="s">
        <v>157</v>
      </c>
      <c r="D298" s="4" t="s">
        <v>916</v>
      </c>
      <c r="E298" s="4">
        <v>75</v>
      </c>
      <c r="F298" s="4" t="s">
        <v>917</v>
      </c>
      <c r="G298" s="4" t="e">
        <f>E298*VLOOKUP(B298,alimentos_master!$A:$M,13,FALSE())/100</f>
        <v>#N/A</v>
      </c>
      <c r="H298" s="4" t="e">
        <f>E298*VLOOKUP(B298,alimentos_master!$A:$N,14,FALSE())/100</f>
        <v>#N/A</v>
      </c>
      <c r="I298" s="4" t="e">
        <f>E298*VLOOKUP(B298,alimentos_master!$A:$O,15,FALSE())/100</f>
        <v>#N/A</v>
      </c>
      <c r="J298" s="4" t="e">
        <f>E298*VLOOKUP(B298,alimentos_master!$A:$R,18,FALSE())/100</f>
        <v>#N/A</v>
      </c>
    </row>
    <row r="299" spans="1:10" ht="15" customHeight="1" x14ac:dyDescent="0.2">
      <c r="A299" s="4">
        <v>298</v>
      </c>
      <c r="B299" s="4">
        <v>75</v>
      </c>
      <c r="C299" s="4" t="s">
        <v>157</v>
      </c>
      <c r="D299" s="4" t="s">
        <v>918</v>
      </c>
      <c r="E299" s="4">
        <v>100</v>
      </c>
      <c r="F299" s="4" t="s">
        <v>917</v>
      </c>
      <c r="G299" s="4" t="e">
        <f>E299*VLOOKUP(B299,alimentos_master!$A:$M,13,FALSE())/100</f>
        <v>#N/A</v>
      </c>
      <c r="H299" s="4" t="e">
        <f>E299*VLOOKUP(B299,alimentos_master!$A:$N,14,FALSE())/100</f>
        <v>#N/A</v>
      </c>
      <c r="I299" s="4" t="e">
        <f>E299*VLOOKUP(B299,alimentos_master!$A:$O,15,FALSE())/100</f>
        <v>#N/A</v>
      </c>
      <c r="J299" s="4" t="e">
        <f>E299*VLOOKUP(B299,alimentos_master!$A:$R,18,FALSE())/100</f>
        <v>#N/A</v>
      </c>
    </row>
    <row r="300" spans="1:10" ht="15" customHeight="1" x14ac:dyDescent="0.2">
      <c r="A300" s="4">
        <v>299</v>
      </c>
      <c r="B300" s="4">
        <v>75</v>
      </c>
      <c r="C300" s="4" t="s">
        <v>157</v>
      </c>
      <c r="D300" s="4" t="s">
        <v>919</v>
      </c>
      <c r="E300" s="4">
        <v>150</v>
      </c>
      <c r="F300" s="4" t="s">
        <v>917</v>
      </c>
      <c r="G300" s="4" t="e">
        <f>E300*VLOOKUP(B300,alimentos_master!$A:$M,13,FALSE())/100</f>
        <v>#N/A</v>
      </c>
      <c r="H300" s="4" t="e">
        <f>E300*VLOOKUP(B300,alimentos_master!$A:$N,14,FALSE())/100</f>
        <v>#N/A</v>
      </c>
      <c r="I300" s="4" t="e">
        <f>E300*VLOOKUP(B300,alimentos_master!$A:$O,15,FALSE())/100</f>
        <v>#N/A</v>
      </c>
      <c r="J300" s="4" t="e">
        <f>E300*VLOOKUP(B300,alimentos_master!$A:$R,18,FALSE())/100</f>
        <v>#N/A</v>
      </c>
    </row>
    <row r="301" spans="1:10" ht="15" customHeight="1" x14ac:dyDescent="0.2">
      <c r="A301" s="4">
        <v>300</v>
      </c>
      <c r="B301" s="4">
        <v>75</v>
      </c>
      <c r="C301" s="4" t="s">
        <v>157</v>
      </c>
      <c r="D301" s="4" t="s">
        <v>920</v>
      </c>
      <c r="E301" s="4">
        <v>200</v>
      </c>
      <c r="F301" s="4" t="s">
        <v>917</v>
      </c>
      <c r="G301" s="4" t="e">
        <f>E301*VLOOKUP(B301,alimentos_master!$A:$M,13,FALSE())/100</f>
        <v>#N/A</v>
      </c>
      <c r="H301" s="4" t="e">
        <f>E301*VLOOKUP(B301,alimentos_master!$A:$N,14,FALSE())/100</f>
        <v>#N/A</v>
      </c>
      <c r="I301" s="4" t="e">
        <f>E301*VLOOKUP(B301,alimentos_master!$A:$O,15,FALSE())/100</f>
        <v>#N/A</v>
      </c>
      <c r="J301" s="4" t="e">
        <f>E301*VLOOKUP(B301,alimentos_master!$A:$R,18,FALSE())/100</f>
        <v>#N/A</v>
      </c>
    </row>
    <row r="302" spans="1:10" ht="15" customHeight="1" x14ac:dyDescent="0.2">
      <c r="A302" s="4">
        <v>301</v>
      </c>
      <c r="B302" s="4">
        <v>76</v>
      </c>
      <c r="C302" s="4" t="s">
        <v>158</v>
      </c>
      <c r="D302" s="4" t="s">
        <v>916</v>
      </c>
      <c r="E302" s="4">
        <v>75</v>
      </c>
      <c r="F302" s="4" t="s">
        <v>917</v>
      </c>
      <c r="G302" s="4" t="e">
        <f>E302*VLOOKUP(B302,alimentos_master!$A:$M,13,FALSE())/100</f>
        <v>#N/A</v>
      </c>
      <c r="H302" s="4" t="e">
        <f>E302*VLOOKUP(B302,alimentos_master!$A:$N,14,FALSE())/100</f>
        <v>#N/A</v>
      </c>
      <c r="I302" s="4" t="e">
        <f>E302*VLOOKUP(B302,alimentos_master!$A:$O,15,FALSE())/100</f>
        <v>#N/A</v>
      </c>
      <c r="J302" s="4" t="e">
        <f>E302*VLOOKUP(B302,alimentos_master!$A:$R,18,FALSE())/100</f>
        <v>#N/A</v>
      </c>
    </row>
    <row r="303" spans="1:10" ht="15" customHeight="1" x14ac:dyDescent="0.2">
      <c r="A303" s="4">
        <v>302</v>
      </c>
      <c r="B303" s="4">
        <v>76</v>
      </c>
      <c r="C303" s="4" t="s">
        <v>158</v>
      </c>
      <c r="D303" s="4" t="s">
        <v>918</v>
      </c>
      <c r="E303" s="4">
        <v>100</v>
      </c>
      <c r="F303" s="4" t="s">
        <v>917</v>
      </c>
      <c r="G303" s="4" t="e">
        <f>E303*VLOOKUP(B303,alimentos_master!$A:$M,13,FALSE())/100</f>
        <v>#N/A</v>
      </c>
      <c r="H303" s="4" t="e">
        <f>E303*VLOOKUP(B303,alimentos_master!$A:$N,14,FALSE())/100</f>
        <v>#N/A</v>
      </c>
      <c r="I303" s="4" t="e">
        <f>E303*VLOOKUP(B303,alimentos_master!$A:$O,15,FALSE())/100</f>
        <v>#N/A</v>
      </c>
      <c r="J303" s="4" t="e">
        <f>E303*VLOOKUP(B303,alimentos_master!$A:$R,18,FALSE())/100</f>
        <v>#N/A</v>
      </c>
    </row>
    <row r="304" spans="1:10" ht="15" customHeight="1" x14ac:dyDescent="0.2">
      <c r="A304" s="4">
        <v>303</v>
      </c>
      <c r="B304" s="4">
        <v>76</v>
      </c>
      <c r="C304" s="4" t="s">
        <v>158</v>
      </c>
      <c r="D304" s="4" t="s">
        <v>919</v>
      </c>
      <c r="E304" s="4">
        <v>150</v>
      </c>
      <c r="F304" s="4" t="s">
        <v>917</v>
      </c>
      <c r="G304" s="4" t="e">
        <f>E304*VLOOKUP(B304,alimentos_master!$A:$M,13,FALSE())/100</f>
        <v>#N/A</v>
      </c>
      <c r="H304" s="4" t="e">
        <f>E304*VLOOKUP(B304,alimentos_master!$A:$N,14,FALSE())/100</f>
        <v>#N/A</v>
      </c>
      <c r="I304" s="4" t="e">
        <f>E304*VLOOKUP(B304,alimentos_master!$A:$O,15,FALSE())/100</f>
        <v>#N/A</v>
      </c>
      <c r="J304" s="4" t="e">
        <f>E304*VLOOKUP(B304,alimentos_master!$A:$R,18,FALSE())/100</f>
        <v>#N/A</v>
      </c>
    </row>
    <row r="305" spans="1:10" ht="15" customHeight="1" x14ac:dyDescent="0.2">
      <c r="A305" s="4">
        <v>304</v>
      </c>
      <c r="B305" s="4">
        <v>76</v>
      </c>
      <c r="C305" s="4" t="s">
        <v>158</v>
      </c>
      <c r="D305" s="4" t="s">
        <v>920</v>
      </c>
      <c r="E305" s="4">
        <v>200</v>
      </c>
      <c r="F305" s="4" t="s">
        <v>917</v>
      </c>
      <c r="G305" s="4" t="e">
        <f>E305*VLOOKUP(B305,alimentos_master!$A:$M,13,FALSE())/100</f>
        <v>#N/A</v>
      </c>
      <c r="H305" s="4" t="e">
        <f>E305*VLOOKUP(B305,alimentos_master!$A:$N,14,FALSE())/100</f>
        <v>#N/A</v>
      </c>
      <c r="I305" s="4" t="e">
        <f>E305*VLOOKUP(B305,alimentos_master!$A:$O,15,FALSE())/100</f>
        <v>#N/A</v>
      </c>
      <c r="J305" s="4" t="e">
        <f>E305*VLOOKUP(B305,alimentos_master!$A:$R,18,FALSE())/100</f>
        <v>#N/A</v>
      </c>
    </row>
    <row r="306" spans="1:10" ht="15" customHeight="1" x14ac:dyDescent="0.2">
      <c r="A306" s="4">
        <v>305</v>
      </c>
      <c r="B306" s="4">
        <v>77</v>
      </c>
      <c r="C306" s="4" t="s">
        <v>159</v>
      </c>
      <c r="D306" s="4" t="s">
        <v>916</v>
      </c>
      <c r="E306" s="4">
        <v>75</v>
      </c>
      <c r="F306" s="4" t="s">
        <v>917</v>
      </c>
      <c r="G306" s="4" t="e">
        <f>E306*VLOOKUP(B306,alimentos_master!$A:$M,13,FALSE())/100</f>
        <v>#N/A</v>
      </c>
      <c r="H306" s="4" t="e">
        <f>E306*VLOOKUP(B306,alimentos_master!$A:$N,14,FALSE())/100</f>
        <v>#N/A</v>
      </c>
      <c r="I306" s="4" t="e">
        <f>E306*VLOOKUP(B306,alimentos_master!$A:$O,15,FALSE())/100</f>
        <v>#N/A</v>
      </c>
      <c r="J306" s="4" t="e">
        <f>E306*VLOOKUP(B306,alimentos_master!$A:$R,18,FALSE())/100</f>
        <v>#N/A</v>
      </c>
    </row>
    <row r="307" spans="1:10" ht="15" customHeight="1" x14ac:dyDescent="0.2">
      <c r="A307" s="4">
        <v>306</v>
      </c>
      <c r="B307" s="4">
        <v>77</v>
      </c>
      <c r="C307" s="4" t="s">
        <v>159</v>
      </c>
      <c r="D307" s="4" t="s">
        <v>918</v>
      </c>
      <c r="E307" s="4">
        <v>100</v>
      </c>
      <c r="F307" s="4" t="s">
        <v>917</v>
      </c>
      <c r="G307" s="4" t="e">
        <f>E307*VLOOKUP(B307,alimentos_master!$A:$M,13,FALSE())/100</f>
        <v>#N/A</v>
      </c>
      <c r="H307" s="4" t="e">
        <f>E307*VLOOKUP(B307,alimentos_master!$A:$N,14,FALSE())/100</f>
        <v>#N/A</v>
      </c>
      <c r="I307" s="4" t="e">
        <f>E307*VLOOKUP(B307,alimentos_master!$A:$O,15,FALSE())/100</f>
        <v>#N/A</v>
      </c>
      <c r="J307" s="4" t="e">
        <f>E307*VLOOKUP(B307,alimentos_master!$A:$R,18,FALSE())/100</f>
        <v>#N/A</v>
      </c>
    </row>
    <row r="308" spans="1:10" ht="15" customHeight="1" x14ac:dyDescent="0.2">
      <c r="A308" s="4">
        <v>307</v>
      </c>
      <c r="B308" s="4">
        <v>77</v>
      </c>
      <c r="C308" s="4" t="s">
        <v>159</v>
      </c>
      <c r="D308" s="4" t="s">
        <v>919</v>
      </c>
      <c r="E308" s="4">
        <v>150</v>
      </c>
      <c r="F308" s="4" t="s">
        <v>917</v>
      </c>
      <c r="G308" s="4" t="e">
        <f>E308*VLOOKUP(B308,alimentos_master!$A:$M,13,FALSE())/100</f>
        <v>#N/A</v>
      </c>
      <c r="H308" s="4" t="e">
        <f>E308*VLOOKUP(B308,alimentos_master!$A:$N,14,FALSE())/100</f>
        <v>#N/A</v>
      </c>
      <c r="I308" s="4" t="e">
        <f>E308*VLOOKUP(B308,alimentos_master!$A:$O,15,FALSE())/100</f>
        <v>#N/A</v>
      </c>
      <c r="J308" s="4" t="e">
        <f>E308*VLOOKUP(B308,alimentos_master!$A:$R,18,FALSE())/100</f>
        <v>#N/A</v>
      </c>
    </row>
    <row r="309" spans="1:10" ht="15" customHeight="1" x14ac:dyDescent="0.2">
      <c r="A309" s="4">
        <v>308</v>
      </c>
      <c r="B309" s="4">
        <v>77</v>
      </c>
      <c r="C309" s="4" t="s">
        <v>159</v>
      </c>
      <c r="D309" s="4" t="s">
        <v>920</v>
      </c>
      <c r="E309" s="4">
        <v>200</v>
      </c>
      <c r="F309" s="4" t="s">
        <v>917</v>
      </c>
      <c r="G309" s="4" t="e">
        <f>E309*VLOOKUP(B309,alimentos_master!$A:$M,13,FALSE())/100</f>
        <v>#N/A</v>
      </c>
      <c r="H309" s="4" t="e">
        <f>E309*VLOOKUP(B309,alimentos_master!$A:$N,14,FALSE())/100</f>
        <v>#N/A</v>
      </c>
      <c r="I309" s="4" t="e">
        <f>E309*VLOOKUP(B309,alimentos_master!$A:$O,15,FALSE())/100</f>
        <v>#N/A</v>
      </c>
      <c r="J309" s="4" t="e">
        <f>E309*VLOOKUP(B309,alimentos_master!$A:$R,18,FALSE())/100</f>
        <v>#N/A</v>
      </c>
    </row>
    <row r="310" spans="1:10" ht="15" customHeight="1" x14ac:dyDescent="0.2">
      <c r="A310" s="4">
        <v>309</v>
      </c>
      <c r="B310" s="4">
        <v>78</v>
      </c>
      <c r="C310" s="4" t="s">
        <v>160</v>
      </c>
      <c r="D310" s="4" t="s">
        <v>916</v>
      </c>
      <c r="E310" s="4">
        <v>75</v>
      </c>
      <c r="F310" s="4" t="s">
        <v>917</v>
      </c>
      <c r="G310" s="4" t="e">
        <f>E310*VLOOKUP(B310,alimentos_master!$A:$M,13,FALSE())/100</f>
        <v>#N/A</v>
      </c>
      <c r="H310" s="4" t="e">
        <f>E310*VLOOKUP(B310,alimentos_master!$A:$N,14,FALSE())/100</f>
        <v>#N/A</v>
      </c>
      <c r="I310" s="4" t="e">
        <f>E310*VLOOKUP(B310,alimentos_master!$A:$O,15,FALSE())/100</f>
        <v>#N/A</v>
      </c>
      <c r="J310" s="4" t="e">
        <f>E310*VLOOKUP(B310,alimentos_master!$A:$R,18,FALSE())/100</f>
        <v>#N/A</v>
      </c>
    </row>
    <row r="311" spans="1:10" ht="15" customHeight="1" x14ac:dyDescent="0.2">
      <c r="A311" s="4">
        <v>310</v>
      </c>
      <c r="B311" s="4">
        <v>78</v>
      </c>
      <c r="C311" s="4" t="s">
        <v>160</v>
      </c>
      <c r="D311" s="4" t="s">
        <v>918</v>
      </c>
      <c r="E311" s="4">
        <v>100</v>
      </c>
      <c r="F311" s="4" t="s">
        <v>917</v>
      </c>
      <c r="G311" s="4" t="e">
        <f>E311*VLOOKUP(B311,alimentos_master!$A:$M,13,FALSE())/100</f>
        <v>#N/A</v>
      </c>
      <c r="H311" s="4" t="e">
        <f>E311*VLOOKUP(B311,alimentos_master!$A:$N,14,FALSE())/100</f>
        <v>#N/A</v>
      </c>
      <c r="I311" s="4" t="e">
        <f>E311*VLOOKUP(B311,alimentos_master!$A:$O,15,FALSE())/100</f>
        <v>#N/A</v>
      </c>
      <c r="J311" s="4" t="e">
        <f>E311*VLOOKUP(B311,alimentos_master!$A:$R,18,FALSE())/100</f>
        <v>#N/A</v>
      </c>
    </row>
    <row r="312" spans="1:10" ht="15" customHeight="1" x14ac:dyDescent="0.2">
      <c r="A312" s="4">
        <v>311</v>
      </c>
      <c r="B312" s="4">
        <v>78</v>
      </c>
      <c r="C312" s="4" t="s">
        <v>160</v>
      </c>
      <c r="D312" s="4" t="s">
        <v>919</v>
      </c>
      <c r="E312" s="4">
        <v>150</v>
      </c>
      <c r="F312" s="4" t="s">
        <v>917</v>
      </c>
      <c r="G312" s="4" t="e">
        <f>E312*VLOOKUP(B312,alimentos_master!$A:$M,13,FALSE())/100</f>
        <v>#N/A</v>
      </c>
      <c r="H312" s="4" t="e">
        <f>E312*VLOOKUP(B312,alimentos_master!$A:$N,14,FALSE())/100</f>
        <v>#N/A</v>
      </c>
      <c r="I312" s="4" t="e">
        <f>E312*VLOOKUP(B312,alimentos_master!$A:$O,15,FALSE())/100</f>
        <v>#N/A</v>
      </c>
      <c r="J312" s="4" t="e">
        <f>E312*VLOOKUP(B312,alimentos_master!$A:$R,18,FALSE())/100</f>
        <v>#N/A</v>
      </c>
    </row>
    <row r="313" spans="1:10" ht="15" customHeight="1" x14ac:dyDescent="0.2">
      <c r="A313" s="4">
        <v>312</v>
      </c>
      <c r="B313" s="4">
        <v>78</v>
      </c>
      <c r="C313" s="4" t="s">
        <v>160</v>
      </c>
      <c r="D313" s="4" t="s">
        <v>920</v>
      </c>
      <c r="E313" s="4">
        <v>200</v>
      </c>
      <c r="F313" s="4" t="s">
        <v>917</v>
      </c>
      <c r="G313" s="4" t="e">
        <f>E313*VLOOKUP(B313,alimentos_master!$A:$M,13,FALSE())/100</f>
        <v>#N/A</v>
      </c>
      <c r="H313" s="4" t="e">
        <f>E313*VLOOKUP(B313,alimentos_master!$A:$N,14,FALSE())/100</f>
        <v>#N/A</v>
      </c>
      <c r="I313" s="4" t="e">
        <f>E313*VLOOKUP(B313,alimentos_master!$A:$O,15,FALSE())/100</f>
        <v>#N/A</v>
      </c>
      <c r="J313" s="4" t="e">
        <f>E313*VLOOKUP(B313,alimentos_master!$A:$R,18,FALSE())/100</f>
        <v>#N/A</v>
      </c>
    </row>
    <row r="314" spans="1:10" ht="15" customHeight="1" x14ac:dyDescent="0.2">
      <c r="A314" s="4">
        <v>313</v>
      </c>
      <c r="B314" s="4">
        <v>79</v>
      </c>
      <c r="C314" s="4" t="s">
        <v>161</v>
      </c>
      <c r="D314" s="4" t="s">
        <v>916</v>
      </c>
      <c r="E314" s="4">
        <v>75</v>
      </c>
      <c r="F314" s="4" t="s">
        <v>917</v>
      </c>
      <c r="G314" s="4" t="e">
        <f>E314*VLOOKUP(B314,alimentos_master!$A:$M,13,FALSE())/100</f>
        <v>#N/A</v>
      </c>
      <c r="H314" s="4" t="e">
        <f>E314*VLOOKUP(B314,alimentos_master!$A:$N,14,FALSE())/100</f>
        <v>#N/A</v>
      </c>
      <c r="I314" s="4" t="e">
        <f>E314*VLOOKUP(B314,alimentos_master!$A:$O,15,FALSE())/100</f>
        <v>#N/A</v>
      </c>
      <c r="J314" s="4" t="e">
        <f>E314*VLOOKUP(B314,alimentos_master!$A:$R,18,FALSE())/100</f>
        <v>#N/A</v>
      </c>
    </row>
    <row r="315" spans="1:10" ht="15" customHeight="1" x14ac:dyDescent="0.2">
      <c r="A315" s="4">
        <v>314</v>
      </c>
      <c r="B315" s="4">
        <v>79</v>
      </c>
      <c r="C315" s="4" t="s">
        <v>161</v>
      </c>
      <c r="D315" s="4" t="s">
        <v>918</v>
      </c>
      <c r="E315" s="4">
        <v>100</v>
      </c>
      <c r="F315" s="4" t="s">
        <v>917</v>
      </c>
      <c r="G315" s="4" t="e">
        <f>E315*VLOOKUP(B315,alimentos_master!$A:$M,13,FALSE())/100</f>
        <v>#N/A</v>
      </c>
      <c r="H315" s="4" t="e">
        <f>E315*VLOOKUP(B315,alimentos_master!$A:$N,14,FALSE())/100</f>
        <v>#N/A</v>
      </c>
      <c r="I315" s="4" t="e">
        <f>E315*VLOOKUP(B315,alimentos_master!$A:$O,15,FALSE())/100</f>
        <v>#N/A</v>
      </c>
      <c r="J315" s="4" t="e">
        <f>E315*VLOOKUP(B315,alimentos_master!$A:$R,18,FALSE())/100</f>
        <v>#N/A</v>
      </c>
    </row>
    <row r="316" spans="1:10" ht="15" customHeight="1" x14ac:dyDescent="0.2">
      <c r="A316" s="4">
        <v>315</v>
      </c>
      <c r="B316" s="4">
        <v>79</v>
      </c>
      <c r="C316" s="4" t="s">
        <v>161</v>
      </c>
      <c r="D316" s="4" t="s">
        <v>919</v>
      </c>
      <c r="E316" s="4">
        <v>150</v>
      </c>
      <c r="F316" s="4" t="s">
        <v>917</v>
      </c>
      <c r="G316" s="4" t="e">
        <f>E316*VLOOKUP(B316,alimentos_master!$A:$M,13,FALSE())/100</f>
        <v>#N/A</v>
      </c>
      <c r="H316" s="4" t="e">
        <f>E316*VLOOKUP(B316,alimentos_master!$A:$N,14,FALSE())/100</f>
        <v>#N/A</v>
      </c>
      <c r="I316" s="4" t="e">
        <f>E316*VLOOKUP(B316,alimentos_master!$A:$O,15,FALSE())/100</f>
        <v>#N/A</v>
      </c>
      <c r="J316" s="4" t="e">
        <f>E316*VLOOKUP(B316,alimentos_master!$A:$R,18,FALSE())/100</f>
        <v>#N/A</v>
      </c>
    </row>
    <row r="317" spans="1:10" ht="15" customHeight="1" x14ac:dyDescent="0.2">
      <c r="A317" s="4">
        <v>316</v>
      </c>
      <c r="B317" s="4">
        <v>79</v>
      </c>
      <c r="C317" s="4" t="s">
        <v>161</v>
      </c>
      <c r="D317" s="4" t="s">
        <v>920</v>
      </c>
      <c r="E317" s="4">
        <v>200</v>
      </c>
      <c r="F317" s="4" t="s">
        <v>917</v>
      </c>
      <c r="G317" s="4" t="e">
        <f>E317*VLOOKUP(B317,alimentos_master!$A:$M,13,FALSE())/100</f>
        <v>#N/A</v>
      </c>
      <c r="H317" s="4" t="e">
        <f>E317*VLOOKUP(B317,alimentos_master!$A:$N,14,FALSE())/100</f>
        <v>#N/A</v>
      </c>
      <c r="I317" s="4" t="e">
        <f>E317*VLOOKUP(B317,alimentos_master!$A:$O,15,FALSE())/100</f>
        <v>#N/A</v>
      </c>
      <c r="J317" s="4" t="e">
        <f>E317*VLOOKUP(B317,alimentos_master!$A:$R,18,FALSE())/100</f>
        <v>#N/A</v>
      </c>
    </row>
    <row r="318" spans="1:10" ht="15" customHeight="1" x14ac:dyDescent="0.2">
      <c r="A318" s="4">
        <v>317</v>
      </c>
      <c r="B318" s="4">
        <v>80</v>
      </c>
      <c r="C318" s="4" t="s">
        <v>162</v>
      </c>
      <c r="D318" s="4" t="s">
        <v>916</v>
      </c>
      <c r="E318" s="4">
        <v>75</v>
      </c>
      <c r="F318" s="4" t="s">
        <v>917</v>
      </c>
      <c r="G318" s="4" t="e">
        <f>E318*VLOOKUP(B318,alimentos_master!$A:$M,13,FALSE())/100</f>
        <v>#N/A</v>
      </c>
      <c r="H318" s="4" t="e">
        <f>E318*VLOOKUP(B318,alimentos_master!$A:$N,14,FALSE())/100</f>
        <v>#N/A</v>
      </c>
      <c r="I318" s="4" t="e">
        <f>E318*VLOOKUP(B318,alimentos_master!$A:$O,15,FALSE())/100</f>
        <v>#N/A</v>
      </c>
      <c r="J318" s="4" t="e">
        <f>E318*VLOOKUP(B318,alimentos_master!$A:$R,18,FALSE())/100</f>
        <v>#N/A</v>
      </c>
    </row>
    <row r="319" spans="1:10" ht="15" customHeight="1" x14ac:dyDescent="0.2">
      <c r="A319" s="4">
        <v>318</v>
      </c>
      <c r="B319" s="4">
        <v>80</v>
      </c>
      <c r="C319" s="4" t="s">
        <v>162</v>
      </c>
      <c r="D319" s="4" t="s">
        <v>918</v>
      </c>
      <c r="E319" s="4">
        <v>100</v>
      </c>
      <c r="F319" s="4" t="s">
        <v>917</v>
      </c>
      <c r="G319" s="4" t="e">
        <f>E319*VLOOKUP(B319,alimentos_master!$A:$M,13,FALSE())/100</f>
        <v>#N/A</v>
      </c>
      <c r="H319" s="4" t="e">
        <f>E319*VLOOKUP(B319,alimentos_master!$A:$N,14,FALSE())/100</f>
        <v>#N/A</v>
      </c>
      <c r="I319" s="4" t="e">
        <f>E319*VLOOKUP(B319,alimentos_master!$A:$O,15,FALSE())/100</f>
        <v>#N/A</v>
      </c>
      <c r="J319" s="4" t="e">
        <f>E319*VLOOKUP(B319,alimentos_master!$A:$R,18,FALSE())/100</f>
        <v>#N/A</v>
      </c>
    </row>
    <row r="320" spans="1:10" ht="15" customHeight="1" x14ac:dyDescent="0.2">
      <c r="A320" s="4">
        <v>319</v>
      </c>
      <c r="B320" s="4">
        <v>80</v>
      </c>
      <c r="C320" s="4" t="s">
        <v>162</v>
      </c>
      <c r="D320" s="4" t="s">
        <v>919</v>
      </c>
      <c r="E320" s="4">
        <v>150</v>
      </c>
      <c r="F320" s="4" t="s">
        <v>917</v>
      </c>
      <c r="G320" s="4" t="e">
        <f>E320*VLOOKUP(B320,alimentos_master!$A:$M,13,FALSE())/100</f>
        <v>#N/A</v>
      </c>
      <c r="H320" s="4" t="e">
        <f>E320*VLOOKUP(B320,alimentos_master!$A:$N,14,FALSE())/100</f>
        <v>#N/A</v>
      </c>
      <c r="I320" s="4" t="e">
        <f>E320*VLOOKUP(B320,alimentos_master!$A:$O,15,FALSE())/100</f>
        <v>#N/A</v>
      </c>
      <c r="J320" s="4" t="e">
        <f>E320*VLOOKUP(B320,alimentos_master!$A:$R,18,FALSE())/100</f>
        <v>#N/A</v>
      </c>
    </row>
    <row r="321" spans="1:10" ht="15" customHeight="1" x14ac:dyDescent="0.2">
      <c r="A321" s="4">
        <v>320</v>
      </c>
      <c r="B321" s="4">
        <v>80</v>
      </c>
      <c r="C321" s="4" t="s">
        <v>162</v>
      </c>
      <c r="D321" s="4" t="s">
        <v>920</v>
      </c>
      <c r="E321" s="4">
        <v>200</v>
      </c>
      <c r="F321" s="4" t="s">
        <v>917</v>
      </c>
      <c r="G321" s="4" t="e">
        <f>E321*VLOOKUP(B321,alimentos_master!$A:$M,13,FALSE())/100</f>
        <v>#N/A</v>
      </c>
      <c r="H321" s="4" t="e">
        <f>E321*VLOOKUP(B321,alimentos_master!$A:$N,14,FALSE())/100</f>
        <v>#N/A</v>
      </c>
      <c r="I321" s="4" t="e">
        <f>E321*VLOOKUP(B321,alimentos_master!$A:$O,15,FALSE())/100</f>
        <v>#N/A</v>
      </c>
      <c r="J321" s="4" t="e">
        <f>E321*VLOOKUP(B321,alimentos_master!$A:$R,18,FALSE())/100</f>
        <v>#N/A</v>
      </c>
    </row>
    <row r="322" spans="1:10" ht="15" customHeight="1" x14ac:dyDescent="0.2">
      <c r="A322" s="4">
        <v>321</v>
      </c>
      <c r="B322" s="4">
        <v>81</v>
      </c>
      <c r="C322" s="4" t="s">
        <v>163</v>
      </c>
      <c r="D322" s="4" t="s">
        <v>916</v>
      </c>
      <c r="E322" s="4">
        <v>75</v>
      </c>
      <c r="F322" s="4" t="s">
        <v>917</v>
      </c>
      <c r="G322" s="4" t="e">
        <f>E322*VLOOKUP(B322,alimentos_master!$A:$M,13,FALSE())/100</f>
        <v>#N/A</v>
      </c>
      <c r="H322" s="4" t="e">
        <f>E322*VLOOKUP(B322,alimentos_master!$A:$N,14,FALSE())/100</f>
        <v>#N/A</v>
      </c>
      <c r="I322" s="4" t="e">
        <f>E322*VLOOKUP(B322,alimentos_master!$A:$O,15,FALSE())/100</f>
        <v>#N/A</v>
      </c>
      <c r="J322" s="4" t="e">
        <f>E322*VLOOKUP(B322,alimentos_master!$A:$R,18,FALSE())/100</f>
        <v>#N/A</v>
      </c>
    </row>
    <row r="323" spans="1:10" ht="15" customHeight="1" x14ac:dyDescent="0.2">
      <c r="A323" s="4">
        <v>322</v>
      </c>
      <c r="B323" s="4">
        <v>81</v>
      </c>
      <c r="C323" s="4" t="s">
        <v>163</v>
      </c>
      <c r="D323" s="4" t="s">
        <v>918</v>
      </c>
      <c r="E323" s="4">
        <v>100</v>
      </c>
      <c r="F323" s="4" t="s">
        <v>917</v>
      </c>
      <c r="G323" s="4" t="e">
        <f>E323*VLOOKUP(B323,alimentos_master!$A:$M,13,FALSE())/100</f>
        <v>#N/A</v>
      </c>
      <c r="H323" s="4" t="e">
        <f>E323*VLOOKUP(B323,alimentos_master!$A:$N,14,FALSE())/100</f>
        <v>#N/A</v>
      </c>
      <c r="I323" s="4" t="e">
        <f>E323*VLOOKUP(B323,alimentos_master!$A:$O,15,FALSE())/100</f>
        <v>#N/A</v>
      </c>
      <c r="J323" s="4" t="e">
        <f>E323*VLOOKUP(B323,alimentos_master!$A:$R,18,FALSE())/100</f>
        <v>#N/A</v>
      </c>
    </row>
    <row r="324" spans="1:10" ht="15" customHeight="1" x14ac:dyDescent="0.2">
      <c r="A324" s="4">
        <v>323</v>
      </c>
      <c r="B324" s="4">
        <v>81</v>
      </c>
      <c r="C324" s="4" t="s">
        <v>163</v>
      </c>
      <c r="D324" s="4" t="s">
        <v>919</v>
      </c>
      <c r="E324" s="4">
        <v>150</v>
      </c>
      <c r="F324" s="4" t="s">
        <v>917</v>
      </c>
      <c r="G324" s="4" t="e">
        <f>E324*VLOOKUP(B324,alimentos_master!$A:$M,13,FALSE())/100</f>
        <v>#N/A</v>
      </c>
      <c r="H324" s="4" t="e">
        <f>E324*VLOOKUP(B324,alimentos_master!$A:$N,14,FALSE())/100</f>
        <v>#N/A</v>
      </c>
      <c r="I324" s="4" t="e">
        <f>E324*VLOOKUP(B324,alimentos_master!$A:$O,15,FALSE())/100</f>
        <v>#N/A</v>
      </c>
      <c r="J324" s="4" t="e">
        <f>E324*VLOOKUP(B324,alimentos_master!$A:$R,18,FALSE())/100</f>
        <v>#N/A</v>
      </c>
    </row>
    <row r="325" spans="1:10" ht="15" customHeight="1" x14ac:dyDescent="0.2">
      <c r="A325" s="4">
        <v>324</v>
      </c>
      <c r="B325" s="4">
        <v>81</v>
      </c>
      <c r="C325" s="4" t="s">
        <v>163</v>
      </c>
      <c r="D325" s="4" t="s">
        <v>920</v>
      </c>
      <c r="E325" s="4">
        <v>200</v>
      </c>
      <c r="F325" s="4" t="s">
        <v>917</v>
      </c>
      <c r="G325" s="4" t="e">
        <f>E325*VLOOKUP(B325,alimentos_master!$A:$M,13,FALSE())/100</f>
        <v>#N/A</v>
      </c>
      <c r="H325" s="4" t="e">
        <f>E325*VLOOKUP(B325,alimentos_master!$A:$N,14,FALSE())/100</f>
        <v>#N/A</v>
      </c>
      <c r="I325" s="4" t="e">
        <f>E325*VLOOKUP(B325,alimentos_master!$A:$O,15,FALSE())/100</f>
        <v>#N/A</v>
      </c>
      <c r="J325" s="4" t="e">
        <f>E325*VLOOKUP(B325,alimentos_master!$A:$R,18,FALSE())/100</f>
        <v>#N/A</v>
      </c>
    </row>
    <row r="326" spans="1:10" ht="15" customHeight="1" x14ac:dyDescent="0.2">
      <c r="A326" s="4">
        <v>325</v>
      </c>
      <c r="B326" s="4">
        <v>82</v>
      </c>
      <c r="C326" s="4" t="s">
        <v>164</v>
      </c>
      <c r="D326" s="4" t="s">
        <v>916</v>
      </c>
      <c r="E326" s="4">
        <v>75</v>
      </c>
      <c r="F326" s="4" t="s">
        <v>917</v>
      </c>
      <c r="G326" s="4">
        <f>E326*VLOOKUP(B326,alimentos_master!$A:$M,13,FALSE())/100</f>
        <v>256.5</v>
      </c>
      <c r="H326" s="4">
        <f>E326*VLOOKUP(B326,alimentos_master!$A:$N,14,FALSE())/100</f>
        <v>9.2249999999999996</v>
      </c>
      <c r="I326" s="4">
        <f>E326*VLOOKUP(B326,alimentos_master!$A:$O,15,FALSE())/100</f>
        <v>56.924999999999997</v>
      </c>
      <c r="J326" s="4">
        <f>E326*VLOOKUP(B326,alimentos_master!$A:$R,18,FALSE())/100</f>
        <v>0.97499999999999998</v>
      </c>
    </row>
    <row r="327" spans="1:10" ht="15" customHeight="1" x14ac:dyDescent="0.2">
      <c r="A327" s="4">
        <v>326</v>
      </c>
      <c r="B327" s="4">
        <v>82</v>
      </c>
      <c r="C327" s="4" t="s">
        <v>164</v>
      </c>
      <c r="D327" s="4" t="s">
        <v>918</v>
      </c>
      <c r="E327" s="4">
        <v>100</v>
      </c>
      <c r="F327" s="4" t="s">
        <v>917</v>
      </c>
      <c r="G327" s="4">
        <f>E327*VLOOKUP(B327,alimentos_master!$A:$M,13,FALSE())/100</f>
        <v>342</v>
      </c>
      <c r="H327" s="4">
        <f>E327*VLOOKUP(B327,alimentos_master!$A:$N,14,FALSE())/100</f>
        <v>12.3</v>
      </c>
      <c r="I327" s="4">
        <f>E327*VLOOKUP(B327,alimentos_master!$A:$O,15,FALSE())/100</f>
        <v>75.900000000000006</v>
      </c>
      <c r="J327" s="4">
        <f>E327*VLOOKUP(B327,alimentos_master!$A:$R,18,FALSE())/100</f>
        <v>1.3</v>
      </c>
    </row>
    <row r="328" spans="1:10" ht="15" customHeight="1" x14ac:dyDescent="0.2">
      <c r="A328" s="4">
        <v>327</v>
      </c>
      <c r="B328" s="4">
        <v>82</v>
      </c>
      <c r="C328" s="4" t="s">
        <v>164</v>
      </c>
      <c r="D328" s="4" t="s">
        <v>919</v>
      </c>
      <c r="E328" s="4">
        <v>150</v>
      </c>
      <c r="F328" s="4" t="s">
        <v>917</v>
      </c>
      <c r="G328" s="4">
        <f>E328*VLOOKUP(B328,alimentos_master!$A:$M,13,FALSE())/100</f>
        <v>513</v>
      </c>
      <c r="H328" s="4">
        <f>E328*VLOOKUP(B328,alimentos_master!$A:$N,14,FALSE())/100</f>
        <v>18.45</v>
      </c>
      <c r="I328" s="4">
        <f>E328*VLOOKUP(B328,alimentos_master!$A:$O,15,FALSE())/100</f>
        <v>113.85</v>
      </c>
      <c r="J328" s="4">
        <f>E328*VLOOKUP(B328,alimentos_master!$A:$R,18,FALSE())/100</f>
        <v>1.95</v>
      </c>
    </row>
    <row r="329" spans="1:10" ht="15" customHeight="1" x14ac:dyDescent="0.2">
      <c r="A329" s="4">
        <v>328</v>
      </c>
      <c r="B329" s="4">
        <v>82</v>
      </c>
      <c r="C329" s="4" t="s">
        <v>164</v>
      </c>
      <c r="D329" s="4" t="s">
        <v>920</v>
      </c>
      <c r="E329" s="4">
        <v>200</v>
      </c>
      <c r="F329" s="4" t="s">
        <v>917</v>
      </c>
      <c r="G329" s="4">
        <f>E329*VLOOKUP(B329,alimentos_master!$A:$M,13,FALSE())/100</f>
        <v>684</v>
      </c>
      <c r="H329" s="4">
        <f>E329*VLOOKUP(B329,alimentos_master!$A:$N,14,FALSE())/100</f>
        <v>24.6</v>
      </c>
      <c r="I329" s="4">
        <f>E329*VLOOKUP(B329,alimentos_master!$A:$O,15,FALSE())/100</f>
        <v>151.80000000000001</v>
      </c>
      <c r="J329" s="4">
        <f>E329*VLOOKUP(B329,alimentos_master!$A:$R,18,FALSE())/100</f>
        <v>2.6</v>
      </c>
    </row>
    <row r="330" spans="1:10" ht="15" customHeight="1" x14ac:dyDescent="0.2">
      <c r="A330" s="4">
        <v>329</v>
      </c>
      <c r="B330" s="4">
        <v>83</v>
      </c>
      <c r="C330" s="4" t="s">
        <v>165</v>
      </c>
      <c r="D330" s="4" t="s">
        <v>916</v>
      </c>
      <c r="E330" s="4">
        <v>75</v>
      </c>
      <c r="F330" s="4" t="s">
        <v>917</v>
      </c>
      <c r="G330" s="4" t="e">
        <f>E330*VLOOKUP(B330,alimentos_master!$A:$M,13,FALSE())/100</f>
        <v>#N/A</v>
      </c>
      <c r="H330" s="4" t="e">
        <f>E330*VLOOKUP(B330,alimentos_master!$A:$N,14,FALSE())/100</f>
        <v>#N/A</v>
      </c>
      <c r="I330" s="4" t="e">
        <f>E330*VLOOKUP(B330,alimentos_master!$A:$O,15,FALSE())/100</f>
        <v>#N/A</v>
      </c>
      <c r="J330" s="4" t="e">
        <f>E330*VLOOKUP(B330,alimentos_master!$A:$R,18,FALSE())/100</f>
        <v>#N/A</v>
      </c>
    </row>
    <row r="331" spans="1:10" ht="15" customHeight="1" x14ac:dyDescent="0.2">
      <c r="A331" s="4">
        <v>330</v>
      </c>
      <c r="B331" s="4">
        <v>83</v>
      </c>
      <c r="C331" s="4" t="s">
        <v>165</v>
      </c>
      <c r="D331" s="4" t="s">
        <v>918</v>
      </c>
      <c r="E331" s="4">
        <v>100</v>
      </c>
      <c r="F331" s="4" t="s">
        <v>917</v>
      </c>
      <c r="G331" s="4" t="e">
        <f>E331*VLOOKUP(B331,alimentos_master!$A:$M,13,FALSE())/100</f>
        <v>#N/A</v>
      </c>
      <c r="H331" s="4" t="e">
        <f>E331*VLOOKUP(B331,alimentos_master!$A:$N,14,FALSE())/100</f>
        <v>#N/A</v>
      </c>
      <c r="I331" s="4" t="e">
        <f>E331*VLOOKUP(B331,alimentos_master!$A:$O,15,FALSE())/100</f>
        <v>#N/A</v>
      </c>
      <c r="J331" s="4" t="e">
        <f>E331*VLOOKUP(B331,alimentos_master!$A:$R,18,FALSE())/100</f>
        <v>#N/A</v>
      </c>
    </row>
    <row r="332" spans="1:10" ht="15" customHeight="1" x14ac:dyDescent="0.2">
      <c r="A332" s="4">
        <v>331</v>
      </c>
      <c r="B332" s="4">
        <v>83</v>
      </c>
      <c r="C332" s="4" t="s">
        <v>165</v>
      </c>
      <c r="D332" s="4" t="s">
        <v>919</v>
      </c>
      <c r="E332" s="4">
        <v>150</v>
      </c>
      <c r="F332" s="4" t="s">
        <v>917</v>
      </c>
      <c r="G332" s="4" t="e">
        <f>E332*VLOOKUP(B332,alimentos_master!$A:$M,13,FALSE())/100</f>
        <v>#N/A</v>
      </c>
      <c r="H332" s="4" t="e">
        <f>E332*VLOOKUP(B332,alimentos_master!$A:$N,14,FALSE())/100</f>
        <v>#N/A</v>
      </c>
      <c r="I332" s="4" t="e">
        <f>E332*VLOOKUP(B332,alimentos_master!$A:$O,15,FALSE())/100</f>
        <v>#N/A</v>
      </c>
      <c r="J332" s="4" t="e">
        <f>E332*VLOOKUP(B332,alimentos_master!$A:$R,18,FALSE())/100</f>
        <v>#N/A</v>
      </c>
    </row>
    <row r="333" spans="1:10" ht="15" customHeight="1" x14ac:dyDescent="0.2">
      <c r="A333" s="4">
        <v>332</v>
      </c>
      <c r="B333" s="4">
        <v>83</v>
      </c>
      <c r="C333" s="4" t="s">
        <v>165</v>
      </c>
      <c r="D333" s="4" t="s">
        <v>920</v>
      </c>
      <c r="E333" s="4">
        <v>200</v>
      </c>
      <c r="F333" s="4" t="s">
        <v>917</v>
      </c>
      <c r="G333" s="4" t="e">
        <f>E333*VLOOKUP(B333,alimentos_master!$A:$M,13,FALSE())/100</f>
        <v>#N/A</v>
      </c>
      <c r="H333" s="4" t="e">
        <f>E333*VLOOKUP(B333,alimentos_master!$A:$N,14,FALSE())/100</f>
        <v>#N/A</v>
      </c>
      <c r="I333" s="4" t="e">
        <f>E333*VLOOKUP(B333,alimentos_master!$A:$O,15,FALSE())/100</f>
        <v>#N/A</v>
      </c>
      <c r="J333" s="4" t="e">
        <f>E333*VLOOKUP(B333,alimentos_master!$A:$R,18,FALSE())/100</f>
        <v>#N/A</v>
      </c>
    </row>
    <row r="334" spans="1:10" ht="15" customHeight="1" x14ac:dyDescent="0.2">
      <c r="A334" s="4">
        <v>333</v>
      </c>
      <c r="B334" s="4">
        <v>84</v>
      </c>
      <c r="C334" s="4" t="s">
        <v>166</v>
      </c>
      <c r="D334" s="4" t="s">
        <v>916</v>
      </c>
      <c r="E334" s="4">
        <v>75</v>
      </c>
      <c r="F334" s="4" t="s">
        <v>917</v>
      </c>
      <c r="G334" s="4" t="e">
        <f>E334*VLOOKUP(B334,alimentos_master!$A:$M,13,FALSE())/100</f>
        <v>#N/A</v>
      </c>
      <c r="H334" s="4" t="e">
        <f>E334*VLOOKUP(B334,alimentos_master!$A:$N,14,FALSE())/100</f>
        <v>#N/A</v>
      </c>
      <c r="I334" s="4" t="e">
        <f>E334*VLOOKUP(B334,alimentos_master!$A:$O,15,FALSE())/100</f>
        <v>#N/A</v>
      </c>
      <c r="J334" s="4" t="e">
        <f>E334*VLOOKUP(B334,alimentos_master!$A:$R,18,FALSE())/100</f>
        <v>#N/A</v>
      </c>
    </row>
    <row r="335" spans="1:10" ht="15" customHeight="1" x14ac:dyDescent="0.2">
      <c r="A335" s="4">
        <v>334</v>
      </c>
      <c r="B335" s="4">
        <v>84</v>
      </c>
      <c r="C335" s="4" t="s">
        <v>166</v>
      </c>
      <c r="D335" s="4" t="s">
        <v>918</v>
      </c>
      <c r="E335" s="4">
        <v>100</v>
      </c>
      <c r="F335" s="4" t="s">
        <v>917</v>
      </c>
      <c r="G335" s="4" t="e">
        <f>E335*VLOOKUP(B335,alimentos_master!$A:$M,13,FALSE())/100</f>
        <v>#N/A</v>
      </c>
      <c r="H335" s="4" t="e">
        <f>E335*VLOOKUP(B335,alimentos_master!$A:$N,14,FALSE())/100</f>
        <v>#N/A</v>
      </c>
      <c r="I335" s="4" t="e">
        <f>E335*VLOOKUP(B335,alimentos_master!$A:$O,15,FALSE())/100</f>
        <v>#N/A</v>
      </c>
      <c r="J335" s="4" t="e">
        <f>E335*VLOOKUP(B335,alimentos_master!$A:$R,18,FALSE())/100</f>
        <v>#N/A</v>
      </c>
    </row>
    <row r="336" spans="1:10" ht="15" customHeight="1" x14ac:dyDescent="0.2">
      <c r="A336" s="4">
        <v>335</v>
      </c>
      <c r="B336" s="4">
        <v>84</v>
      </c>
      <c r="C336" s="4" t="s">
        <v>166</v>
      </c>
      <c r="D336" s="4" t="s">
        <v>919</v>
      </c>
      <c r="E336" s="4">
        <v>150</v>
      </c>
      <c r="F336" s="4" t="s">
        <v>917</v>
      </c>
      <c r="G336" s="4" t="e">
        <f>E336*VLOOKUP(B336,alimentos_master!$A:$M,13,FALSE())/100</f>
        <v>#N/A</v>
      </c>
      <c r="H336" s="4" t="e">
        <f>E336*VLOOKUP(B336,alimentos_master!$A:$N,14,FALSE())/100</f>
        <v>#N/A</v>
      </c>
      <c r="I336" s="4" t="e">
        <f>E336*VLOOKUP(B336,alimentos_master!$A:$O,15,FALSE())/100</f>
        <v>#N/A</v>
      </c>
      <c r="J336" s="4" t="e">
        <f>E336*VLOOKUP(B336,alimentos_master!$A:$R,18,FALSE())/100</f>
        <v>#N/A</v>
      </c>
    </row>
    <row r="337" spans="1:10" ht="15" customHeight="1" x14ac:dyDescent="0.2">
      <c r="A337" s="4">
        <v>336</v>
      </c>
      <c r="B337" s="4">
        <v>84</v>
      </c>
      <c r="C337" s="4" t="s">
        <v>166</v>
      </c>
      <c r="D337" s="4" t="s">
        <v>920</v>
      </c>
      <c r="E337" s="4">
        <v>200</v>
      </c>
      <c r="F337" s="4" t="s">
        <v>917</v>
      </c>
      <c r="G337" s="4" t="e">
        <f>E337*VLOOKUP(B337,alimentos_master!$A:$M,13,FALSE())/100</f>
        <v>#N/A</v>
      </c>
      <c r="H337" s="4" t="e">
        <f>E337*VLOOKUP(B337,alimentos_master!$A:$N,14,FALSE())/100</f>
        <v>#N/A</v>
      </c>
      <c r="I337" s="4" t="e">
        <f>E337*VLOOKUP(B337,alimentos_master!$A:$O,15,FALSE())/100</f>
        <v>#N/A</v>
      </c>
      <c r="J337" s="4" t="e">
        <f>E337*VLOOKUP(B337,alimentos_master!$A:$R,18,FALSE())/100</f>
        <v>#N/A</v>
      </c>
    </row>
    <row r="338" spans="1:10" ht="15" customHeight="1" x14ac:dyDescent="0.2">
      <c r="A338" s="4">
        <v>337</v>
      </c>
      <c r="B338" s="4">
        <v>85</v>
      </c>
      <c r="C338" s="4" t="s">
        <v>167</v>
      </c>
      <c r="D338" s="4" t="s">
        <v>916</v>
      </c>
      <c r="E338" s="4">
        <v>75</v>
      </c>
      <c r="F338" s="4" t="s">
        <v>917</v>
      </c>
      <c r="G338" s="4">
        <f>E338*VLOOKUP(B338,alimentos_master!$A:$M,13,FALSE())/100</f>
        <v>92.325000000000003</v>
      </c>
      <c r="H338" s="4">
        <f>E338*VLOOKUP(B338,alimentos_master!$A:$N,14,FALSE())/100</f>
        <v>3.3224999999999998</v>
      </c>
      <c r="I338" s="4">
        <f>E338*VLOOKUP(B338,alimentos_master!$A:$O,15,FALSE())/100</f>
        <v>20.49</v>
      </c>
      <c r="J338" s="4">
        <f>E338*VLOOKUP(B338,alimentos_master!$A:$R,18,FALSE())/100</f>
        <v>0.35249999999999998</v>
      </c>
    </row>
    <row r="339" spans="1:10" ht="15" customHeight="1" x14ac:dyDescent="0.2">
      <c r="A339" s="4">
        <v>338</v>
      </c>
      <c r="B339" s="4">
        <v>85</v>
      </c>
      <c r="C339" s="4" t="s">
        <v>167</v>
      </c>
      <c r="D339" s="4" t="s">
        <v>918</v>
      </c>
      <c r="E339" s="4">
        <v>100</v>
      </c>
      <c r="F339" s="4" t="s">
        <v>917</v>
      </c>
      <c r="G339" s="4">
        <f>E339*VLOOKUP(B339,alimentos_master!$A:$M,13,FALSE())/100</f>
        <v>123.1</v>
      </c>
      <c r="H339" s="4">
        <f>E339*VLOOKUP(B339,alimentos_master!$A:$N,14,FALSE())/100</f>
        <v>4.43</v>
      </c>
      <c r="I339" s="4">
        <f>E339*VLOOKUP(B339,alimentos_master!$A:$O,15,FALSE())/100</f>
        <v>27.32</v>
      </c>
      <c r="J339" s="4">
        <f>E339*VLOOKUP(B339,alimentos_master!$A:$R,18,FALSE())/100</f>
        <v>0.47</v>
      </c>
    </row>
    <row r="340" spans="1:10" ht="15" customHeight="1" x14ac:dyDescent="0.2">
      <c r="A340" s="4">
        <v>339</v>
      </c>
      <c r="B340" s="4">
        <v>85</v>
      </c>
      <c r="C340" s="4" t="s">
        <v>167</v>
      </c>
      <c r="D340" s="4" t="s">
        <v>919</v>
      </c>
      <c r="E340" s="4">
        <v>150</v>
      </c>
      <c r="F340" s="4" t="s">
        <v>917</v>
      </c>
      <c r="G340" s="4">
        <f>E340*VLOOKUP(B340,alimentos_master!$A:$M,13,FALSE())/100</f>
        <v>184.65</v>
      </c>
      <c r="H340" s="4">
        <f>E340*VLOOKUP(B340,alimentos_master!$A:$N,14,FALSE())/100</f>
        <v>6.6449999999999996</v>
      </c>
      <c r="I340" s="4">
        <f>E340*VLOOKUP(B340,alimentos_master!$A:$O,15,FALSE())/100</f>
        <v>40.98</v>
      </c>
      <c r="J340" s="4">
        <f>E340*VLOOKUP(B340,alimentos_master!$A:$R,18,FALSE())/100</f>
        <v>0.70499999999999996</v>
      </c>
    </row>
    <row r="341" spans="1:10" ht="15" customHeight="1" x14ac:dyDescent="0.2">
      <c r="A341" s="4">
        <v>340</v>
      </c>
      <c r="B341" s="4">
        <v>85</v>
      </c>
      <c r="C341" s="4" t="s">
        <v>167</v>
      </c>
      <c r="D341" s="4" t="s">
        <v>920</v>
      </c>
      <c r="E341" s="4">
        <v>200</v>
      </c>
      <c r="F341" s="4" t="s">
        <v>917</v>
      </c>
      <c r="G341" s="4">
        <f>E341*VLOOKUP(B341,alimentos_master!$A:$M,13,FALSE())/100</f>
        <v>246.2</v>
      </c>
      <c r="H341" s="4">
        <f>E341*VLOOKUP(B341,alimentos_master!$A:$N,14,FALSE())/100</f>
        <v>8.86</v>
      </c>
      <c r="I341" s="4">
        <f>E341*VLOOKUP(B341,alimentos_master!$A:$O,15,FALSE())/100</f>
        <v>54.64</v>
      </c>
      <c r="J341" s="4">
        <f>E341*VLOOKUP(B341,alimentos_master!$A:$R,18,FALSE())/100</f>
        <v>0.94</v>
      </c>
    </row>
    <row r="342" spans="1:10" ht="15" customHeight="1" x14ac:dyDescent="0.2">
      <c r="A342" s="4">
        <v>341</v>
      </c>
      <c r="B342" s="4">
        <v>86</v>
      </c>
      <c r="C342" s="4" t="s">
        <v>168</v>
      </c>
      <c r="D342" s="4" t="s">
        <v>916</v>
      </c>
      <c r="E342" s="4">
        <v>75</v>
      </c>
      <c r="F342" s="4" t="s">
        <v>917</v>
      </c>
      <c r="G342" s="4" t="e">
        <f>E342*VLOOKUP(B342,alimentos_master!$A:$M,13,FALSE())/100</f>
        <v>#N/A</v>
      </c>
      <c r="H342" s="4" t="e">
        <f>E342*VLOOKUP(B342,alimentos_master!$A:$N,14,FALSE())/100</f>
        <v>#N/A</v>
      </c>
      <c r="I342" s="4" t="e">
        <f>E342*VLOOKUP(B342,alimentos_master!$A:$O,15,FALSE())/100</f>
        <v>#N/A</v>
      </c>
      <c r="J342" s="4" t="e">
        <f>E342*VLOOKUP(B342,alimentos_master!$A:$R,18,FALSE())/100</f>
        <v>#N/A</v>
      </c>
    </row>
    <row r="343" spans="1:10" ht="15" customHeight="1" x14ac:dyDescent="0.2">
      <c r="A343" s="4">
        <v>342</v>
      </c>
      <c r="B343" s="4">
        <v>86</v>
      </c>
      <c r="C343" s="4" t="s">
        <v>168</v>
      </c>
      <c r="D343" s="4" t="s">
        <v>918</v>
      </c>
      <c r="E343" s="4">
        <v>100</v>
      </c>
      <c r="F343" s="4" t="s">
        <v>917</v>
      </c>
      <c r="G343" s="4" t="e">
        <f>E343*VLOOKUP(B343,alimentos_master!$A:$M,13,FALSE())/100</f>
        <v>#N/A</v>
      </c>
      <c r="H343" s="4" t="e">
        <f>E343*VLOOKUP(B343,alimentos_master!$A:$N,14,FALSE())/100</f>
        <v>#N/A</v>
      </c>
      <c r="I343" s="4" t="e">
        <f>E343*VLOOKUP(B343,alimentos_master!$A:$O,15,FALSE())/100</f>
        <v>#N/A</v>
      </c>
      <c r="J343" s="4" t="e">
        <f>E343*VLOOKUP(B343,alimentos_master!$A:$R,18,FALSE())/100</f>
        <v>#N/A</v>
      </c>
    </row>
    <row r="344" spans="1:10" ht="15" customHeight="1" x14ac:dyDescent="0.2">
      <c r="A344" s="4">
        <v>343</v>
      </c>
      <c r="B344" s="4">
        <v>86</v>
      </c>
      <c r="C344" s="4" t="s">
        <v>168</v>
      </c>
      <c r="D344" s="4" t="s">
        <v>919</v>
      </c>
      <c r="E344" s="4">
        <v>150</v>
      </c>
      <c r="F344" s="4" t="s">
        <v>917</v>
      </c>
      <c r="G344" s="4" t="e">
        <f>E344*VLOOKUP(B344,alimentos_master!$A:$M,13,FALSE())/100</f>
        <v>#N/A</v>
      </c>
      <c r="H344" s="4" t="e">
        <f>E344*VLOOKUP(B344,alimentos_master!$A:$N,14,FALSE())/100</f>
        <v>#N/A</v>
      </c>
      <c r="I344" s="4" t="e">
        <f>E344*VLOOKUP(B344,alimentos_master!$A:$O,15,FALSE())/100</f>
        <v>#N/A</v>
      </c>
      <c r="J344" s="4" t="e">
        <f>E344*VLOOKUP(B344,alimentos_master!$A:$R,18,FALSE())/100</f>
        <v>#N/A</v>
      </c>
    </row>
    <row r="345" spans="1:10" ht="15" customHeight="1" x14ac:dyDescent="0.2">
      <c r="A345" s="4">
        <v>344</v>
      </c>
      <c r="B345" s="4">
        <v>86</v>
      </c>
      <c r="C345" s="4" t="s">
        <v>168</v>
      </c>
      <c r="D345" s="4" t="s">
        <v>920</v>
      </c>
      <c r="E345" s="4">
        <v>200</v>
      </c>
      <c r="F345" s="4" t="s">
        <v>917</v>
      </c>
      <c r="G345" s="4" t="e">
        <f>E345*VLOOKUP(B345,alimentos_master!$A:$M,13,FALSE())/100</f>
        <v>#N/A</v>
      </c>
      <c r="H345" s="4" t="e">
        <f>E345*VLOOKUP(B345,alimentos_master!$A:$N,14,FALSE())/100</f>
        <v>#N/A</v>
      </c>
      <c r="I345" s="4" t="e">
        <f>E345*VLOOKUP(B345,alimentos_master!$A:$O,15,FALSE())/100</f>
        <v>#N/A</v>
      </c>
      <c r="J345" s="4" t="e">
        <f>E345*VLOOKUP(B345,alimentos_master!$A:$R,18,FALSE())/100</f>
        <v>#N/A</v>
      </c>
    </row>
    <row r="346" spans="1:10" ht="15" customHeight="1" x14ac:dyDescent="0.2">
      <c r="A346" s="4">
        <v>345</v>
      </c>
      <c r="B346" s="4">
        <v>87</v>
      </c>
      <c r="C346" s="4" t="s">
        <v>169</v>
      </c>
      <c r="D346" s="4" t="s">
        <v>916</v>
      </c>
      <c r="E346" s="4">
        <v>75</v>
      </c>
      <c r="F346" s="4" t="s">
        <v>917</v>
      </c>
      <c r="G346" s="4" t="e">
        <f>E346*VLOOKUP(B346,alimentos_master!$A:$M,13,FALSE())/100</f>
        <v>#N/A</v>
      </c>
      <c r="H346" s="4" t="e">
        <f>E346*VLOOKUP(B346,alimentos_master!$A:$N,14,FALSE())/100</f>
        <v>#N/A</v>
      </c>
      <c r="I346" s="4" t="e">
        <f>E346*VLOOKUP(B346,alimentos_master!$A:$O,15,FALSE())/100</f>
        <v>#N/A</v>
      </c>
      <c r="J346" s="4" t="e">
        <f>E346*VLOOKUP(B346,alimentos_master!$A:$R,18,FALSE())/100</f>
        <v>#N/A</v>
      </c>
    </row>
    <row r="347" spans="1:10" ht="15" customHeight="1" x14ac:dyDescent="0.2">
      <c r="A347" s="4">
        <v>346</v>
      </c>
      <c r="B347" s="4">
        <v>87</v>
      </c>
      <c r="C347" s="4" t="s">
        <v>169</v>
      </c>
      <c r="D347" s="4" t="s">
        <v>918</v>
      </c>
      <c r="E347" s="4">
        <v>100</v>
      </c>
      <c r="F347" s="4" t="s">
        <v>917</v>
      </c>
      <c r="G347" s="4" t="e">
        <f>E347*VLOOKUP(B347,alimentos_master!$A:$M,13,FALSE())/100</f>
        <v>#N/A</v>
      </c>
      <c r="H347" s="4" t="e">
        <f>E347*VLOOKUP(B347,alimentos_master!$A:$N,14,FALSE())/100</f>
        <v>#N/A</v>
      </c>
      <c r="I347" s="4" t="e">
        <f>E347*VLOOKUP(B347,alimentos_master!$A:$O,15,FALSE())/100</f>
        <v>#N/A</v>
      </c>
      <c r="J347" s="4" t="e">
        <f>E347*VLOOKUP(B347,alimentos_master!$A:$R,18,FALSE())/100</f>
        <v>#N/A</v>
      </c>
    </row>
    <row r="348" spans="1:10" ht="15" customHeight="1" x14ac:dyDescent="0.2">
      <c r="A348" s="4">
        <v>347</v>
      </c>
      <c r="B348" s="4">
        <v>87</v>
      </c>
      <c r="C348" s="4" t="s">
        <v>169</v>
      </c>
      <c r="D348" s="4" t="s">
        <v>919</v>
      </c>
      <c r="E348" s="4">
        <v>150</v>
      </c>
      <c r="F348" s="4" t="s">
        <v>917</v>
      </c>
      <c r="G348" s="4" t="e">
        <f>E348*VLOOKUP(B348,alimentos_master!$A:$M,13,FALSE())/100</f>
        <v>#N/A</v>
      </c>
      <c r="H348" s="4" t="e">
        <f>E348*VLOOKUP(B348,alimentos_master!$A:$N,14,FALSE())/100</f>
        <v>#N/A</v>
      </c>
      <c r="I348" s="4" t="e">
        <f>E348*VLOOKUP(B348,alimentos_master!$A:$O,15,FALSE())/100</f>
        <v>#N/A</v>
      </c>
      <c r="J348" s="4" t="e">
        <f>E348*VLOOKUP(B348,alimentos_master!$A:$R,18,FALSE())/100</f>
        <v>#N/A</v>
      </c>
    </row>
    <row r="349" spans="1:10" ht="15" customHeight="1" x14ac:dyDescent="0.2">
      <c r="A349" s="4">
        <v>348</v>
      </c>
      <c r="B349" s="4">
        <v>87</v>
      </c>
      <c r="C349" s="4" t="s">
        <v>169</v>
      </c>
      <c r="D349" s="4" t="s">
        <v>920</v>
      </c>
      <c r="E349" s="4">
        <v>200</v>
      </c>
      <c r="F349" s="4" t="s">
        <v>917</v>
      </c>
      <c r="G349" s="4" t="e">
        <f>E349*VLOOKUP(B349,alimentos_master!$A:$M,13,FALSE())/100</f>
        <v>#N/A</v>
      </c>
      <c r="H349" s="4" t="e">
        <f>E349*VLOOKUP(B349,alimentos_master!$A:$N,14,FALSE())/100</f>
        <v>#N/A</v>
      </c>
      <c r="I349" s="4" t="e">
        <f>E349*VLOOKUP(B349,alimentos_master!$A:$O,15,FALSE())/100</f>
        <v>#N/A</v>
      </c>
      <c r="J349" s="4" t="e">
        <f>E349*VLOOKUP(B349,alimentos_master!$A:$R,18,FALSE())/100</f>
        <v>#N/A</v>
      </c>
    </row>
    <row r="350" spans="1:10" ht="15" customHeight="1" x14ac:dyDescent="0.2">
      <c r="A350" s="4">
        <v>349</v>
      </c>
      <c r="B350" s="4">
        <v>88</v>
      </c>
      <c r="C350" s="4" t="s">
        <v>170</v>
      </c>
      <c r="D350" s="4" t="s">
        <v>916</v>
      </c>
      <c r="E350" s="4">
        <v>75</v>
      </c>
      <c r="F350" s="4" t="s">
        <v>917</v>
      </c>
      <c r="G350" s="4" t="e">
        <f>E350*VLOOKUP(B350,alimentos_master!$A:$M,13,FALSE())/100</f>
        <v>#N/A</v>
      </c>
      <c r="H350" s="4" t="e">
        <f>E350*VLOOKUP(B350,alimentos_master!$A:$N,14,FALSE())/100</f>
        <v>#N/A</v>
      </c>
      <c r="I350" s="4" t="e">
        <f>E350*VLOOKUP(B350,alimentos_master!$A:$O,15,FALSE())/100</f>
        <v>#N/A</v>
      </c>
      <c r="J350" s="4" t="e">
        <f>E350*VLOOKUP(B350,alimentos_master!$A:$R,18,FALSE())/100</f>
        <v>#N/A</v>
      </c>
    </row>
    <row r="351" spans="1:10" ht="15" customHeight="1" x14ac:dyDescent="0.2">
      <c r="A351" s="4">
        <v>350</v>
      </c>
      <c r="B351" s="4">
        <v>88</v>
      </c>
      <c r="C351" s="4" t="s">
        <v>170</v>
      </c>
      <c r="D351" s="4" t="s">
        <v>918</v>
      </c>
      <c r="E351" s="4">
        <v>100</v>
      </c>
      <c r="F351" s="4" t="s">
        <v>917</v>
      </c>
      <c r="G351" s="4" t="e">
        <f>E351*VLOOKUP(B351,alimentos_master!$A:$M,13,FALSE())/100</f>
        <v>#N/A</v>
      </c>
      <c r="H351" s="4" t="e">
        <f>E351*VLOOKUP(B351,alimentos_master!$A:$N,14,FALSE())/100</f>
        <v>#N/A</v>
      </c>
      <c r="I351" s="4" t="e">
        <f>E351*VLOOKUP(B351,alimentos_master!$A:$O,15,FALSE())/100</f>
        <v>#N/A</v>
      </c>
      <c r="J351" s="4" t="e">
        <f>E351*VLOOKUP(B351,alimentos_master!$A:$R,18,FALSE())/100</f>
        <v>#N/A</v>
      </c>
    </row>
    <row r="352" spans="1:10" ht="15" customHeight="1" x14ac:dyDescent="0.2">
      <c r="A352" s="4">
        <v>351</v>
      </c>
      <c r="B352" s="4">
        <v>88</v>
      </c>
      <c r="C352" s="4" t="s">
        <v>170</v>
      </c>
      <c r="D352" s="4" t="s">
        <v>919</v>
      </c>
      <c r="E352" s="4">
        <v>150</v>
      </c>
      <c r="F352" s="4" t="s">
        <v>917</v>
      </c>
      <c r="G352" s="4" t="e">
        <f>E352*VLOOKUP(B352,alimentos_master!$A:$M,13,FALSE())/100</f>
        <v>#N/A</v>
      </c>
      <c r="H352" s="4" t="e">
        <f>E352*VLOOKUP(B352,alimentos_master!$A:$N,14,FALSE())/100</f>
        <v>#N/A</v>
      </c>
      <c r="I352" s="4" t="e">
        <f>E352*VLOOKUP(B352,alimentos_master!$A:$O,15,FALSE())/100</f>
        <v>#N/A</v>
      </c>
      <c r="J352" s="4" t="e">
        <f>E352*VLOOKUP(B352,alimentos_master!$A:$R,18,FALSE())/100</f>
        <v>#N/A</v>
      </c>
    </row>
    <row r="353" spans="1:10" ht="15" customHeight="1" x14ac:dyDescent="0.2">
      <c r="A353" s="4">
        <v>352</v>
      </c>
      <c r="B353" s="4">
        <v>88</v>
      </c>
      <c r="C353" s="4" t="s">
        <v>170</v>
      </c>
      <c r="D353" s="4" t="s">
        <v>920</v>
      </c>
      <c r="E353" s="4">
        <v>200</v>
      </c>
      <c r="F353" s="4" t="s">
        <v>917</v>
      </c>
      <c r="G353" s="4" t="e">
        <f>E353*VLOOKUP(B353,alimentos_master!$A:$M,13,FALSE())/100</f>
        <v>#N/A</v>
      </c>
      <c r="H353" s="4" t="e">
        <f>E353*VLOOKUP(B353,alimentos_master!$A:$N,14,FALSE())/100</f>
        <v>#N/A</v>
      </c>
      <c r="I353" s="4" t="e">
        <f>E353*VLOOKUP(B353,alimentos_master!$A:$O,15,FALSE())/100</f>
        <v>#N/A</v>
      </c>
      <c r="J353" s="4" t="e">
        <f>E353*VLOOKUP(B353,alimentos_master!$A:$R,18,FALSE())/100</f>
        <v>#N/A</v>
      </c>
    </row>
    <row r="354" spans="1:10" ht="15" customHeight="1" x14ac:dyDescent="0.2">
      <c r="A354" s="4">
        <v>353</v>
      </c>
      <c r="B354" s="4">
        <v>89</v>
      </c>
      <c r="C354" s="4" t="s">
        <v>171</v>
      </c>
      <c r="D354" s="4" t="s">
        <v>916</v>
      </c>
      <c r="E354" s="4">
        <v>75</v>
      </c>
      <c r="F354" s="4" t="s">
        <v>917</v>
      </c>
      <c r="G354" s="4" t="e">
        <f>E354*VLOOKUP(B354,alimentos_master!$A:$M,13,FALSE())/100</f>
        <v>#N/A</v>
      </c>
      <c r="H354" s="4" t="e">
        <f>E354*VLOOKUP(B354,alimentos_master!$A:$N,14,FALSE())/100</f>
        <v>#N/A</v>
      </c>
      <c r="I354" s="4" t="e">
        <f>E354*VLOOKUP(B354,alimentos_master!$A:$O,15,FALSE())/100</f>
        <v>#N/A</v>
      </c>
      <c r="J354" s="4" t="e">
        <f>E354*VLOOKUP(B354,alimentos_master!$A:$R,18,FALSE())/100</f>
        <v>#N/A</v>
      </c>
    </row>
    <row r="355" spans="1:10" ht="15" customHeight="1" x14ac:dyDescent="0.2">
      <c r="A355" s="4">
        <v>354</v>
      </c>
      <c r="B355" s="4">
        <v>89</v>
      </c>
      <c r="C355" s="4" t="s">
        <v>171</v>
      </c>
      <c r="D355" s="4" t="s">
        <v>918</v>
      </c>
      <c r="E355" s="4">
        <v>100</v>
      </c>
      <c r="F355" s="4" t="s">
        <v>917</v>
      </c>
      <c r="G355" s="4" t="e">
        <f>E355*VLOOKUP(B355,alimentos_master!$A:$M,13,FALSE())/100</f>
        <v>#N/A</v>
      </c>
      <c r="H355" s="4" t="e">
        <f>E355*VLOOKUP(B355,alimentos_master!$A:$N,14,FALSE())/100</f>
        <v>#N/A</v>
      </c>
      <c r="I355" s="4" t="e">
        <f>E355*VLOOKUP(B355,alimentos_master!$A:$O,15,FALSE())/100</f>
        <v>#N/A</v>
      </c>
      <c r="J355" s="4" t="e">
        <f>E355*VLOOKUP(B355,alimentos_master!$A:$R,18,FALSE())/100</f>
        <v>#N/A</v>
      </c>
    </row>
    <row r="356" spans="1:10" ht="15" customHeight="1" x14ac:dyDescent="0.2">
      <c r="A356" s="4">
        <v>355</v>
      </c>
      <c r="B356" s="4">
        <v>89</v>
      </c>
      <c r="C356" s="4" t="s">
        <v>171</v>
      </c>
      <c r="D356" s="4" t="s">
        <v>919</v>
      </c>
      <c r="E356" s="4">
        <v>150</v>
      </c>
      <c r="F356" s="4" t="s">
        <v>917</v>
      </c>
      <c r="G356" s="4" t="e">
        <f>E356*VLOOKUP(B356,alimentos_master!$A:$M,13,FALSE())/100</f>
        <v>#N/A</v>
      </c>
      <c r="H356" s="4" t="e">
        <f>E356*VLOOKUP(B356,alimentos_master!$A:$N,14,FALSE())/100</f>
        <v>#N/A</v>
      </c>
      <c r="I356" s="4" t="e">
        <f>E356*VLOOKUP(B356,alimentos_master!$A:$O,15,FALSE())/100</f>
        <v>#N/A</v>
      </c>
      <c r="J356" s="4" t="e">
        <f>E356*VLOOKUP(B356,alimentos_master!$A:$R,18,FALSE())/100</f>
        <v>#N/A</v>
      </c>
    </row>
    <row r="357" spans="1:10" ht="15" customHeight="1" x14ac:dyDescent="0.2">
      <c r="A357" s="4">
        <v>356</v>
      </c>
      <c r="B357" s="4">
        <v>89</v>
      </c>
      <c r="C357" s="4" t="s">
        <v>171</v>
      </c>
      <c r="D357" s="4" t="s">
        <v>920</v>
      </c>
      <c r="E357" s="4">
        <v>200</v>
      </c>
      <c r="F357" s="4" t="s">
        <v>917</v>
      </c>
      <c r="G357" s="4" t="e">
        <f>E357*VLOOKUP(B357,alimentos_master!$A:$M,13,FALSE())/100</f>
        <v>#N/A</v>
      </c>
      <c r="H357" s="4" t="e">
        <f>E357*VLOOKUP(B357,alimentos_master!$A:$N,14,FALSE())/100</f>
        <v>#N/A</v>
      </c>
      <c r="I357" s="4" t="e">
        <f>E357*VLOOKUP(B357,alimentos_master!$A:$O,15,FALSE())/100</f>
        <v>#N/A</v>
      </c>
      <c r="J357" s="4" t="e">
        <f>E357*VLOOKUP(B357,alimentos_master!$A:$R,18,FALSE())/100</f>
        <v>#N/A</v>
      </c>
    </row>
    <row r="358" spans="1:10" ht="15" customHeight="1" x14ac:dyDescent="0.2">
      <c r="A358" s="4">
        <v>357</v>
      </c>
      <c r="B358" s="4">
        <v>90</v>
      </c>
      <c r="C358" s="4" t="s">
        <v>172</v>
      </c>
      <c r="D358" s="4" t="s">
        <v>916</v>
      </c>
      <c r="E358" s="4">
        <v>75</v>
      </c>
      <c r="F358" s="4" t="s">
        <v>917</v>
      </c>
      <c r="G358" s="4" t="e">
        <f>E358*VLOOKUP(B358,alimentos_master!$A:$M,13,FALSE())/100</f>
        <v>#N/A</v>
      </c>
      <c r="H358" s="4" t="e">
        <f>E358*VLOOKUP(B358,alimentos_master!$A:$N,14,FALSE())/100</f>
        <v>#N/A</v>
      </c>
      <c r="I358" s="4" t="e">
        <f>E358*VLOOKUP(B358,alimentos_master!$A:$O,15,FALSE())/100</f>
        <v>#N/A</v>
      </c>
      <c r="J358" s="4" t="e">
        <f>E358*VLOOKUP(B358,alimentos_master!$A:$R,18,FALSE())/100</f>
        <v>#N/A</v>
      </c>
    </row>
    <row r="359" spans="1:10" ht="15" customHeight="1" x14ac:dyDescent="0.2">
      <c r="A359" s="4">
        <v>358</v>
      </c>
      <c r="B359" s="4">
        <v>90</v>
      </c>
      <c r="C359" s="4" t="s">
        <v>172</v>
      </c>
      <c r="D359" s="4" t="s">
        <v>918</v>
      </c>
      <c r="E359" s="4">
        <v>100</v>
      </c>
      <c r="F359" s="4" t="s">
        <v>917</v>
      </c>
      <c r="G359" s="4" t="e">
        <f>E359*VLOOKUP(B359,alimentos_master!$A:$M,13,FALSE())/100</f>
        <v>#N/A</v>
      </c>
      <c r="H359" s="4" t="e">
        <f>E359*VLOOKUP(B359,alimentos_master!$A:$N,14,FALSE())/100</f>
        <v>#N/A</v>
      </c>
      <c r="I359" s="4" t="e">
        <f>E359*VLOOKUP(B359,alimentos_master!$A:$O,15,FALSE())/100</f>
        <v>#N/A</v>
      </c>
      <c r="J359" s="4" t="e">
        <f>E359*VLOOKUP(B359,alimentos_master!$A:$R,18,FALSE())/100</f>
        <v>#N/A</v>
      </c>
    </row>
    <row r="360" spans="1:10" ht="15" customHeight="1" x14ac:dyDescent="0.2">
      <c r="A360" s="4">
        <v>359</v>
      </c>
      <c r="B360" s="4">
        <v>90</v>
      </c>
      <c r="C360" s="4" t="s">
        <v>172</v>
      </c>
      <c r="D360" s="4" t="s">
        <v>919</v>
      </c>
      <c r="E360" s="4">
        <v>150</v>
      </c>
      <c r="F360" s="4" t="s">
        <v>917</v>
      </c>
      <c r="G360" s="4" t="e">
        <f>E360*VLOOKUP(B360,alimentos_master!$A:$M,13,FALSE())/100</f>
        <v>#N/A</v>
      </c>
      <c r="H360" s="4" t="e">
        <f>E360*VLOOKUP(B360,alimentos_master!$A:$N,14,FALSE())/100</f>
        <v>#N/A</v>
      </c>
      <c r="I360" s="4" t="e">
        <f>E360*VLOOKUP(B360,alimentos_master!$A:$O,15,FALSE())/100</f>
        <v>#N/A</v>
      </c>
      <c r="J360" s="4" t="e">
        <f>E360*VLOOKUP(B360,alimentos_master!$A:$R,18,FALSE())/100</f>
        <v>#N/A</v>
      </c>
    </row>
    <row r="361" spans="1:10" ht="15" customHeight="1" x14ac:dyDescent="0.2">
      <c r="A361" s="4">
        <v>360</v>
      </c>
      <c r="B361" s="4">
        <v>90</v>
      </c>
      <c r="C361" s="4" t="s">
        <v>172</v>
      </c>
      <c r="D361" s="4" t="s">
        <v>920</v>
      </c>
      <c r="E361" s="4">
        <v>200</v>
      </c>
      <c r="F361" s="4" t="s">
        <v>917</v>
      </c>
      <c r="G361" s="4" t="e">
        <f>E361*VLOOKUP(B361,alimentos_master!$A:$M,13,FALSE())/100</f>
        <v>#N/A</v>
      </c>
      <c r="H361" s="4" t="e">
        <f>E361*VLOOKUP(B361,alimentos_master!$A:$N,14,FALSE())/100</f>
        <v>#N/A</v>
      </c>
      <c r="I361" s="4" t="e">
        <f>E361*VLOOKUP(B361,alimentos_master!$A:$O,15,FALSE())/100</f>
        <v>#N/A</v>
      </c>
      <c r="J361" s="4" t="e">
        <f>E361*VLOOKUP(B361,alimentos_master!$A:$R,18,FALSE())/100</f>
        <v>#N/A</v>
      </c>
    </row>
    <row r="362" spans="1:10" ht="15" customHeight="1" x14ac:dyDescent="0.2">
      <c r="A362" s="4">
        <v>361</v>
      </c>
      <c r="B362" s="4">
        <v>91</v>
      </c>
      <c r="C362" s="4" t="s">
        <v>173</v>
      </c>
      <c r="D362" s="4" t="s">
        <v>916</v>
      </c>
      <c r="E362" s="4">
        <v>75</v>
      </c>
      <c r="F362" s="4" t="s">
        <v>917</v>
      </c>
      <c r="G362" s="4" t="e">
        <f>E362*VLOOKUP(B362,alimentos_master!$A:$M,13,FALSE())/100</f>
        <v>#N/A</v>
      </c>
      <c r="H362" s="4" t="e">
        <f>E362*VLOOKUP(B362,alimentos_master!$A:$N,14,FALSE())/100</f>
        <v>#N/A</v>
      </c>
      <c r="I362" s="4" t="e">
        <f>E362*VLOOKUP(B362,alimentos_master!$A:$O,15,FALSE())/100</f>
        <v>#N/A</v>
      </c>
      <c r="J362" s="4" t="e">
        <f>E362*VLOOKUP(B362,alimentos_master!$A:$R,18,FALSE())/100</f>
        <v>#N/A</v>
      </c>
    </row>
    <row r="363" spans="1:10" ht="15" customHeight="1" x14ac:dyDescent="0.2">
      <c r="A363" s="4">
        <v>362</v>
      </c>
      <c r="B363" s="4">
        <v>91</v>
      </c>
      <c r="C363" s="4" t="s">
        <v>173</v>
      </c>
      <c r="D363" s="4" t="s">
        <v>918</v>
      </c>
      <c r="E363" s="4">
        <v>100</v>
      </c>
      <c r="F363" s="4" t="s">
        <v>917</v>
      </c>
      <c r="G363" s="4" t="e">
        <f>E363*VLOOKUP(B363,alimentos_master!$A:$M,13,FALSE())/100</f>
        <v>#N/A</v>
      </c>
      <c r="H363" s="4" t="e">
        <f>E363*VLOOKUP(B363,alimentos_master!$A:$N,14,FALSE())/100</f>
        <v>#N/A</v>
      </c>
      <c r="I363" s="4" t="e">
        <f>E363*VLOOKUP(B363,alimentos_master!$A:$O,15,FALSE())/100</f>
        <v>#N/A</v>
      </c>
      <c r="J363" s="4" t="e">
        <f>E363*VLOOKUP(B363,alimentos_master!$A:$R,18,FALSE())/100</f>
        <v>#N/A</v>
      </c>
    </row>
    <row r="364" spans="1:10" ht="15" customHeight="1" x14ac:dyDescent="0.2">
      <c r="A364" s="4">
        <v>363</v>
      </c>
      <c r="B364" s="4">
        <v>91</v>
      </c>
      <c r="C364" s="4" t="s">
        <v>173</v>
      </c>
      <c r="D364" s="4" t="s">
        <v>919</v>
      </c>
      <c r="E364" s="4">
        <v>150</v>
      </c>
      <c r="F364" s="4" t="s">
        <v>917</v>
      </c>
      <c r="G364" s="4" t="e">
        <f>E364*VLOOKUP(B364,alimentos_master!$A:$M,13,FALSE())/100</f>
        <v>#N/A</v>
      </c>
      <c r="H364" s="4" t="e">
        <f>E364*VLOOKUP(B364,alimentos_master!$A:$N,14,FALSE())/100</f>
        <v>#N/A</v>
      </c>
      <c r="I364" s="4" t="e">
        <f>E364*VLOOKUP(B364,alimentos_master!$A:$O,15,FALSE())/100</f>
        <v>#N/A</v>
      </c>
      <c r="J364" s="4" t="e">
        <f>E364*VLOOKUP(B364,alimentos_master!$A:$R,18,FALSE())/100</f>
        <v>#N/A</v>
      </c>
    </row>
    <row r="365" spans="1:10" ht="15" customHeight="1" x14ac:dyDescent="0.2">
      <c r="A365" s="4">
        <v>364</v>
      </c>
      <c r="B365" s="4">
        <v>91</v>
      </c>
      <c r="C365" s="4" t="s">
        <v>173</v>
      </c>
      <c r="D365" s="4" t="s">
        <v>920</v>
      </c>
      <c r="E365" s="4">
        <v>200</v>
      </c>
      <c r="F365" s="4" t="s">
        <v>917</v>
      </c>
      <c r="G365" s="4" t="e">
        <f>E365*VLOOKUP(B365,alimentos_master!$A:$M,13,FALSE())/100</f>
        <v>#N/A</v>
      </c>
      <c r="H365" s="4" t="e">
        <f>E365*VLOOKUP(B365,alimentos_master!$A:$N,14,FALSE())/100</f>
        <v>#N/A</v>
      </c>
      <c r="I365" s="4" t="e">
        <f>E365*VLOOKUP(B365,alimentos_master!$A:$O,15,FALSE())/100</f>
        <v>#N/A</v>
      </c>
      <c r="J365" s="4" t="e">
        <f>E365*VLOOKUP(B365,alimentos_master!$A:$R,18,FALSE())/100</f>
        <v>#N/A</v>
      </c>
    </row>
    <row r="366" spans="1:10" ht="15" customHeight="1" x14ac:dyDescent="0.2">
      <c r="A366" s="4">
        <v>365</v>
      </c>
      <c r="B366" s="4">
        <v>92</v>
      </c>
      <c r="C366" s="4" t="s">
        <v>174</v>
      </c>
      <c r="D366" s="4" t="s">
        <v>916</v>
      </c>
      <c r="E366" s="4">
        <v>75</v>
      </c>
      <c r="F366" s="4" t="s">
        <v>917</v>
      </c>
      <c r="G366" s="4" t="e">
        <f>E366*VLOOKUP(B366,alimentos_master!$A:$M,13,FALSE())/100</f>
        <v>#N/A</v>
      </c>
      <c r="H366" s="4" t="e">
        <f>E366*VLOOKUP(B366,alimentos_master!$A:$N,14,FALSE())/100</f>
        <v>#N/A</v>
      </c>
      <c r="I366" s="4" t="e">
        <f>E366*VLOOKUP(B366,alimentos_master!$A:$O,15,FALSE())/100</f>
        <v>#N/A</v>
      </c>
      <c r="J366" s="4" t="e">
        <f>E366*VLOOKUP(B366,alimentos_master!$A:$R,18,FALSE())/100</f>
        <v>#N/A</v>
      </c>
    </row>
    <row r="367" spans="1:10" ht="15" customHeight="1" x14ac:dyDescent="0.2">
      <c r="A367" s="4">
        <v>366</v>
      </c>
      <c r="B367" s="4">
        <v>92</v>
      </c>
      <c r="C367" s="4" t="s">
        <v>174</v>
      </c>
      <c r="D367" s="4" t="s">
        <v>918</v>
      </c>
      <c r="E367" s="4">
        <v>100</v>
      </c>
      <c r="F367" s="4" t="s">
        <v>917</v>
      </c>
      <c r="G367" s="4" t="e">
        <f>E367*VLOOKUP(B367,alimentos_master!$A:$M,13,FALSE())/100</f>
        <v>#N/A</v>
      </c>
      <c r="H367" s="4" t="e">
        <f>E367*VLOOKUP(B367,alimentos_master!$A:$N,14,FALSE())/100</f>
        <v>#N/A</v>
      </c>
      <c r="I367" s="4" t="e">
        <f>E367*VLOOKUP(B367,alimentos_master!$A:$O,15,FALSE())/100</f>
        <v>#N/A</v>
      </c>
      <c r="J367" s="4" t="e">
        <f>E367*VLOOKUP(B367,alimentos_master!$A:$R,18,FALSE())/100</f>
        <v>#N/A</v>
      </c>
    </row>
    <row r="368" spans="1:10" ht="15" customHeight="1" x14ac:dyDescent="0.2">
      <c r="A368" s="4">
        <v>367</v>
      </c>
      <c r="B368" s="4">
        <v>92</v>
      </c>
      <c r="C368" s="4" t="s">
        <v>174</v>
      </c>
      <c r="D368" s="4" t="s">
        <v>919</v>
      </c>
      <c r="E368" s="4">
        <v>150</v>
      </c>
      <c r="F368" s="4" t="s">
        <v>917</v>
      </c>
      <c r="G368" s="4" t="e">
        <f>E368*VLOOKUP(B368,alimentos_master!$A:$M,13,FALSE())/100</f>
        <v>#N/A</v>
      </c>
      <c r="H368" s="4" t="e">
        <f>E368*VLOOKUP(B368,alimentos_master!$A:$N,14,FALSE())/100</f>
        <v>#N/A</v>
      </c>
      <c r="I368" s="4" t="e">
        <f>E368*VLOOKUP(B368,alimentos_master!$A:$O,15,FALSE())/100</f>
        <v>#N/A</v>
      </c>
      <c r="J368" s="4" t="e">
        <f>E368*VLOOKUP(B368,alimentos_master!$A:$R,18,FALSE())/100</f>
        <v>#N/A</v>
      </c>
    </row>
    <row r="369" spans="1:10" ht="15" customHeight="1" x14ac:dyDescent="0.2">
      <c r="A369" s="4">
        <v>368</v>
      </c>
      <c r="B369" s="4">
        <v>92</v>
      </c>
      <c r="C369" s="4" t="s">
        <v>174</v>
      </c>
      <c r="D369" s="4" t="s">
        <v>920</v>
      </c>
      <c r="E369" s="4">
        <v>200</v>
      </c>
      <c r="F369" s="4" t="s">
        <v>917</v>
      </c>
      <c r="G369" s="4" t="e">
        <f>E369*VLOOKUP(B369,alimentos_master!$A:$M,13,FALSE())/100</f>
        <v>#N/A</v>
      </c>
      <c r="H369" s="4" t="e">
        <f>E369*VLOOKUP(B369,alimentos_master!$A:$N,14,FALSE())/100</f>
        <v>#N/A</v>
      </c>
      <c r="I369" s="4" t="e">
        <f>E369*VLOOKUP(B369,alimentos_master!$A:$O,15,FALSE())/100</f>
        <v>#N/A</v>
      </c>
      <c r="J369" s="4" t="e">
        <f>E369*VLOOKUP(B369,alimentos_master!$A:$R,18,FALSE())/100</f>
        <v>#N/A</v>
      </c>
    </row>
    <row r="370" spans="1:10" ht="15" customHeight="1" x14ac:dyDescent="0.2">
      <c r="A370" s="4">
        <v>369</v>
      </c>
      <c r="B370" s="4">
        <v>93</v>
      </c>
      <c r="C370" s="4" t="s">
        <v>175</v>
      </c>
      <c r="D370" s="4" t="s">
        <v>916</v>
      </c>
      <c r="E370" s="4">
        <v>75</v>
      </c>
      <c r="F370" s="4" t="s">
        <v>917</v>
      </c>
      <c r="G370" s="4" t="e">
        <f>E370*VLOOKUP(B370,alimentos_master!$A:$M,13,FALSE())/100</f>
        <v>#N/A</v>
      </c>
      <c r="H370" s="4" t="e">
        <f>E370*VLOOKUP(B370,alimentos_master!$A:$N,14,FALSE())/100</f>
        <v>#N/A</v>
      </c>
      <c r="I370" s="4" t="e">
        <f>E370*VLOOKUP(B370,alimentos_master!$A:$O,15,FALSE())/100</f>
        <v>#N/A</v>
      </c>
      <c r="J370" s="4" t="e">
        <f>E370*VLOOKUP(B370,alimentos_master!$A:$R,18,FALSE())/100</f>
        <v>#N/A</v>
      </c>
    </row>
    <row r="371" spans="1:10" ht="15" customHeight="1" x14ac:dyDescent="0.2">
      <c r="A371" s="4">
        <v>370</v>
      </c>
      <c r="B371" s="4">
        <v>93</v>
      </c>
      <c r="C371" s="4" t="s">
        <v>175</v>
      </c>
      <c r="D371" s="4" t="s">
        <v>918</v>
      </c>
      <c r="E371" s="4">
        <v>100</v>
      </c>
      <c r="F371" s="4" t="s">
        <v>917</v>
      </c>
      <c r="G371" s="4" t="e">
        <f>E371*VLOOKUP(B371,alimentos_master!$A:$M,13,FALSE())/100</f>
        <v>#N/A</v>
      </c>
      <c r="H371" s="4" t="e">
        <f>E371*VLOOKUP(B371,alimentos_master!$A:$N,14,FALSE())/100</f>
        <v>#N/A</v>
      </c>
      <c r="I371" s="4" t="e">
        <f>E371*VLOOKUP(B371,alimentos_master!$A:$O,15,FALSE())/100</f>
        <v>#N/A</v>
      </c>
      <c r="J371" s="4" t="e">
        <f>E371*VLOOKUP(B371,alimentos_master!$A:$R,18,FALSE())/100</f>
        <v>#N/A</v>
      </c>
    </row>
    <row r="372" spans="1:10" ht="15" customHeight="1" x14ac:dyDescent="0.2">
      <c r="A372" s="4">
        <v>371</v>
      </c>
      <c r="B372" s="4">
        <v>93</v>
      </c>
      <c r="C372" s="4" t="s">
        <v>175</v>
      </c>
      <c r="D372" s="4" t="s">
        <v>919</v>
      </c>
      <c r="E372" s="4">
        <v>150</v>
      </c>
      <c r="F372" s="4" t="s">
        <v>917</v>
      </c>
      <c r="G372" s="4" t="e">
        <f>E372*VLOOKUP(B372,alimentos_master!$A:$M,13,FALSE())/100</f>
        <v>#N/A</v>
      </c>
      <c r="H372" s="4" t="e">
        <f>E372*VLOOKUP(B372,alimentos_master!$A:$N,14,FALSE())/100</f>
        <v>#N/A</v>
      </c>
      <c r="I372" s="4" t="e">
        <f>E372*VLOOKUP(B372,alimentos_master!$A:$O,15,FALSE())/100</f>
        <v>#N/A</v>
      </c>
      <c r="J372" s="4" t="e">
        <f>E372*VLOOKUP(B372,alimentos_master!$A:$R,18,FALSE())/100</f>
        <v>#N/A</v>
      </c>
    </row>
    <row r="373" spans="1:10" ht="15" customHeight="1" x14ac:dyDescent="0.2">
      <c r="A373" s="4">
        <v>372</v>
      </c>
      <c r="B373" s="4">
        <v>93</v>
      </c>
      <c r="C373" s="4" t="s">
        <v>175</v>
      </c>
      <c r="D373" s="4" t="s">
        <v>920</v>
      </c>
      <c r="E373" s="4">
        <v>200</v>
      </c>
      <c r="F373" s="4" t="s">
        <v>917</v>
      </c>
      <c r="G373" s="4" t="e">
        <f>E373*VLOOKUP(B373,alimentos_master!$A:$M,13,FALSE())/100</f>
        <v>#N/A</v>
      </c>
      <c r="H373" s="4" t="e">
        <f>E373*VLOOKUP(B373,alimentos_master!$A:$N,14,FALSE())/100</f>
        <v>#N/A</v>
      </c>
      <c r="I373" s="4" t="e">
        <f>E373*VLOOKUP(B373,alimentos_master!$A:$O,15,FALSE())/100</f>
        <v>#N/A</v>
      </c>
      <c r="J373" s="4" t="e">
        <f>E373*VLOOKUP(B373,alimentos_master!$A:$R,18,FALSE())/100</f>
        <v>#N/A</v>
      </c>
    </row>
    <row r="374" spans="1:10" ht="15" customHeight="1" x14ac:dyDescent="0.2">
      <c r="A374" s="4">
        <v>373</v>
      </c>
      <c r="B374" s="4">
        <v>94</v>
      </c>
      <c r="C374" s="4" t="s">
        <v>176</v>
      </c>
      <c r="D374" s="4" t="s">
        <v>916</v>
      </c>
      <c r="E374" s="4">
        <v>75</v>
      </c>
      <c r="F374" s="4" t="s">
        <v>917</v>
      </c>
      <c r="G374" s="4">
        <f>E374*VLOOKUP(B374,alimentos_master!$A:$M,13,FALSE())/100</f>
        <v>257.25</v>
      </c>
      <c r="H374" s="4">
        <f>E374*VLOOKUP(B374,alimentos_master!$A:$N,14,FALSE())/100</f>
        <v>9.9749999999999996</v>
      </c>
      <c r="I374" s="4">
        <f>E374*VLOOKUP(B374,alimentos_master!$A:$O,15,FALSE())/100</f>
        <v>53.625</v>
      </c>
      <c r="J374" s="4">
        <f>E374*VLOOKUP(B374,alimentos_master!$A:$R,18,FALSE())/100</f>
        <v>2.5499999999999998</v>
      </c>
    </row>
    <row r="375" spans="1:10" ht="15" customHeight="1" x14ac:dyDescent="0.2">
      <c r="A375" s="4">
        <v>374</v>
      </c>
      <c r="B375" s="4">
        <v>94</v>
      </c>
      <c r="C375" s="4" t="s">
        <v>176</v>
      </c>
      <c r="D375" s="4" t="s">
        <v>918</v>
      </c>
      <c r="E375" s="4">
        <v>100</v>
      </c>
      <c r="F375" s="4" t="s">
        <v>917</v>
      </c>
      <c r="G375" s="4">
        <f>E375*VLOOKUP(B375,alimentos_master!$A:$M,13,FALSE())/100</f>
        <v>343</v>
      </c>
      <c r="H375" s="4">
        <f>E375*VLOOKUP(B375,alimentos_master!$A:$N,14,FALSE())/100</f>
        <v>13.3</v>
      </c>
      <c r="I375" s="4">
        <f>E375*VLOOKUP(B375,alimentos_master!$A:$O,15,FALSE())/100</f>
        <v>71.5</v>
      </c>
      <c r="J375" s="4">
        <f>E375*VLOOKUP(B375,alimentos_master!$A:$R,18,FALSE())/100</f>
        <v>3.4</v>
      </c>
    </row>
    <row r="376" spans="1:10" ht="15" customHeight="1" x14ac:dyDescent="0.2">
      <c r="A376" s="4">
        <v>375</v>
      </c>
      <c r="B376" s="4">
        <v>94</v>
      </c>
      <c r="C376" s="4" t="s">
        <v>176</v>
      </c>
      <c r="D376" s="4" t="s">
        <v>919</v>
      </c>
      <c r="E376" s="4">
        <v>150</v>
      </c>
      <c r="F376" s="4" t="s">
        <v>917</v>
      </c>
      <c r="G376" s="4">
        <f>E376*VLOOKUP(B376,alimentos_master!$A:$M,13,FALSE())/100</f>
        <v>514.5</v>
      </c>
      <c r="H376" s="4">
        <f>E376*VLOOKUP(B376,alimentos_master!$A:$N,14,FALSE())/100</f>
        <v>19.95</v>
      </c>
      <c r="I376" s="4">
        <f>E376*VLOOKUP(B376,alimentos_master!$A:$O,15,FALSE())/100</f>
        <v>107.25</v>
      </c>
      <c r="J376" s="4">
        <f>E376*VLOOKUP(B376,alimentos_master!$A:$R,18,FALSE())/100</f>
        <v>5.0999999999999996</v>
      </c>
    </row>
    <row r="377" spans="1:10" ht="15" customHeight="1" x14ac:dyDescent="0.2">
      <c r="A377" s="4">
        <v>376</v>
      </c>
      <c r="B377" s="4">
        <v>94</v>
      </c>
      <c r="C377" s="4" t="s">
        <v>176</v>
      </c>
      <c r="D377" s="4" t="s">
        <v>920</v>
      </c>
      <c r="E377" s="4">
        <v>200</v>
      </c>
      <c r="F377" s="4" t="s">
        <v>917</v>
      </c>
      <c r="G377" s="4">
        <f>E377*VLOOKUP(B377,alimentos_master!$A:$M,13,FALSE())/100</f>
        <v>686</v>
      </c>
      <c r="H377" s="4">
        <f>E377*VLOOKUP(B377,alimentos_master!$A:$N,14,FALSE())/100</f>
        <v>26.6</v>
      </c>
      <c r="I377" s="4">
        <f>E377*VLOOKUP(B377,alimentos_master!$A:$O,15,FALSE())/100</f>
        <v>143</v>
      </c>
      <c r="J377" s="4">
        <f>E377*VLOOKUP(B377,alimentos_master!$A:$R,18,FALSE())/100</f>
        <v>6.8</v>
      </c>
    </row>
    <row r="378" spans="1:10" ht="15" customHeight="1" x14ac:dyDescent="0.2">
      <c r="A378" s="4">
        <v>377</v>
      </c>
      <c r="B378" s="4">
        <v>95</v>
      </c>
      <c r="C378" s="4" t="s">
        <v>178</v>
      </c>
      <c r="D378" s="4" t="s">
        <v>916</v>
      </c>
      <c r="E378" s="4">
        <v>75</v>
      </c>
      <c r="F378" s="4" t="s">
        <v>917</v>
      </c>
      <c r="G378" s="4" t="e">
        <f>E378*VLOOKUP(B378,alimentos_master!$A:$M,13,FALSE())/100</f>
        <v>#N/A</v>
      </c>
      <c r="H378" s="4" t="e">
        <f>E378*VLOOKUP(B378,alimentos_master!$A:$N,14,FALSE())/100</f>
        <v>#N/A</v>
      </c>
      <c r="I378" s="4" t="e">
        <f>E378*VLOOKUP(B378,alimentos_master!$A:$O,15,FALSE())/100</f>
        <v>#N/A</v>
      </c>
      <c r="J378" s="4" t="e">
        <f>E378*VLOOKUP(B378,alimentos_master!$A:$R,18,FALSE())/100</f>
        <v>#N/A</v>
      </c>
    </row>
    <row r="379" spans="1:10" ht="15" customHeight="1" x14ac:dyDescent="0.2">
      <c r="A379" s="4">
        <v>378</v>
      </c>
      <c r="B379" s="4">
        <v>95</v>
      </c>
      <c r="C379" s="4" t="s">
        <v>178</v>
      </c>
      <c r="D379" s="4" t="s">
        <v>918</v>
      </c>
      <c r="E379" s="4">
        <v>100</v>
      </c>
      <c r="F379" s="4" t="s">
        <v>917</v>
      </c>
      <c r="G379" s="4" t="e">
        <f>E379*VLOOKUP(B379,alimentos_master!$A:$M,13,FALSE())/100</f>
        <v>#N/A</v>
      </c>
      <c r="H379" s="4" t="e">
        <f>E379*VLOOKUP(B379,alimentos_master!$A:$N,14,FALSE())/100</f>
        <v>#N/A</v>
      </c>
      <c r="I379" s="4" t="e">
        <f>E379*VLOOKUP(B379,alimentos_master!$A:$O,15,FALSE())/100</f>
        <v>#N/A</v>
      </c>
      <c r="J379" s="4" t="e">
        <f>E379*VLOOKUP(B379,alimentos_master!$A:$R,18,FALSE())/100</f>
        <v>#N/A</v>
      </c>
    </row>
    <row r="380" spans="1:10" ht="15" customHeight="1" x14ac:dyDescent="0.2">
      <c r="A380" s="4">
        <v>379</v>
      </c>
      <c r="B380" s="4">
        <v>95</v>
      </c>
      <c r="C380" s="4" t="s">
        <v>178</v>
      </c>
      <c r="D380" s="4" t="s">
        <v>919</v>
      </c>
      <c r="E380" s="4">
        <v>150</v>
      </c>
      <c r="F380" s="4" t="s">
        <v>917</v>
      </c>
      <c r="G380" s="4" t="e">
        <f>E380*VLOOKUP(B380,alimentos_master!$A:$M,13,FALSE())/100</f>
        <v>#N/A</v>
      </c>
      <c r="H380" s="4" t="e">
        <f>E380*VLOOKUP(B380,alimentos_master!$A:$N,14,FALSE())/100</f>
        <v>#N/A</v>
      </c>
      <c r="I380" s="4" t="e">
        <f>E380*VLOOKUP(B380,alimentos_master!$A:$O,15,FALSE())/100</f>
        <v>#N/A</v>
      </c>
      <c r="J380" s="4" t="e">
        <f>E380*VLOOKUP(B380,alimentos_master!$A:$R,18,FALSE())/100</f>
        <v>#N/A</v>
      </c>
    </row>
    <row r="381" spans="1:10" ht="15" customHeight="1" x14ac:dyDescent="0.2">
      <c r="A381" s="4">
        <v>380</v>
      </c>
      <c r="B381" s="4">
        <v>95</v>
      </c>
      <c r="C381" s="4" t="s">
        <v>178</v>
      </c>
      <c r="D381" s="4" t="s">
        <v>920</v>
      </c>
      <c r="E381" s="4">
        <v>200</v>
      </c>
      <c r="F381" s="4" t="s">
        <v>917</v>
      </c>
      <c r="G381" s="4" t="e">
        <f>E381*VLOOKUP(B381,alimentos_master!$A:$M,13,FALSE())/100</f>
        <v>#N/A</v>
      </c>
      <c r="H381" s="4" t="e">
        <f>E381*VLOOKUP(B381,alimentos_master!$A:$N,14,FALSE())/100</f>
        <v>#N/A</v>
      </c>
      <c r="I381" s="4" t="e">
        <f>E381*VLOOKUP(B381,alimentos_master!$A:$O,15,FALSE())/100</f>
        <v>#N/A</v>
      </c>
      <c r="J381" s="4" t="e">
        <f>E381*VLOOKUP(B381,alimentos_master!$A:$R,18,FALSE())/100</f>
        <v>#N/A</v>
      </c>
    </row>
    <row r="382" spans="1:10" ht="15" customHeight="1" x14ac:dyDescent="0.2">
      <c r="A382" s="4">
        <v>381</v>
      </c>
      <c r="B382" s="4">
        <v>96</v>
      </c>
      <c r="C382" s="4" t="s">
        <v>179</v>
      </c>
      <c r="D382" s="4" t="s">
        <v>916</v>
      </c>
      <c r="E382" s="4">
        <v>75</v>
      </c>
      <c r="F382" s="4" t="s">
        <v>917</v>
      </c>
      <c r="G382" s="4" t="e">
        <f>E382*VLOOKUP(B382,alimentos_master!$A:$M,13,FALSE())/100</f>
        <v>#N/A</v>
      </c>
      <c r="H382" s="4" t="e">
        <f>E382*VLOOKUP(B382,alimentos_master!$A:$N,14,FALSE())/100</f>
        <v>#N/A</v>
      </c>
      <c r="I382" s="4" t="e">
        <f>E382*VLOOKUP(B382,alimentos_master!$A:$O,15,FALSE())/100</f>
        <v>#N/A</v>
      </c>
      <c r="J382" s="4" t="e">
        <f>E382*VLOOKUP(B382,alimentos_master!$A:$R,18,FALSE())/100</f>
        <v>#N/A</v>
      </c>
    </row>
    <row r="383" spans="1:10" ht="15" customHeight="1" x14ac:dyDescent="0.2">
      <c r="A383" s="4">
        <v>382</v>
      </c>
      <c r="B383" s="4">
        <v>96</v>
      </c>
      <c r="C383" s="4" t="s">
        <v>179</v>
      </c>
      <c r="D383" s="4" t="s">
        <v>918</v>
      </c>
      <c r="E383" s="4">
        <v>100</v>
      </c>
      <c r="F383" s="4" t="s">
        <v>917</v>
      </c>
      <c r="G383" s="4" t="e">
        <f>E383*VLOOKUP(B383,alimentos_master!$A:$M,13,FALSE())/100</f>
        <v>#N/A</v>
      </c>
      <c r="H383" s="4" t="e">
        <f>E383*VLOOKUP(B383,alimentos_master!$A:$N,14,FALSE())/100</f>
        <v>#N/A</v>
      </c>
      <c r="I383" s="4" t="e">
        <f>E383*VLOOKUP(B383,alimentos_master!$A:$O,15,FALSE())/100</f>
        <v>#N/A</v>
      </c>
      <c r="J383" s="4" t="e">
        <f>E383*VLOOKUP(B383,alimentos_master!$A:$R,18,FALSE())/100</f>
        <v>#N/A</v>
      </c>
    </row>
    <row r="384" spans="1:10" ht="15" customHeight="1" x14ac:dyDescent="0.2">
      <c r="A384" s="4">
        <v>383</v>
      </c>
      <c r="B384" s="4">
        <v>96</v>
      </c>
      <c r="C384" s="4" t="s">
        <v>179</v>
      </c>
      <c r="D384" s="4" t="s">
        <v>919</v>
      </c>
      <c r="E384" s="4">
        <v>150</v>
      </c>
      <c r="F384" s="4" t="s">
        <v>917</v>
      </c>
      <c r="G384" s="4" t="e">
        <f>E384*VLOOKUP(B384,alimentos_master!$A:$M,13,FALSE())/100</f>
        <v>#N/A</v>
      </c>
      <c r="H384" s="4" t="e">
        <f>E384*VLOOKUP(B384,alimentos_master!$A:$N,14,FALSE())/100</f>
        <v>#N/A</v>
      </c>
      <c r="I384" s="4" t="e">
        <f>E384*VLOOKUP(B384,alimentos_master!$A:$O,15,FALSE())/100</f>
        <v>#N/A</v>
      </c>
      <c r="J384" s="4" t="e">
        <f>E384*VLOOKUP(B384,alimentos_master!$A:$R,18,FALSE())/100</f>
        <v>#N/A</v>
      </c>
    </row>
    <row r="385" spans="1:10" ht="15" customHeight="1" x14ac:dyDescent="0.2">
      <c r="A385" s="4">
        <v>384</v>
      </c>
      <c r="B385" s="4">
        <v>96</v>
      </c>
      <c r="C385" s="4" t="s">
        <v>179</v>
      </c>
      <c r="D385" s="4" t="s">
        <v>920</v>
      </c>
      <c r="E385" s="4">
        <v>200</v>
      </c>
      <c r="F385" s="4" t="s">
        <v>917</v>
      </c>
      <c r="G385" s="4" t="e">
        <f>E385*VLOOKUP(B385,alimentos_master!$A:$M,13,FALSE())/100</f>
        <v>#N/A</v>
      </c>
      <c r="H385" s="4" t="e">
        <f>E385*VLOOKUP(B385,alimentos_master!$A:$N,14,FALSE())/100</f>
        <v>#N/A</v>
      </c>
      <c r="I385" s="4" t="e">
        <f>E385*VLOOKUP(B385,alimentos_master!$A:$O,15,FALSE())/100</f>
        <v>#N/A</v>
      </c>
      <c r="J385" s="4" t="e">
        <f>E385*VLOOKUP(B385,alimentos_master!$A:$R,18,FALSE())/100</f>
        <v>#N/A</v>
      </c>
    </row>
    <row r="386" spans="1:10" ht="15" customHeight="1" x14ac:dyDescent="0.2">
      <c r="A386" s="4">
        <v>385</v>
      </c>
      <c r="B386" s="4">
        <v>97</v>
      </c>
      <c r="C386" s="4" t="s">
        <v>180</v>
      </c>
      <c r="D386" s="4" t="s">
        <v>916</v>
      </c>
      <c r="E386" s="4">
        <v>75</v>
      </c>
      <c r="F386" s="4" t="s">
        <v>917</v>
      </c>
      <c r="G386" s="4">
        <f>E386*VLOOKUP(B386,alimentos_master!$A:$M,13,FALSE())/100</f>
        <v>87.45</v>
      </c>
      <c r="H386" s="4">
        <f>E386*VLOOKUP(B386,alimentos_master!$A:$N,14,FALSE())/100</f>
        <v>3.5924999999999998</v>
      </c>
      <c r="I386" s="4">
        <f>E386*VLOOKUP(B386,alimentos_master!$A:$O,15,FALSE())/100</f>
        <v>19.304999999999996</v>
      </c>
      <c r="J386" s="4">
        <f>E386*VLOOKUP(B386,alimentos_master!$A:$R,18,FALSE())/100</f>
        <v>0.87</v>
      </c>
    </row>
    <row r="387" spans="1:10" ht="15" customHeight="1" x14ac:dyDescent="0.2">
      <c r="A387" s="4">
        <v>386</v>
      </c>
      <c r="B387" s="4">
        <v>97</v>
      </c>
      <c r="C387" s="4" t="s">
        <v>180</v>
      </c>
      <c r="D387" s="4" t="s">
        <v>918</v>
      </c>
      <c r="E387" s="4">
        <v>100</v>
      </c>
      <c r="F387" s="4" t="s">
        <v>917</v>
      </c>
      <c r="G387" s="4">
        <f>E387*VLOOKUP(B387,alimentos_master!$A:$M,13,FALSE())/100</f>
        <v>116.6</v>
      </c>
      <c r="H387" s="4">
        <f>E387*VLOOKUP(B387,alimentos_master!$A:$N,14,FALSE())/100</f>
        <v>4.79</v>
      </c>
      <c r="I387" s="4">
        <f>E387*VLOOKUP(B387,alimentos_master!$A:$O,15,FALSE())/100</f>
        <v>25.74</v>
      </c>
      <c r="J387" s="4">
        <f>E387*VLOOKUP(B387,alimentos_master!$A:$R,18,FALSE())/100</f>
        <v>1.1599999999999999</v>
      </c>
    </row>
    <row r="388" spans="1:10" ht="15" customHeight="1" x14ac:dyDescent="0.2">
      <c r="A388" s="4">
        <v>387</v>
      </c>
      <c r="B388" s="4">
        <v>97</v>
      </c>
      <c r="C388" s="4" t="s">
        <v>180</v>
      </c>
      <c r="D388" s="4" t="s">
        <v>919</v>
      </c>
      <c r="E388" s="4">
        <v>150</v>
      </c>
      <c r="F388" s="4" t="s">
        <v>917</v>
      </c>
      <c r="G388" s="4">
        <f>E388*VLOOKUP(B388,alimentos_master!$A:$M,13,FALSE())/100</f>
        <v>174.9</v>
      </c>
      <c r="H388" s="4">
        <f>E388*VLOOKUP(B388,alimentos_master!$A:$N,14,FALSE())/100</f>
        <v>7.1849999999999996</v>
      </c>
      <c r="I388" s="4">
        <f>E388*VLOOKUP(B388,alimentos_master!$A:$O,15,FALSE())/100</f>
        <v>38.609999999999992</v>
      </c>
      <c r="J388" s="4">
        <f>E388*VLOOKUP(B388,alimentos_master!$A:$R,18,FALSE())/100</f>
        <v>1.74</v>
      </c>
    </row>
    <row r="389" spans="1:10" ht="15" customHeight="1" x14ac:dyDescent="0.2">
      <c r="A389" s="4">
        <v>388</v>
      </c>
      <c r="B389" s="4">
        <v>97</v>
      </c>
      <c r="C389" s="4" t="s">
        <v>180</v>
      </c>
      <c r="D389" s="4" t="s">
        <v>920</v>
      </c>
      <c r="E389" s="4">
        <v>200</v>
      </c>
      <c r="F389" s="4" t="s">
        <v>917</v>
      </c>
      <c r="G389" s="4">
        <f>E389*VLOOKUP(B389,alimentos_master!$A:$M,13,FALSE())/100</f>
        <v>233.2</v>
      </c>
      <c r="H389" s="4">
        <f>E389*VLOOKUP(B389,alimentos_master!$A:$N,14,FALSE())/100</f>
        <v>9.58</v>
      </c>
      <c r="I389" s="4">
        <f>E389*VLOOKUP(B389,alimentos_master!$A:$O,15,FALSE())/100</f>
        <v>51.48</v>
      </c>
      <c r="J389" s="4">
        <f>E389*VLOOKUP(B389,alimentos_master!$A:$R,18,FALSE())/100</f>
        <v>2.3199999999999998</v>
      </c>
    </row>
    <row r="390" spans="1:10" ht="15" customHeight="1" x14ac:dyDescent="0.2">
      <c r="A390" s="4">
        <v>389</v>
      </c>
      <c r="B390" s="4">
        <v>98</v>
      </c>
      <c r="C390" s="4" t="s">
        <v>181</v>
      </c>
      <c r="D390" s="4" t="s">
        <v>916</v>
      </c>
      <c r="E390" s="4">
        <v>75</v>
      </c>
      <c r="F390" s="4" t="s">
        <v>917</v>
      </c>
      <c r="G390" s="4" t="e">
        <f>E390*VLOOKUP(B390,alimentos_master!$A:$M,13,FALSE())/100</f>
        <v>#N/A</v>
      </c>
      <c r="H390" s="4" t="e">
        <f>E390*VLOOKUP(B390,alimentos_master!$A:$N,14,FALSE())/100</f>
        <v>#N/A</v>
      </c>
      <c r="I390" s="4" t="e">
        <f>E390*VLOOKUP(B390,alimentos_master!$A:$O,15,FALSE())/100</f>
        <v>#N/A</v>
      </c>
      <c r="J390" s="4" t="e">
        <f>E390*VLOOKUP(B390,alimentos_master!$A:$R,18,FALSE())/100</f>
        <v>#N/A</v>
      </c>
    </row>
    <row r="391" spans="1:10" ht="15" customHeight="1" x14ac:dyDescent="0.2">
      <c r="A391" s="4">
        <v>390</v>
      </c>
      <c r="B391" s="4">
        <v>98</v>
      </c>
      <c r="C391" s="4" t="s">
        <v>181</v>
      </c>
      <c r="D391" s="4" t="s">
        <v>918</v>
      </c>
      <c r="E391" s="4">
        <v>100</v>
      </c>
      <c r="F391" s="4" t="s">
        <v>917</v>
      </c>
      <c r="G391" s="4" t="e">
        <f>E391*VLOOKUP(B391,alimentos_master!$A:$M,13,FALSE())/100</f>
        <v>#N/A</v>
      </c>
      <c r="H391" s="4" t="e">
        <f>E391*VLOOKUP(B391,alimentos_master!$A:$N,14,FALSE())/100</f>
        <v>#N/A</v>
      </c>
      <c r="I391" s="4" t="e">
        <f>E391*VLOOKUP(B391,alimentos_master!$A:$O,15,FALSE())/100</f>
        <v>#N/A</v>
      </c>
      <c r="J391" s="4" t="e">
        <f>E391*VLOOKUP(B391,alimentos_master!$A:$R,18,FALSE())/100</f>
        <v>#N/A</v>
      </c>
    </row>
    <row r="392" spans="1:10" ht="15" customHeight="1" x14ac:dyDescent="0.2">
      <c r="A392" s="4">
        <v>391</v>
      </c>
      <c r="B392" s="4">
        <v>98</v>
      </c>
      <c r="C392" s="4" t="s">
        <v>181</v>
      </c>
      <c r="D392" s="4" t="s">
        <v>919</v>
      </c>
      <c r="E392" s="4">
        <v>150</v>
      </c>
      <c r="F392" s="4" t="s">
        <v>917</v>
      </c>
      <c r="G392" s="4" t="e">
        <f>E392*VLOOKUP(B392,alimentos_master!$A:$M,13,FALSE())/100</f>
        <v>#N/A</v>
      </c>
      <c r="H392" s="4" t="e">
        <f>E392*VLOOKUP(B392,alimentos_master!$A:$N,14,FALSE())/100</f>
        <v>#N/A</v>
      </c>
      <c r="I392" s="4" t="e">
        <f>E392*VLOOKUP(B392,alimentos_master!$A:$O,15,FALSE())/100</f>
        <v>#N/A</v>
      </c>
      <c r="J392" s="4" t="e">
        <f>E392*VLOOKUP(B392,alimentos_master!$A:$R,18,FALSE())/100</f>
        <v>#N/A</v>
      </c>
    </row>
    <row r="393" spans="1:10" ht="15" customHeight="1" x14ac:dyDescent="0.2">
      <c r="A393" s="4">
        <v>392</v>
      </c>
      <c r="B393" s="4">
        <v>98</v>
      </c>
      <c r="C393" s="4" t="s">
        <v>181</v>
      </c>
      <c r="D393" s="4" t="s">
        <v>920</v>
      </c>
      <c r="E393" s="4">
        <v>200</v>
      </c>
      <c r="F393" s="4" t="s">
        <v>917</v>
      </c>
      <c r="G393" s="4" t="e">
        <f>E393*VLOOKUP(B393,alimentos_master!$A:$M,13,FALSE())/100</f>
        <v>#N/A</v>
      </c>
      <c r="H393" s="4" t="e">
        <f>E393*VLOOKUP(B393,alimentos_master!$A:$N,14,FALSE())/100</f>
        <v>#N/A</v>
      </c>
      <c r="I393" s="4" t="e">
        <f>E393*VLOOKUP(B393,alimentos_master!$A:$O,15,FALSE())/100</f>
        <v>#N/A</v>
      </c>
      <c r="J393" s="4" t="e">
        <f>E393*VLOOKUP(B393,alimentos_master!$A:$R,18,FALSE())/100</f>
        <v>#N/A</v>
      </c>
    </row>
    <row r="394" spans="1:10" ht="15" customHeight="1" x14ac:dyDescent="0.2">
      <c r="A394" s="4">
        <v>393</v>
      </c>
      <c r="B394" s="4">
        <v>99</v>
      </c>
      <c r="C394" s="4" t="s">
        <v>182</v>
      </c>
      <c r="D394" s="4" t="s">
        <v>916</v>
      </c>
      <c r="E394" s="4">
        <v>75</v>
      </c>
      <c r="F394" s="4" t="s">
        <v>917</v>
      </c>
      <c r="G394" s="4" t="e">
        <f>E394*VLOOKUP(B394,alimentos_master!$A:$M,13,FALSE())/100</f>
        <v>#N/A</v>
      </c>
      <c r="H394" s="4" t="e">
        <f>E394*VLOOKUP(B394,alimentos_master!$A:$N,14,FALSE())/100</f>
        <v>#N/A</v>
      </c>
      <c r="I394" s="4" t="e">
        <f>E394*VLOOKUP(B394,alimentos_master!$A:$O,15,FALSE())/100</f>
        <v>#N/A</v>
      </c>
      <c r="J394" s="4" t="e">
        <f>E394*VLOOKUP(B394,alimentos_master!$A:$R,18,FALSE())/100</f>
        <v>#N/A</v>
      </c>
    </row>
    <row r="395" spans="1:10" ht="15" customHeight="1" x14ac:dyDescent="0.2">
      <c r="A395" s="4">
        <v>394</v>
      </c>
      <c r="B395" s="4">
        <v>99</v>
      </c>
      <c r="C395" s="4" t="s">
        <v>182</v>
      </c>
      <c r="D395" s="4" t="s">
        <v>918</v>
      </c>
      <c r="E395" s="4">
        <v>100</v>
      </c>
      <c r="F395" s="4" t="s">
        <v>917</v>
      </c>
      <c r="G395" s="4" t="e">
        <f>E395*VLOOKUP(B395,alimentos_master!$A:$M,13,FALSE())/100</f>
        <v>#N/A</v>
      </c>
      <c r="H395" s="4" t="e">
        <f>E395*VLOOKUP(B395,alimentos_master!$A:$N,14,FALSE())/100</f>
        <v>#N/A</v>
      </c>
      <c r="I395" s="4" t="e">
        <f>E395*VLOOKUP(B395,alimentos_master!$A:$O,15,FALSE())/100</f>
        <v>#N/A</v>
      </c>
      <c r="J395" s="4" t="e">
        <f>E395*VLOOKUP(B395,alimentos_master!$A:$R,18,FALSE())/100</f>
        <v>#N/A</v>
      </c>
    </row>
    <row r="396" spans="1:10" ht="15" customHeight="1" x14ac:dyDescent="0.2">
      <c r="A396" s="4">
        <v>395</v>
      </c>
      <c r="B396" s="4">
        <v>99</v>
      </c>
      <c r="C396" s="4" t="s">
        <v>182</v>
      </c>
      <c r="D396" s="4" t="s">
        <v>919</v>
      </c>
      <c r="E396" s="4">
        <v>150</v>
      </c>
      <c r="F396" s="4" t="s">
        <v>917</v>
      </c>
      <c r="G396" s="4" t="e">
        <f>E396*VLOOKUP(B396,alimentos_master!$A:$M,13,FALSE())/100</f>
        <v>#N/A</v>
      </c>
      <c r="H396" s="4" t="e">
        <f>E396*VLOOKUP(B396,alimentos_master!$A:$N,14,FALSE())/100</f>
        <v>#N/A</v>
      </c>
      <c r="I396" s="4" t="e">
        <f>E396*VLOOKUP(B396,alimentos_master!$A:$O,15,FALSE())/100</f>
        <v>#N/A</v>
      </c>
      <c r="J396" s="4" t="e">
        <f>E396*VLOOKUP(B396,alimentos_master!$A:$R,18,FALSE())/100</f>
        <v>#N/A</v>
      </c>
    </row>
    <row r="397" spans="1:10" ht="15" customHeight="1" x14ac:dyDescent="0.2">
      <c r="A397" s="4">
        <v>396</v>
      </c>
      <c r="B397" s="4">
        <v>99</v>
      </c>
      <c r="C397" s="4" t="s">
        <v>182</v>
      </c>
      <c r="D397" s="4" t="s">
        <v>920</v>
      </c>
      <c r="E397" s="4">
        <v>200</v>
      </c>
      <c r="F397" s="4" t="s">
        <v>917</v>
      </c>
      <c r="G397" s="4" t="e">
        <f>E397*VLOOKUP(B397,alimentos_master!$A:$M,13,FALSE())/100</f>
        <v>#N/A</v>
      </c>
      <c r="H397" s="4" t="e">
        <f>E397*VLOOKUP(B397,alimentos_master!$A:$N,14,FALSE())/100</f>
        <v>#N/A</v>
      </c>
      <c r="I397" s="4" t="e">
        <f>E397*VLOOKUP(B397,alimentos_master!$A:$O,15,FALSE())/100</f>
        <v>#N/A</v>
      </c>
      <c r="J397" s="4" t="e">
        <f>E397*VLOOKUP(B397,alimentos_master!$A:$R,18,FALSE())/100</f>
        <v>#N/A</v>
      </c>
    </row>
    <row r="398" spans="1:10" ht="15" customHeight="1" x14ac:dyDescent="0.2">
      <c r="A398" s="4">
        <v>397</v>
      </c>
      <c r="B398" s="4">
        <v>100</v>
      </c>
      <c r="C398" s="4" t="s">
        <v>183</v>
      </c>
      <c r="D398" s="4" t="s">
        <v>916</v>
      </c>
      <c r="E398" s="4">
        <v>75</v>
      </c>
      <c r="F398" s="4" t="s">
        <v>917</v>
      </c>
      <c r="G398" s="4">
        <f>E398*VLOOKUP(B398,alimentos_master!$A:$M,13,FALSE())/100</f>
        <v>270.14999999999998</v>
      </c>
      <c r="H398" s="4">
        <f>E398*VLOOKUP(B398,alimentos_master!$A:$N,14,FALSE())/100</f>
        <v>9.4725000000000019</v>
      </c>
      <c r="I398" s="4">
        <f>E398*VLOOKUP(B398,alimentos_master!$A:$O,15,FALSE())/100</f>
        <v>50.94</v>
      </c>
      <c r="J398" s="4">
        <f>E398*VLOOKUP(B398,alimentos_master!$A:$R,18,FALSE())/100</f>
        <v>2.6775000000000002</v>
      </c>
    </row>
    <row r="399" spans="1:10" ht="15" customHeight="1" x14ac:dyDescent="0.2">
      <c r="A399" s="4">
        <v>398</v>
      </c>
      <c r="B399" s="4">
        <v>100</v>
      </c>
      <c r="C399" s="4" t="s">
        <v>183</v>
      </c>
      <c r="D399" s="4" t="s">
        <v>918</v>
      </c>
      <c r="E399" s="4">
        <v>100</v>
      </c>
      <c r="F399" s="4" t="s">
        <v>917</v>
      </c>
      <c r="G399" s="4">
        <f>E399*VLOOKUP(B399,alimentos_master!$A:$M,13,FALSE())/100</f>
        <v>360.2</v>
      </c>
      <c r="H399" s="4">
        <f>E399*VLOOKUP(B399,alimentos_master!$A:$N,14,FALSE())/100</f>
        <v>12.63</v>
      </c>
      <c r="I399" s="4">
        <f>E399*VLOOKUP(B399,alimentos_master!$A:$O,15,FALSE())/100</f>
        <v>67.92</v>
      </c>
      <c r="J399" s="4">
        <f>E399*VLOOKUP(B399,alimentos_master!$A:$R,18,FALSE())/100</f>
        <v>3.57</v>
      </c>
    </row>
    <row r="400" spans="1:10" ht="15" customHeight="1" x14ac:dyDescent="0.2">
      <c r="A400" s="4">
        <v>399</v>
      </c>
      <c r="B400" s="4">
        <v>100</v>
      </c>
      <c r="C400" s="4" t="s">
        <v>183</v>
      </c>
      <c r="D400" s="4" t="s">
        <v>919</v>
      </c>
      <c r="E400" s="4">
        <v>150</v>
      </c>
      <c r="F400" s="4" t="s">
        <v>917</v>
      </c>
      <c r="G400" s="4">
        <f>E400*VLOOKUP(B400,alimentos_master!$A:$M,13,FALSE())/100</f>
        <v>540.29999999999995</v>
      </c>
      <c r="H400" s="4">
        <f>E400*VLOOKUP(B400,alimentos_master!$A:$N,14,FALSE())/100</f>
        <v>18.945000000000004</v>
      </c>
      <c r="I400" s="4">
        <f>E400*VLOOKUP(B400,alimentos_master!$A:$O,15,FALSE())/100</f>
        <v>101.88</v>
      </c>
      <c r="J400" s="4">
        <f>E400*VLOOKUP(B400,alimentos_master!$A:$R,18,FALSE())/100</f>
        <v>5.3550000000000004</v>
      </c>
    </row>
    <row r="401" spans="1:10" ht="15" customHeight="1" x14ac:dyDescent="0.2">
      <c r="A401" s="4">
        <v>400</v>
      </c>
      <c r="B401" s="4">
        <v>100</v>
      </c>
      <c r="C401" s="4" t="s">
        <v>183</v>
      </c>
      <c r="D401" s="4" t="s">
        <v>920</v>
      </c>
      <c r="E401" s="4">
        <v>200</v>
      </c>
      <c r="F401" s="4" t="s">
        <v>917</v>
      </c>
      <c r="G401" s="4">
        <f>E401*VLOOKUP(B401,alimentos_master!$A:$M,13,FALSE())/100</f>
        <v>720.4</v>
      </c>
      <c r="H401" s="4">
        <f>E401*VLOOKUP(B401,alimentos_master!$A:$N,14,FALSE())/100</f>
        <v>25.26</v>
      </c>
      <c r="I401" s="4">
        <f>E401*VLOOKUP(B401,alimentos_master!$A:$O,15,FALSE())/100</f>
        <v>135.84</v>
      </c>
      <c r="J401" s="4">
        <f>E401*VLOOKUP(B401,alimentos_master!$A:$R,18,FALSE())/100</f>
        <v>7.14</v>
      </c>
    </row>
    <row r="402" spans="1:10" ht="15" customHeight="1" x14ac:dyDescent="0.2">
      <c r="A402" s="4">
        <v>401</v>
      </c>
      <c r="B402" s="4">
        <v>101</v>
      </c>
      <c r="C402" s="4" t="s">
        <v>184</v>
      </c>
      <c r="D402" s="4" t="s">
        <v>916</v>
      </c>
      <c r="E402" s="4">
        <v>75</v>
      </c>
      <c r="F402" s="4" t="s">
        <v>917</v>
      </c>
      <c r="G402" s="4" t="e">
        <f>E402*VLOOKUP(B402,alimentos_master!$A:$M,13,FALSE())/100</f>
        <v>#N/A</v>
      </c>
      <c r="H402" s="4" t="e">
        <f>E402*VLOOKUP(B402,alimentos_master!$A:$N,14,FALSE())/100</f>
        <v>#N/A</v>
      </c>
      <c r="I402" s="4" t="e">
        <f>E402*VLOOKUP(B402,alimentos_master!$A:$O,15,FALSE())/100</f>
        <v>#N/A</v>
      </c>
      <c r="J402" s="4" t="e">
        <f>E402*VLOOKUP(B402,alimentos_master!$A:$R,18,FALSE())/100</f>
        <v>#N/A</v>
      </c>
    </row>
    <row r="403" spans="1:10" ht="15" customHeight="1" x14ac:dyDescent="0.2">
      <c r="A403" s="4">
        <v>402</v>
      </c>
      <c r="B403" s="4">
        <v>101</v>
      </c>
      <c r="C403" s="4" t="s">
        <v>184</v>
      </c>
      <c r="D403" s="4" t="s">
        <v>918</v>
      </c>
      <c r="E403" s="4">
        <v>100</v>
      </c>
      <c r="F403" s="4" t="s">
        <v>917</v>
      </c>
      <c r="G403" s="4" t="e">
        <f>E403*VLOOKUP(B403,alimentos_master!$A:$M,13,FALSE())/100</f>
        <v>#N/A</v>
      </c>
      <c r="H403" s="4" t="e">
        <f>E403*VLOOKUP(B403,alimentos_master!$A:$N,14,FALSE())/100</f>
        <v>#N/A</v>
      </c>
      <c r="I403" s="4" t="e">
        <f>E403*VLOOKUP(B403,alimentos_master!$A:$O,15,FALSE())/100</f>
        <v>#N/A</v>
      </c>
      <c r="J403" s="4" t="e">
        <f>E403*VLOOKUP(B403,alimentos_master!$A:$R,18,FALSE())/100</f>
        <v>#N/A</v>
      </c>
    </row>
    <row r="404" spans="1:10" ht="15" customHeight="1" x14ac:dyDescent="0.2">
      <c r="A404" s="4">
        <v>403</v>
      </c>
      <c r="B404" s="4">
        <v>101</v>
      </c>
      <c r="C404" s="4" t="s">
        <v>184</v>
      </c>
      <c r="D404" s="4" t="s">
        <v>919</v>
      </c>
      <c r="E404" s="4">
        <v>150</v>
      </c>
      <c r="F404" s="4" t="s">
        <v>917</v>
      </c>
      <c r="G404" s="4" t="e">
        <f>E404*VLOOKUP(B404,alimentos_master!$A:$M,13,FALSE())/100</f>
        <v>#N/A</v>
      </c>
      <c r="H404" s="4" t="e">
        <f>E404*VLOOKUP(B404,alimentos_master!$A:$N,14,FALSE())/100</f>
        <v>#N/A</v>
      </c>
      <c r="I404" s="4" t="e">
        <f>E404*VLOOKUP(B404,alimentos_master!$A:$O,15,FALSE())/100</f>
        <v>#N/A</v>
      </c>
      <c r="J404" s="4" t="e">
        <f>E404*VLOOKUP(B404,alimentos_master!$A:$R,18,FALSE())/100</f>
        <v>#N/A</v>
      </c>
    </row>
    <row r="405" spans="1:10" ht="15" customHeight="1" x14ac:dyDescent="0.2">
      <c r="A405" s="4">
        <v>404</v>
      </c>
      <c r="B405" s="4">
        <v>101</v>
      </c>
      <c r="C405" s="4" t="s">
        <v>184</v>
      </c>
      <c r="D405" s="4" t="s">
        <v>920</v>
      </c>
      <c r="E405" s="4">
        <v>200</v>
      </c>
      <c r="F405" s="4" t="s">
        <v>917</v>
      </c>
      <c r="G405" s="4" t="e">
        <f>E405*VLOOKUP(B405,alimentos_master!$A:$M,13,FALSE())/100</f>
        <v>#N/A</v>
      </c>
      <c r="H405" s="4" t="e">
        <f>E405*VLOOKUP(B405,alimentos_master!$A:$N,14,FALSE())/100</f>
        <v>#N/A</v>
      </c>
      <c r="I405" s="4" t="e">
        <f>E405*VLOOKUP(B405,alimentos_master!$A:$O,15,FALSE())/100</f>
        <v>#N/A</v>
      </c>
      <c r="J405" s="4" t="e">
        <f>E405*VLOOKUP(B405,alimentos_master!$A:$R,18,FALSE())/100</f>
        <v>#N/A</v>
      </c>
    </row>
    <row r="406" spans="1:10" ht="15" customHeight="1" x14ac:dyDescent="0.2">
      <c r="A406" s="4">
        <v>405</v>
      </c>
      <c r="B406" s="4">
        <v>102</v>
      </c>
      <c r="C406" s="4" t="s">
        <v>185</v>
      </c>
      <c r="D406" s="4" t="s">
        <v>916</v>
      </c>
      <c r="E406" s="4">
        <v>75</v>
      </c>
      <c r="F406" s="4" t="s">
        <v>917</v>
      </c>
      <c r="G406" s="4" t="e">
        <f>E406*VLOOKUP(B406,alimentos_master!$A:$M,13,FALSE())/100</f>
        <v>#N/A</v>
      </c>
      <c r="H406" s="4" t="e">
        <f>E406*VLOOKUP(B406,alimentos_master!$A:$N,14,FALSE())/100</f>
        <v>#N/A</v>
      </c>
      <c r="I406" s="4" t="e">
        <f>E406*VLOOKUP(B406,alimentos_master!$A:$O,15,FALSE())/100</f>
        <v>#N/A</v>
      </c>
      <c r="J406" s="4" t="e">
        <f>E406*VLOOKUP(B406,alimentos_master!$A:$R,18,FALSE())/100</f>
        <v>#N/A</v>
      </c>
    </row>
    <row r="407" spans="1:10" ht="15" customHeight="1" x14ac:dyDescent="0.2">
      <c r="A407" s="4">
        <v>406</v>
      </c>
      <c r="B407" s="4">
        <v>102</v>
      </c>
      <c r="C407" s="4" t="s">
        <v>185</v>
      </c>
      <c r="D407" s="4" t="s">
        <v>918</v>
      </c>
      <c r="E407" s="4">
        <v>100</v>
      </c>
      <c r="F407" s="4" t="s">
        <v>917</v>
      </c>
      <c r="G407" s="4" t="e">
        <f>E407*VLOOKUP(B407,alimentos_master!$A:$M,13,FALSE())/100</f>
        <v>#N/A</v>
      </c>
      <c r="H407" s="4" t="e">
        <f>E407*VLOOKUP(B407,alimentos_master!$A:$N,14,FALSE())/100</f>
        <v>#N/A</v>
      </c>
      <c r="I407" s="4" t="e">
        <f>E407*VLOOKUP(B407,alimentos_master!$A:$O,15,FALSE())/100</f>
        <v>#N/A</v>
      </c>
      <c r="J407" s="4" t="e">
        <f>E407*VLOOKUP(B407,alimentos_master!$A:$R,18,FALSE())/100</f>
        <v>#N/A</v>
      </c>
    </row>
    <row r="408" spans="1:10" ht="15" customHeight="1" x14ac:dyDescent="0.2">
      <c r="A408" s="4">
        <v>407</v>
      </c>
      <c r="B408" s="4">
        <v>102</v>
      </c>
      <c r="C408" s="4" t="s">
        <v>185</v>
      </c>
      <c r="D408" s="4" t="s">
        <v>919</v>
      </c>
      <c r="E408" s="4">
        <v>150</v>
      </c>
      <c r="F408" s="4" t="s">
        <v>917</v>
      </c>
      <c r="G408" s="4" t="e">
        <f>E408*VLOOKUP(B408,alimentos_master!$A:$M,13,FALSE())/100</f>
        <v>#N/A</v>
      </c>
      <c r="H408" s="4" t="e">
        <f>E408*VLOOKUP(B408,alimentos_master!$A:$N,14,FALSE())/100</f>
        <v>#N/A</v>
      </c>
      <c r="I408" s="4" t="e">
        <f>E408*VLOOKUP(B408,alimentos_master!$A:$O,15,FALSE())/100</f>
        <v>#N/A</v>
      </c>
      <c r="J408" s="4" t="e">
        <f>E408*VLOOKUP(B408,alimentos_master!$A:$R,18,FALSE())/100</f>
        <v>#N/A</v>
      </c>
    </row>
    <row r="409" spans="1:10" ht="15" customHeight="1" x14ac:dyDescent="0.2">
      <c r="A409" s="4">
        <v>408</v>
      </c>
      <c r="B409" s="4">
        <v>102</v>
      </c>
      <c r="C409" s="4" t="s">
        <v>185</v>
      </c>
      <c r="D409" s="4" t="s">
        <v>920</v>
      </c>
      <c r="E409" s="4">
        <v>200</v>
      </c>
      <c r="F409" s="4" t="s">
        <v>917</v>
      </c>
      <c r="G409" s="4" t="e">
        <f>E409*VLOOKUP(B409,alimentos_master!$A:$M,13,FALSE())/100</f>
        <v>#N/A</v>
      </c>
      <c r="H409" s="4" t="e">
        <f>E409*VLOOKUP(B409,alimentos_master!$A:$N,14,FALSE())/100</f>
        <v>#N/A</v>
      </c>
      <c r="I409" s="4" t="e">
        <f>E409*VLOOKUP(B409,alimentos_master!$A:$O,15,FALSE())/100</f>
        <v>#N/A</v>
      </c>
      <c r="J409" s="4" t="e">
        <f>E409*VLOOKUP(B409,alimentos_master!$A:$R,18,FALSE())/100</f>
        <v>#N/A</v>
      </c>
    </row>
    <row r="410" spans="1:10" ht="15" customHeight="1" x14ac:dyDescent="0.2">
      <c r="A410" s="4">
        <v>409</v>
      </c>
      <c r="B410" s="4">
        <v>103</v>
      </c>
      <c r="C410" s="4" t="s">
        <v>186</v>
      </c>
      <c r="D410" s="4" t="s">
        <v>916</v>
      </c>
      <c r="E410" s="4">
        <v>75</v>
      </c>
      <c r="F410" s="4" t="s">
        <v>917</v>
      </c>
      <c r="G410" s="4">
        <f>E410*VLOOKUP(B410,alimentos_master!$A:$M,13,FALSE())/100</f>
        <v>64.5</v>
      </c>
      <c r="H410" s="4">
        <f>E410*VLOOKUP(B410,alimentos_master!$A:$N,14,FALSE())/100</f>
        <v>2.4</v>
      </c>
      <c r="I410" s="4">
        <f>E410*VLOOKUP(B410,alimentos_master!$A:$O,15,FALSE())/100</f>
        <v>14.25</v>
      </c>
      <c r="J410" s="4">
        <f>E410*VLOOKUP(B410,alimentos_master!$A:$R,18,FALSE())/100</f>
        <v>0.9</v>
      </c>
    </row>
    <row r="411" spans="1:10" ht="15" customHeight="1" x14ac:dyDescent="0.2">
      <c r="A411" s="4">
        <v>410</v>
      </c>
      <c r="B411" s="4">
        <v>103</v>
      </c>
      <c r="C411" s="4" t="s">
        <v>186</v>
      </c>
      <c r="D411" s="4" t="s">
        <v>918</v>
      </c>
      <c r="E411" s="4">
        <v>100</v>
      </c>
      <c r="F411" s="4" t="s">
        <v>917</v>
      </c>
      <c r="G411" s="4">
        <f>E411*VLOOKUP(B411,alimentos_master!$A:$M,13,FALSE())/100</f>
        <v>86</v>
      </c>
      <c r="H411" s="4">
        <f>E411*VLOOKUP(B411,alimentos_master!$A:$N,14,FALSE())/100</f>
        <v>3.2</v>
      </c>
      <c r="I411" s="4">
        <f>E411*VLOOKUP(B411,alimentos_master!$A:$O,15,FALSE())/100</f>
        <v>19</v>
      </c>
      <c r="J411" s="4">
        <f>E411*VLOOKUP(B411,alimentos_master!$A:$R,18,FALSE())/100</f>
        <v>1.2</v>
      </c>
    </row>
    <row r="412" spans="1:10" ht="15" customHeight="1" x14ac:dyDescent="0.2">
      <c r="A412" s="4">
        <v>411</v>
      </c>
      <c r="B412" s="4">
        <v>103</v>
      </c>
      <c r="C412" s="4" t="s">
        <v>186</v>
      </c>
      <c r="D412" s="4" t="s">
        <v>919</v>
      </c>
      <c r="E412" s="4">
        <v>150</v>
      </c>
      <c r="F412" s="4" t="s">
        <v>917</v>
      </c>
      <c r="G412" s="4">
        <f>E412*VLOOKUP(B412,alimentos_master!$A:$M,13,FALSE())/100</f>
        <v>129</v>
      </c>
      <c r="H412" s="4">
        <f>E412*VLOOKUP(B412,alimentos_master!$A:$N,14,FALSE())/100</f>
        <v>4.8</v>
      </c>
      <c r="I412" s="4">
        <f>E412*VLOOKUP(B412,alimentos_master!$A:$O,15,FALSE())/100</f>
        <v>28.5</v>
      </c>
      <c r="J412" s="4">
        <f>E412*VLOOKUP(B412,alimentos_master!$A:$R,18,FALSE())/100</f>
        <v>1.8</v>
      </c>
    </row>
    <row r="413" spans="1:10" ht="15" customHeight="1" x14ac:dyDescent="0.2">
      <c r="A413" s="4">
        <v>412</v>
      </c>
      <c r="B413" s="4">
        <v>103</v>
      </c>
      <c r="C413" s="4" t="s">
        <v>186</v>
      </c>
      <c r="D413" s="4" t="s">
        <v>920</v>
      </c>
      <c r="E413" s="4">
        <v>200</v>
      </c>
      <c r="F413" s="4" t="s">
        <v>917</v>
      </c>
      <c r="G413" s="4">
        <f>E413*VLOOKUP(B413,alimentos_master!$A:$M,13,FALSE())/100</f>
        <v>172</v>
      </c>
      <c r="H413" s="4">
        <f>E413*VLOOKUP(B413,alimentos_master!$A:$N,14,FALSE())/100</f>
        <v>6.4</v>
      </c>
      <c r="I413" s="4">
        <f>E413*VLOOKUP(B413,alimentos_master!$A:$O,15,FALSE())/100</f>
        <v>38</v>
      </c>
      <c r="J413" s="4">
        <f>E413*VLOOKUP(B413,alimentos_master!$A:$R,18,FALSE())/100</f>
        <v>2.4</v>
      </c>
    </row>
    <row r="414" spans="1:10" ht="15" customHeight="1" x14ac:dyDescent="0.2">
      <c r="A414" s="4">
        <v>413</v>
      </c>
      <c r="B414" s="4">
        <v>104</v>
      </c>
      <c r="C414" s="4" t="s">
        <v>188</v>
      </c>
      <c r="D414" s="4" t="s">
        <v>916</v>
      </c>
      <c r="E414" s="4">
        <v>75</v>
      </c>
      <c r="F414" s="4" t="s">
        <v>917</v>
      </c>
      <c r="G414" s="4" t="e">
        <f>E414*VLOOKUP(B414,alimentos_master!$A:$M,13,FALSE())/100</f>
        <v>#N/A</v>
      </c>
      <c r="H414" s="4" t="e">
        <f>E414*VLOOKUP(B414,alimentos_master!$A:$N,14,FALSE())/100</f>
        <v>#N/A</v>
      </c>
      <c r="I414" s="4" t="e">
        <f>E414*VLOOKUP(B414,alimentos_master!$A:$O,15,FALSE())/100</f>
        <v>#N/A</v>
      </c>
      <c r="J414" s="4" t="e">
        <f>E414*VLOOKUP(B414,alimentos_master!$A:$R,18,FALSE())/100</f>
        <v>#N/A</v>
      </c>
    </row>
    <row r="415" spans="1:10" ht="15" customHeight="1" x14ac:dyDescent="0.2">
      <c r="A415" s="4">
        <v>414</v>
      </c>
      <c r="B415" s="4">
        <v>104</v>
      </c>
      <c r="C415" s="4" t="s">
        <v>188</v>
      </c>
      <c r="D415" s="4" t="s">
        <v>918</v>
      </c>
      <c r="E415" s="4">
        <v>100</v>
      </c>
      <c r="F415" s="4" t="s">
        <v>917</v>
      </c>
      <c r="G415" s="4" t="e">
        <f>E415*VLOOKUP(B415,alimentos_master!$A:$M,13,FALSE())/100</f>
        <v>#N/A</v>
      </c>
      <c r="H415" s="4" t="e">
        <f>E415*VLOOKUP(B415,alimentos_master!$A:$N,14,FALSE())/100</f>
        <v>#N/A</v>
      </c>
      <c r="I415" s="4" t="e">
        <f>E415*VLOOKUP(B415,alimentos_master!$A:$O,15,FALSE())/100</f>
        <v>#N/A</v>
      </c>
      <c r="J415" s="4" t="e">
        <f>E415*VLOOKUP(B415,alimentos_master!$A:$R,18,FALSE())/100</f>
        <v>#N/A</v>
      </c>
    </row>
    <row r="416" spans="1:10" ht="15" customHeight="1" x14ac:dyDescent="0.2">
      <c r="A416" s="4">
        <v>415</v>
      </c>
      <c r="B416" s="4">
        <v>104</v>
      </c>
      <c r="C416" s="4" t="s">
        <v>188</v>
      </c>
      <c r="D416" s="4" t="s">
        <v>919</v>
      </c>
      <c r="E416" s="4">
        <v>150</v>
      </c>
      <c r="F416" s="4" t="s">
        <v>917</v>
      </c>
      <c r="G416" s="4" t="e">
        <f>E416*VLOOKUP(B416,alimentos_master!$A:$M,13,FALSE())/100</f>
        <v>#N/A</v>
      </c>
      <c r="H416" s="4" t="e">
        <f>E416*VLOOKUP(B416,alimentos_master!$A:$N,14,FALSE())/100</f>
        <v>#N/A</v>
      </c>
      <c r="I416" s="4" t="e">
        <f>E416*VLOOKUP(B416,alimentos_master!$A:$O,15,FALSE())/100</f>
        <v>#N/A</v>
      </c>
      <c r="J416" s="4" t="e">
        <f>E416*VLOOKUP(B416,alimentos_master!$A:$R,18,FALSE())/100</f>
        <v>#N/A</v>
      </c>
    </row>
    <row r="417" spans="1:10" ht="15" customHeight="1" x14ac:dyDescent="0.2">
      <c r="A417" s="4">
        <v>416</v>
      </c>
      <c r="B417" s="4">
        <v>104</v>
      </c>
      <c r="C417" s="4" t="s">
        <v>188</v>
      </c>
      <c r="D417" s="4" t="s">
        <v>920</v>
      </c>
      <c r="E417" s="4">
        <v>200</v>
      </c>
      <c r="F417" s="4" t="s">
        <v>917</v>
      </c>
      <c r="G417" s="4" t="e">
        <f>E417*VLOOKUP(B417,alimentos_master!$A:$M,13,FALSE())/100</f>
        <v>#N/A</v>
      </c>
      <c r="H417" s="4" t="e">
        <f>E417*VLOOKUP(B417,alimentos_master!$A:$N,14,FALSE())/100</f>
        <v>#N/A</v>
      </c>
      <c r="I417" s="4" t="e">
        <f>E417*VLOOKUP(B417,alimentos_master!$A:$O,15,FALSE())/100</f>
        <v>#N/A</v>
      </c>
      <c r="J417" s="4" t="e">
        <f>E417*VLOOKUP(B417,alimentos_master!$A:$R,18,FALSE())/100</f>
        <v>#N/A</v>
      </c>
    </row>
    <row r="418" spans="1:10" ht="15" customHeight="1" x14ac:dyDescent="0.2">
      <c r="A418" s="4">
        <v>417</v>
      </c>
      <c r="B418" s="4">
        <v>105</v>
      </c>
      <c r="C418" s="4" t="s">
        <v>189</v>
      </c>
      <c r="D418" s="4" t="s">
        <v>916</v>
      </c>
      <c r="E418" s="4">
        <v>75</v>
      </c>
      <c r="F418" s="4" t="s">
        <v>917</v>
      </c>
      <c r="G418" s="4" t="e">
        <f>E418*VLOOKUP(B418,alimentos_master!$A:$M,13,FALSE())/100</f>
        <v>#N/A</v>
      </c>
      <c r="H418" s="4" t="e">
        <f>E418*VLOOKUP(B418,alimentos_master!$A:$N,14,FALSE())/100</f>
        <v>#N/A</v>
      </c>
      <c r="I418" s="4" t="e">
        <f>E418*VLOOKUP(B418,alimentos_master!$A:$O,15,FALSE())/100</f>
        <v>#N/A</v>
      </c>
      <c r="J418" s="4" t="e">
        <f>E418*VLOOKUP(B418,alimentos_master!$A:$R,18,FALSE())/100</f>
        <v>#N/A</v>
      </c>
    </row>
    <row r="419" spans="1:10" ht="15" customHeight="1" x14ac:dyDescent="0.2">
      <c r="A419" s="4">
        <v>418</v>
      </c>
      <c r="B419" s="4">
        <v>105</v>
      </c>
      <c r="C419" s="4" t="s">
        <v>189</v>
      </c>
      <c r="D419" s="4" t="s">
        <v>918</v>
      </c>
      <c r="E419" s="4">
        <v>100</v>
      </c>
      <c r="F419" s="4" t="s">
        <v>917</v>
      </c>
      <c r="G419" s="4" t="e">
        <f>E419*VLOOKUP(B419,alimentos_master!$A:$M,13,FALSE())/100</f>
        <v>#N/A</v>
      </c>
      <c r="H419" s="4" t="e">
        <f>E419*VLOOKUP(B419,alimentos_master!$A:$N,14,FALSE())/100</f>
        <v>#N/A</v>
      </c>
      <c r="I419" s="4" t="e">
        <f>E419*VLOOKUP(B419,alimentos_master!$A:$O,15,FALSE())/100</f>
        <v>#N/A</v>
      </c>
      <c r="J419" s="4" t="e">
        <f>E419*VLOOKUP(B419,alimentos_master!$A:$R,18,FALSE())/100</f>
        <v>#N/A</v>
      </c>
    </row>
    <row r="420" spans="1:10" ht="15" customHeight="1" x14ac:dyDescent="0.2">
      <c r="A420" s="4">
        <v>419</v>
      </c>
      <c r="B420" s="4">
        <v>105</v>
      </c>
      <c r="C420" s="4" t="s">
        <v>189</v>
      </c>
      <c r="D420" s="4" t="s">
        <v>919</v>
      </c>
      <c r="E420" s="4">
        <v>150</v>
      </c>
      <c r="F420" s="4" t="s">
        <v>917</v>
      </c>
      <c r="G420" s="4" t="e">
        <f>E420*VLOOKUP(B420,alimentos_master!$A:$M,13,FALSE())/100</f>
        <v>#N/A</v>
      </c>
      <c r="H420" s="4" t="e">
        <f>E420*VLOOKUP(B420,alimentos_master!$A:$N,14,FALSE())/100</f>
        <v>#N/A</v>
      </c>
      <c r="I420" s="4" t="e">
        <f>E420*VLOOKUP(B420,alimentos_master!$A:$O,15,FALSE())/100</f>
        <v>#N/A</v>
      </c>
      <c r="J420" s="4" t="e">
        <f>E420*VLOOKUP(B420,alimentos_master!$A:$R,18,FALSE())/100</f>
        <v>#N/A</v>
      </c>
    </row>
    <row r="421" spans="1:10" ht="15" customHeight="1" x14ac:dyDescent="0.2">
      <c r="A421" s="4">
        <v>420</v>
      </c>
      <c r="B421" s="4">
        <v>105</v>
      </c>
      <c r="C421" s="4" t="s">
        <v>189</v>
      </c>
      <c r="D421" s="4" t="s">
        <v>920</v>
      </c>
      <c r="E421" s="4">
        <v>200</v>
      </c>
      <c r="F421" s="4" t="s">
        <v>917</v>
      </c>
      <c r="G421" s="4" t="e">
        <f>E421*VLOOKUP(B421,alimentos_master!$A:$M,13,FALSE())/100</f>
        <v>#N/A</v>
      </c>
      <c r="H421" s="4" t="e">
        <f>E421*VLOOKUP(B421,alimentos_master!$A:$N,14,FALSE())/100</f>
        <v>#N/A</v>
      </c>
      <c r="I421" s="4" t="e">
        <f>E421*VLOOKUP(B421,alimentos_master!$A:$O,15,FALSE())/100</f>
        <v>#N/A</v>
      </c>
      <c r="J421" s="4" t="e">
        <f>E421*VLOOKUP(B421,alimentos_master!$A:$R,18,FALSE())/100</f>
        <v>#N/A</v>
      </c>
    </row>
    <row r="422" spans="1:10" ht="15" customHeight="1" x14ac:dyDescent="0.2">
      <c r="A422" s="4">
        <v>421</v>
      </c>
      <c r="B422" s="4">
        <v>106</v>
      </c>
      <c r="C422" s="4" t="s">
        <v>190</v>
      </c>
      <c r="D422" s="4" t="s">
        <v>916</v>
      </c>
      <c r="E422" s="4">
        <v>75</v>
      </c>
      <c r="F422" s="4" t="s">
        <v>917</v>
      </c>
      <c r="G422" s="4">
        <f>E422*VLOOKUP(B422,alimentos_master!$A:$M,13,FALSE())/100</f>
        <v>23.25</v>
      </c>
      <c r="H422" s="4">
        <f>E422*VLOOKUP(B422,alimentos_master!$A:$N,14,FALSE())/100</f>
        <v>0.86250000000000004</v>
      </c>
      <c r="I422" s="4">
        <f>E422*VLOOKUP(B422,alimentos_master!$A:$O,15,FALSE())/100</f>
        <v>5.13</v>
      </c>
      <c r="J422" s="4">
        <f>E422*VLOOKUP(B422,alimentos_master!$A:$R,18,FALSE())/100</f>
        <v>0.32250000000000001</v>
      </c>
    </row>
    <row r="423" spans="1:10" ht="15" customHeight="1" x14ac:dyDescent="0.2">
      <c r="A423" s="4">
        <v>422</v>
      </c>
      <c r="B423" s="4">
        <v>106</v>
      </c>
      <c r="C423" s="4" t="s">
        <v>190</v>
      </c>
      <c r="D423" s="4" t="s">
        <v>918</v>
      </c>
      <c r="E423" s="4">
        <v>100</v>
      </c>
      <c r="F423" s="4" t="s">
        <v>917</v>
      </c>
      <c r="G423" s="4">
        <f>E423*VLOOKUP(B423,alimentos_master!$A:$M,13,FALSE())/100</f>
        <v>31</v>
      </c>
      <c r="H423" s="4">
        <f>E423*VLOOKUP(B423,alimentos_master!$A:$N,14,FALSE())/100</f>
        <v>1.1499999999999999</v>
      </c>
      <c r="I423" s="4">
        <f>E423*VLOOKUP(B423,alimentos_master!$A:$O,15,FALSE())/100</f>
        <v>6.84</v>
      </c>
      <c r="J423" s="4">
        <f>E423*VLOOKUP(B423,alimentos_master!$A:$R,18,FALSE())/100</f>
        <v>0.43</v>
      </c>
    </row>
    <row r="424" spans="1:10" ht="15" customHeight="1" x14ac:dyDescent="0.2">
      <c r="A424" s="4">
        <v>423</v>
      </c>
      <c r="B424" s="4">
        <v>106</v>
      </c>
      <c r="C424" s="4" t="s">
        <v>190</v>
      </c>
      <c r="D424" s="4" t="s">
        <v>919</v>
      </c>
      <c r="E424" s="4">
        <v>150</v>
      </c>
      <c r="F424" s="4" t="s">
        <v>917</v>
      </c>
      <c r="G424" s="4">
        <f>E424*VLOOKUP(B424,alimentos_master!$A:$M,13,FALSE())/100</f>
        <v>46.5</v>
      </c>
      <c r="H424" s="4">
        <f>E424*VLOOKUP(B424,alimentos_master!$A:$N,14,FALSE())/100</f>
        <v>1.7250000000000001</v>
      </c>
      <c r="I424" s="4">
        <f>E424*VLOOKUP(B424,alimentos_master!$A:$O,15,FALSE())/100</f>
        <v>10.26</v>
      </c>
      <c r="J424" s="4">
        <f>E424*VLOOKUP(B424,alimentos_master!$A:$R,18,FALSE())/100</f>
        <v>0.64500000000000002</v>
      </c>
    </row>
    <row r="425" spans="1:10" ht="15" customHeight="1" x14ac:dyDescent="0.2">
      <c r="A425" s="4">
        <v>424</v>
      </c>
      <c r="B425" s="4">
        <v>106</v>
      </c>
      <c r="C425" s="4" t="s">
        <v>190</v>
      </c>
      <c r="D425" s="4" t="s">
        <v>920</v>
      </c>
      <c r="E425" s="4">
        <v>200</v>
      </c>
      <c r="F425" s="4" t="s">
        <v>917</v>
      </c>
      <c r="G425" s="4">
        <f>E425*VLOOKUP(B425,alimentos_master!$A:$M,13,FALSE())/100</f>
        <v>62</v>
      </c>
      <c r="H425" s="4">
        <f>E425*VLOOKUP(B425,alimentos_master!$A:$N,14,FALSE())/100</f>
        <v>2.2999999999999998</v>
      </c>
      <c r="I425" s="4">
        <f>E425*VLOOKUP(B425,alimentos_master!$A:$O,15,FALSE())/100</f>
        <v>13.68</v>
      </c>
      <c r="J425" s="4">
        <f>E425*VLOOKUP(B425,alimentos_master!$A:$R,18,FALSE())/100</f>
        <v>0.86</v>
      </c>
    </row>
    <row r="426" spans="1:10" ht="15" customHeight="1" x14ac:dyDescent="0.2">
      <c r="A426" s="4">
        <v>425</v>
      </c>
      <c r="B426" s="4">
        <v>107</v>
      </c>
      <c r="C426" s="4" t="s">
        <v>191</v>
      </c>
      <c r="D426" s="4" t="s">
        <v>916</v>
      </c>
      <c r="E426" s="4">
        <v>75</v>
      </c>
      <c r="F426" s="4" t="s">
        <v>917</v>
      </c>
      <c r="G426" s="4" t="e">
        <f>E426*VLOOKUP(B426,alimentos_master!$A:$M,13,FALSE())/100</f>
        <v>#N/A</v>
      </c>
      <c r="H426" s="4" t="e">
        <f>E426*VLOOKUP(B426,alimentos_master!$A:$N,14,FALSE())/100</f>
        <v>#N/A</v>
      </c>
      <c r="I426" s="4" t="e">
        <f>E426*VLOOKUP(B426,alimentos_master!$A:$O,15,FALSE())/100</f>
        <v>#N/A</v>
      </c>
      <c r="J426" s="4" t="e">
        <f>E426*VLOOKUP(B426,alimentos_master!$A:$R,18,FALSE())/100</f>
        <v>#N/A</v>
      </c>
    </row>
    <row r="427" spans="1:10" ht="15" customHeight="1" x14ac:dyDescent="0.2">
      <c r="A427" s="4">
        <v>426</v>
      </c>
      <c r="B427" s="4">
        <v>107</v>
      </c>
      <c r="C427" s="4" t="s">
        <v>191</v>
      </c>
      <c r="D427" s="4" t="s">
        <v>918</v>
      </c>
      <c r="E427" s="4">
        <v>100</v>
      </c>
      <c r="F427" s="4" t="s">
        <v>917</v>
      </c>
      <c r="G427" s="4" t="e">
        <f>E427*VLOOKUP(B427,alimentos_master!$A:$M,13,FALSE())/100</f>
        <v>#N/A</v>
      </c>
      <c r="H427" s="4" t="e">
        <f>E427*VLOOKUP(B427,alimentos_master!$A:$N,14,FALSE())/100</f>
        <v>#N/A</v>
      </c>
      <c r="I427" s="4" t="e">
        <f>E427*VLOOKUP(B427,alimentos_master!$A:$O,15,FALSE())/100</f>
        <v>#N/A</v>
      </c>
      <c r="J427" s="4" t="e">
        <f>E427*VLOOKUP(B427,alimentos_master!$A:$R,18,FALSE())/100</f>
        <v>#N/A</v>
      </c>
    </row>
    <row r="428" spans="1:10" ht="15" customHeight="1" x14ac:dyDescent="0.2">
      <c r="A428" s="4">
        <v>427</v>
      </c>
      <c r="B428" s="4">
        <v>107</v>
      </c>
      <c r="C428" s="4" t="s">
        <v>191</v>
      </c>
      <c r="D428" s="4" t="s">
        <v>919</v>
      </c>
      <c r="E428" s="4">
        <v>150</v>
      </c>
      <c r="F428" s="4" t="s">
        <v>917</v>
      </c>
      <c r="G428" s="4" t="e">
        <f>E428*VLOOKUP(B428,alimentos_master!$A:$M,13,FALSE())/100</f>
        <v>#N/A</v>
      </c>
      <c r="H428" s="4" t="e">
        <f>E428*VLOOKUP(B428,alimentos_master!$A:$N,14,FALSE())/100</f>
        <v>#N/A</v>
      </c>
      <c r="I428" s="4" t="e">
        <f>E428*VLOOKUP(B428,alimentos_master!$A:$O,15,FALSE())/100</f>
        <v>#N/A</v>
      </c>
      <c r="J428" s="4" t="e">
        <f>E428*VLOOKUP(B428,alimentos_master!$A:$R,18,FALSE())/100</f>
        <v>#N/A</v>
      </c>
    </row>
    <row r="429" spans="1:10" ht="15" customHeight="1" x14ac:dyDescent="0.2">
      <c r="A429" s="4">
        <v>428</v>
      </c>
      <c r="B429" s="4">
        <v>107</v>
      </c>
      <c r="C429" s="4" t="s">
        <v>191</v>
      </c>
      <c r="D429" s="4" t="s">
        <v>920</v>
      </c>
      <c r="E429" s="4">
        <v>200</v>
      </c>
      <c r="F429" s="4" t="s">
        <v>917</v>
      </c>
      <c r="G429" s="4" t="e">
        <f>E429*VLOOKUP(B429,alimentos_master!$A:$M,13,FALSE())/100</f>
        <v>#N/A</v>
      </c>
      <c r="H429" s="4" t="e">
        <f>E429*VLOOKUP(B429,alimentos_master!$A:$N,14,FALSE())/100</f>
        <v>#N/A</v>
      </c>
      <c r="I429" s="4" t="e">
        <f>E429*VLOOKUP(B429,alimentos_master!$A:$O,15,FALSE())/100</f>
        <v>#N/A</v>
      </c>
      <c r="J429" s="4" t="e">
        <f>E429*VLOOKUP(B429,alimentos_master!$A:$R,18,FALSE())/100</f>
        <v>#N/A</v>
      </c>
    </row>
    <row r="430" spans="1:10" ht="15" customHeight="1" x14ac:dyDescent="0.2">
      <c r="A430" s="4">
        <v>429</v>
      </c>
      <c r="B430" s="4">
        <v>108</v>
      </c>
      <c r="C430" s="4" t="s">
        <v>192</v>
      </c>
      <c r="D430" s="4" t="s">
        <v>916</v>
      </c>
      <c r="E430" s="4">
        <v>75</v>
      </c>
      <c r="F430" s="4" t="s">
        <v>917</v>
      </c>
      <c r="G430" s="4" t="e">
        <f>E430*VLOOKUP(B430,alimentos_master!$A:$M,13,FALSE())/100</f>
        <v>#N/A</v>
      </c>
      <c r="H430" s="4" t="e">
        <f>E430*VLOOKUP(B430,alimentos_master!$A:$N,14,FALSE())/100</f>
        <v>#N/A</v>
      </c>
      <c r="I430" s="4" t="e">
        <f>E430*VLOOKUP(B430,alimentos_master!$A:$O,15,FALSE())/100</f>
        <v>#N/A</v>
      </c>
      <c r="J430" s="4" t="e">
        <f>E430*VLOOKUP(B430,alimentos_master!$A:$R,18,FALSE())/100</f>
        <v>#N/A</v>
      </c>
    </row>
    <row r="431" spans="1:10" ht="15" customHeight="1" x14ac:dyDescent="0.2">
      <c r="A431" s="4">
        <v>430</v>
      </c>
      <c r="B431" s="4">
        <v>108</v>
      </c>
      <c r="C431" s="4" t="s">
        <v>192</v>
      </c>
      <c r="D431" s="4" t="s">
        <v>918</v>
      </c>
      <c r="E431" s="4">
        <v>100</v>
      </c>
      <c r="F431" s="4" t="s">
        <v>917</v>
      </c>
      <c r="G431" s="4" t="e">
        <f>E431*VLOOKUP(B431,alimentos_master!$A:$M,13,FALSE())/100</f>
        <v>#N/A</v>
      </c>
      <c r="H431" s="4" t="e">
        <f>E431*VLOOKUP(B431,alimentos_master!$A:$N,14,FALSE())/100</f>
        <v>#N/A</v>
      </c>
      <c r="I431" s="4" t="e">
        <f>E431*VLOOKUP(B431,alimentos_master!$A:$O,15,FALSE())/100</f>
        <v>#N/A</v>
      </c>
      <c r="J431" s="4" t="e">
        <f>E431*VLOOKUP(B431,alimentos_master!$A:$R,18,FALSE())/100</f>
        <v>#N/A</v>
      </c>
    </row>
    <row r="432" spans="1:10" ht="15" customHeight="1" x14ac:dyDescent="0.2">
      <c r="A432" s="4">
        <v>431</v>
      </c>
      <c r="B432" s="4">
        <v>108</v>
      </c>
      <c r="C432" s="4" t="s">
        <v>192</v>
      </c>
      <c r="D432" s="4" t="s">
        <v>919</v>
      </c>
      <c r="E432" s="4">
        <v>150</v>
      </c>
      <c r="F432" s="4" t="s">
        <v>917</v>
      </c>
      <c r="G432" s="4" t="e">
        <f>E432*VLOOKUP(B432,alimentos_master!$A:$M,13,FALSE())/100</f>
        <v>#N/A</v>
      </c>
      <c r="H432" s="4" t="e">
        <f>E432*VLOOKUP(B432,alimentos_master!$A:$N,14,FALSE())/100</f>
        <v>#N/A</v>
      </c>
      <c r="I432" s="4" t="e">
        <f>E432*VLOOKUP(B432,alimentos_master!$A:$O,15,FALSE())/100</f>
        <v>#N/A</v>
      </c>
      <c r="J432" s="4" t="e">
        <f>E432*VLOOKUP(B432,alimentos_master!$A:$R,18,FALSE())/100</f>
        <v>#N/A</v>
      </c>
    </row>
    <row r="433" spans="1:10" ht="15" customHeight="1" x14ac:dyDescent="0.2">
      <c r="A433" s="4">
        <v>432</v>
      </c>
      <c r="B433" s="4">
        <v>108</v>
      </c>
      <c r="C433" s="4" t="s">
        <v>192</v>
      </c>
      <c r="D433" s="4" t="s">
        <v>920</v>
      </c>
      <c r="E433" s="4">
        <v>200</v>
      </c>
      <c r="F433" s="4" t="s">
        <v>917</v>
      </c>
      <c r="G433" s="4" t="e">
        <f>E433*VLOOKUP(B433,alimentos_master!$A:$M,13,FALSE())/100</f>
        <v>#N/A</v>
      </c>
      <c r="H433" s="4" t="e">
        <f>E433*VLOOKUP(B433,alimentos_master!$A:$N,14,FALSE())/100</f>
        <v>#N/A</v>
      </c>
      <c r="I433" s="4" t="e">
        <f>E433*VLOOKUP(B433,alimentos_master!$A:$O,15,FALSE())/100</f>
        <v>#N/A</v>
      </c>
      <c r="J433" s="4" t="e">
        <f>E433*VLOOKUP(B433,alimentos_master!$A:$R,18,FALSE())/100</f>
        <v>#N/A</v>
      </c>
    </row>
    <row r="434" spans="1:10" ht="15" customHeight="1" x14ac:dyDescent="0.2">
      <c r="A434" s="4">
        <v>433</v>
      </c>
      <c r="B434" s="4">
        <v>109</v>
      </c>
      <c r="C434" s="4" t="s">
        <v>193</v>
      </c>
      <c r="D434" s="4" t="s">
        <v>916</v>
      </c>
      <c r="E434" s="4">
        <v>75</v>
      </c>
      <c r="F434" s="4" t="s">
        <v>917</v>
      </c>
      <c r="G434" s="4" t="e">
        <f>E434*VLOOKUP(B434,alimentos_master!$A:$M,13,FALSE())/100</f>
        <v>#N/A</v>
      </c>
      <c r="H434" s="4" t="e">
        <f>E434*VLOOKUP(B434,alimentos_master!$A:$N,14,FALSE())/100</f>
        <v>#N/A</v>
      </c>
      <c r="I434" s="4" t="e">
        <f>E434*VLOOKUP(B434,alimentos_master!$A:$O,15,FALSE())/100</f>
        <v>#N/A</v>
      </c>
      <c r="J434" s="4" t="e">
        <f>E434*VLOOKUP(B434,alimentos_master!$A:$R,18,FALSE())/100</f>
        <v>#N/A</v>
      </c>
    </row>
    <row r="435" spans="1:10" ht="15" customHeight="1" x14ac:dyDescent="0.2">
      <c r="A435" s="4">
        <v>434</v>
      </c>
      <c r="B435" s="4">
        <v>109</v>
      </c>
      <c r="C435" s="4" t="s">
        <v>193</v>
      </c>
      <c r="D435" s="4" t="s">
        <v>918</v>
      </c>
      <c r="E435" s="4">
        <v>100</v>
      </c>
      <c r="F435" s="4" t="s">
        <v>917</v>
      </c>
      <c r="G435" s="4" t="e">
        <f>E435*VLOOKUP(B435,alimentos_master!$A:$M,13,FALSE())/100</f>
        <v>#N/A</v>
      </c>
      <c r="H435" s="4" t="e">
        <f>E435*VLOOKUP(B435,alimentos_master!$A:$N,14,FALSE())/100</f>
        <v>#N/A</v>
      </c>
      <c r="I435" s="4" t="e">
        <f>E435*VLOOKUP(B435,alimentos_master!$A:$O,15,FALSE())/100</f>
        <v>#N/A</v>
      </c>
      <c r="J435" s="4" t="e">
        <f>E435*VLOOKUP(B435,alimentos_master!$A:$R,18,FALSE())/100</f>
        <v>#N/A</v>
      </c>
    </row>
    <row r="436" spans="1:10" ht="15" customHeight="1" x14ac:dyDescent="0.2">
      <c r="A436" s="4">
        <v>435</v>
      </c>
      <c r="B436" s="4">
        <v>109</v>
      </c>
      <c r="C436" s="4" t="s">
        <v>193</v>
      </c>
      <c r="D436" s="4" t="s">
        <v>919</v>
      </c>
      <c r="E436" s="4">
        <v>150</v>
      </c>
      <c r="F436" s="4" t="s">
        <v>917</v>
      </c>
      <c r="G436" s="4" t="e">
        <f>E436*VLOOKUP(B436,alimentos_master!$A:$M,13,FALSE())/100</f>
        <v>#N/A</v>
      </c>
      <c r="H436" s="4" t="e">
        <f>E436*VLOOKUP(B436,alimentos_master!$A:$N,14,FALSE())/100</f>
        <v>#N/A</v>
      </c>
      <c r="I436" s="4" t="e">
        <f>E436*VLOOKUP(B436,alimentos_master!$A:$O,15,FALSE())/100</f>
        <v>#N/A</v>
      </c>
      <c r="J436" s="4" t="e">
        <f>E436*VLOOKUP(B436,alimentos_master!$A:$R,18,FALSE())/100</f>
        <v>#N/A</v>
      </c>
    </row>
    <row r="437" spans="1:10" ht="15" customHeight="1" x14ac:dyDescent="0.2">
      <c r="A437" s="4">
        <v>436</v>
      </c>
      <c r="B437" s="4">
        <v>109</v>
      </c>
      <c r="C437" s="4" t="s">
        <v>193</v>
      </c>
      <c r="D437" s="4" t="s">
        <v>920</v>
      </c>
      <c r="E437" s="4">
        <v>200</v>
      </c>
      <c r="F437" s="4" t="s">
        <v>917</v>
      </c>
      <c r="G437" s="4" t="e">
        <f>E437*VLOOKUP(B437,alimentos_master!$A:$M,13,FALSE())/100</f>
        <v>#N/A</v>
      </c>
      <c r="H437" s="4" t="e">
        <f>E437*VLOOKUP(B437,alimentos_master!$A:$N,14,FALSE())/100</f>
        <v>#N/A</v>
      </c>
      <c r="I437" s="4" t="e">
        <f>E437*VLOOKUP(B437,alimentos_master!$A:$O,15,FALSE())/100</f>
        <v>#N/A</v>
      </c>
      <c r="J437" s="4" t="e">
        <f>E437*VLOOKUP(B437,alimentos_master!$A:$R,18,FALSE())/100</f>
        <v>#N/A</v>
      </c>
    </row>
    <row r="438" spans="1:10" ht="15" customHeight="1" x14ac:dyDescent="0.2">
      <c r="A438" s="4">
        <v>437</v>
      </c>
      <c r="B438" s="4">
        <v>110</v>
      </c>
      <c r="C438" s="4" t="s">
        <v>194</v>
      </c>
      <c r="D438" s="4" t="s">
        <v>916</v>
      </c>
      <c r="E438" s="4">
        <v>75</v>
      </c>
      <c r="F438" s="4" t="s">
        <v>917</v>
      </c>
      <c r="G438" s="4" t="e">
        <f>E438*VLOOKUP(B438,alimentos_master!$A:$M,13,FALSE())/100</f>
        <v>#N/A</v>
      </c>
      <c r="H438" s="4" t="e">
        <f>E438*VLOOKUP(B438,alimentos_master!$A:$N,14,FALSE())/100</f>
        <v>#N/A</v>
      </c>
      <c r="I438" s="4" t="e">
        <f>E438*VLOOKUP(B438,alimentos_master!$A:$O,15,FALSE())/100</f>
        <v>#N/A</v>
      </c>
      <c r="J438" s="4" t="e">
        <f>E438*VLOOKUP(B438,alimentos_master!$A:$R,18,FALSE())/100</f>
        <v>#N/A</v>
      </c>
    </row>
    <row r="439" spans="1:10" ht="15" customHeight="1" x14ac:dyDescent="0.2">
      <c r="A439" s="4">
        <v>438</v>
      </c>
      <c r="B439" s="4">
        <v>110</v>
      </c>
      <c r="C439" s="4" t="s">
        <v>194</v>
      </c>
      <c r="D439" s="4" t="s">
        <v>918</v>
      </c>
      <c r="E439" s="4">
        <v>100</v>
      </c>
      <c r="F439" s="4" t="s">
        <v>917</v>
      </c>
      <c r="G439" s="4" t="e">
        <f>E439*VLOOKUP(B439,alimentos_master!$A:$M,13,FALSE())/100</f>
        <v>#N/A</v>
      </c>
      <c r="H439" s="4" t="e">
        <f>E439*VLOOKUP(B439,alimentos_master!$A:$N,14,FALSE())/100</f>
        <v>#N/A</v>
      </c>
      <c r="I439" s="4" t="e">
        <f>E439*VLOOKUP(B439,alimentos_master!$A:$O,15,FALSE())/100</f>
        <v>#N/A</v>
      </c>
      <c r="J439" s="4" t="e">
        <f>E439*VLOOKUP(B439,alimentos_master!$A:$R,18,FALSE())/100</f>
        <v>#N/A</v>
      </c>
    </row>
    <row r="440" spans="1:10" ht="15" customHeight="1" x14ac:dyDescent="0.2">
      <c r="A440" s="4">
        <v>439</v>
      </c>
      <c r="B440" s="4">
        <v>110</v>
      </c>
      <c r="C440" s="4" t="s">
        <v>194</v>
      </c>
      <c r="D440" s="4" t="s">
        <v>919</v>
      </c>
      <c r="E440" s="4">
        <v>150</v>
      </c>
      <c r="F440" s="4" t="s">
        <v>917</v>
      </c>
      <c r="G440" s="4" t="e">
        <f>E440*VLOOKUP(B440,alimentos_master!$A:$M,13,FALSE())/100</f>
        <v>#N/A</v>
      </c>
      <c r="H440" s="4" t="e">
        <f>E440*VLOOKUP(B440,alimentos_master!$A:$N,14,FALSE())/100</f>
        <v>#N/A</v>
      </c>
      <c r="I440" s="4" t="e">
        <f>E440*VLOOKUP(B440,alimentos_master!$A:$O,15,FALSE())/100</f>
        <v>#N/A</v>
      </c>
      <c r="J440" s="4" t="e">
        <f>E440*VLOOKUP(B440,alimentos_master!$A:$R,18,FALSE())/100</f>
        <v>#N/A</v>
      </c>
    </row>
    <row r="441" spans="1:10" ht="15" customHeight="1" x14ac:dyDescent="0.2">
      <c r="A441" s="4">
        <v>440</v>
      </c>
      <c r="B441" s="4">
        <v>110</v>
      </c>
      <c r="C441" s="4" t="s">
        <v>194</v>
      </c>
      <c r="D441" s="4" t="s">
        <v>920</v>
      </c>
      <c r="E441" s="4">
        <v>200</v>
      </c>
      <c r="F441" s="4" t="s">
        <v>917</v>
      </c>
      <c r="G441" s="4" t="e">
        <f>E441*VLOOKUP(B441,alimentos_master!$A:$M,13,FALSE())/100</f>
        <v>#N/A</v>
      </c>
      <c r="H441" s="4" t="e">
        <f>E441*VLOOKUP(B441,alimentos_master!$A:$N,14,FALSE())/100</f>
        <v>#N/A</v>
      </c>
      <c r="I441" s="4" t="e">
        <f>E441*VLOOKUP(B441,alimentos_master!$A:$O,15,FALSE())/100</f>
        <v>#N/A</v>
      </c>
      <c r="J441" s="4" t="e">
        <f>E441*VLOOKUP(B441,alimentos_master!$A:$R,18,FALSE())/100</f>
        <v>#N/A</v>
      </c>
    </row>
    <row r="442" spans="1:10" ht="15" customHeight="1" x14ac:dyDescent="0.2">
      <c r="A442" s="4">
        <v>441</v>
      </c>
      <c r="B442" s="4">
        <v>111</v>
      </c>
      <c r="C442" s="4" t="s">
        <v>195</v>
      </c>
      <c r="D442" s="4" t="s">
        <v>916</v>
      </c>
      <c r="E442" s="4">
        <v>75</v>
      </c>
      <c r="F442" s="4" t="s">
        <v>917</v>
      </c>
      <c r="G442" s="4" t="e">
        <f>E442*VLOOKUP(B442,alimentos_master!$A:$M,13,FALSE())/100</f>
        <v>#N/A</v>
      </c>
      <c r="H442" s="4" t="e">
        <f>E442*VLOOKUP(B442,alimentos_master!$A:$N,14,FALSE())/100</f>
        <v>#N/A</v>
      </c>
      <c r="I442" s="4" t="e">
        <f>E442*VLOOKUP(B442,alimentos_master!$A:$O,15,FALSE())/100</f>
        <v>#N/A</v>
      </c>
      <c r="J442" s="4" t="e">
        <f>E442*VLOOKUP(B442,alimentos_master!$A:$R,18,FALSE())/100</f>
        <v>#N/A</v>
      </c>
    </row>
    <row r="443" spans="1:10" ht="15" customHeight="1" x14ac:dyDescent="0.2">
      <c r="A443" s="4">
        <v>442</v>
      </c>
      <c r="B443" s="4">
        <v>111</v>
      </c>
      <c r="C443" s="4" t="s">
        <v>195</v>
      </c>
      <c r="D443" s="4" t="s">
        <v>918</v>
      </c>
      <c r="E443" s="4">
        <v>100</v>
      </c>
      <c r="F443" s="4" t="s">
        <v>917</v>
      </c>
      <c r="G443" s="4" t="e">
        <f>E443*VLOOKUP(B443,alimentos_master!$A:$M,13,FALSE())/100</f>
        <v>#N/A</v>
      </c>
      <c r="H443" s="4" t="e">
        <f>E443*VLOOKUP(B443,alimentos_master!$A:$N,14,FALSE())/100</f>
        <v>#N/A</v>
      </c>
      <c r="I443" s="4" t="e">
        <f>E443*VLOOKUP(B443,alimentos_master!$A:$O,15,FALSE())/100</f>
        <v>#N/A</v>
      </c>
      <c r="J443" s="4" t="e">
        <f>E443*VLOOKUP(B443,alimentos_master!$A:$R,18,FALSE())/100</f>
        <v>#N/A</v>
      </c>
    </row>
    <row r="444" spans="1:10" ht="15" customHeight="1" x14ac:dyDescent="0.2">
      <c r="A444" s="4">
        <v>443</v>
      </c>
      <c r="B444" s="4">
        <v>111</v>
      </c>
      <c r="C444" s="4" t="s">
        <v>195</v>
      </c>
      <c r="D444" s="4" t="s">
        <v>919</v>
      </c>
      <c r="E444" s="4">
        <v>150</v>
      </c>
      <c r="F444" s="4" t="s">
        <v>917</v>
      </c>
      <c r="G444" s="4" t="e">
        <f>E444*VLOOKUP(B444,alimentos_master!$A:$M,13,FALSE())/100</f>
        <v>#N/A</v>
      </c>
      <c r="H444" s="4" t="e">
        <f>E444*VLOOKUP(B444,alimentos_master!$A:$N,14,FALSE())/100</f>
        <v>#N/A</v>
      </c>
      <c r="I444" s="4" t="e">
        <f>E444*VLOOKUP(B444,alimentos_master!$A:$O,15,FALSE())/100</f>
        <v>#N/A</v>
      </c>
      <c r="J444" s="4" t="e">
        <f>E444*VLOOKUP(B444,alimentos_master!$A:$R,18,FALSE())/100</f>
        <v>#N/A</v>
      </c>
    </row>
    <row r="445" spans="1:10" ht="15" customHeight="1" x14ac:dyDescent="0.2">
      <c r="A445" s="4">
        <v>444</v>
      </c>
      <c r="B445" s="4">
        <v>111</v>
      </c>
      <c r="C445" s="4" t="s">
        <v>195</v>
      </c>
      <c r="D445" s="4" t="s">
        <v>920</v>
      </c>
      <c r="E445" s="4">
        <v>200</v>
      </c>
      <c r="F445" s="4" t="s">
        <v>917</v>
      </c>
      <c r="G445" s="4" t="e">
        <f>E445*VLOOKUP(B445,alimentos_master!$A:$M,13,FALSE())/100</f>
        <v>#N/A</v>
      </c>
      <c r="H445" s="4" t="e">
        <f>E445*VLOOKUP(B445,alimentos_master!$A:$N,14,FALSE())/100</f>
        <v>#N/A</v>
      </c>
      <c r="I445" s="4" t="e">
        <f>E445*VLOOKUP(B445,alimentos_master!$A:$O,15,FALSE())/100</f>
        <v>#N/A</v>
      </c>
      <c r="J445" s="4" t="e">
        <f>E445*VLOOKUP(B445,alimentos_master!$A:$R,18,FALSE())/100</f>
        <v>#N/A</v>
      </c>
    </row>
    <row r="446" spans="1:10" ht="15" customHeight="1" x14ac:dyDescent="0.2">
      <c r="A446" s="4">
        <v>445</v>
      </c>
      <c r="B446" s="4">
        <v>112</v>
      </c>
      <c r="C446" s="4" t="s">
        <v>196</v>
      </c>
      <c r="D446" s="4" t="s">
        <v>916</v>
      </c>
      <c r="E446" s="4">
        <v>75</v>
      </c>
      <c r="F446" s="4" t="s">
        <v>917</v>
      </c>
      <c r="G446" s="4" t="e">
        <f>E446*VLOOKUP(B446,alimentos_master!$A:$M,13,FALSE())/100</f>
        <v>#N/A</v>
      </c>
      <c r="H446" s="4" t="e">
        <f>E446*VLOOKUP(B446,alimentos_master!$A:$N,14,FALSE())/100</f>
        <v>#N/A</v>
      </c>
      <c r="I446" s="4" t="e">
        <f>E446*VLOOKUP(B446,alimentos_master!$A:$O,15,FALSE())/100</f>
        <v>#N/A</v>
      </c>
      <c r="J446" s="4" t="e">
        <f>E446*VLOOKUP(B446,alimentos_master!$A:$R,18,FALSE())/100</f>
        <v>#N/A</v>
      </c>
    </row>
    <row r="447" spans="1:10" ht="15" customHeight="1" x14ac:dyDescent="0.2">
      <c r="A447" s="4">
        <v>446</v>
      </c>
      <c r="B447" s="4">
        <v>112</v>
      </c>
      <c r="C447" s="4" t="s">
        <v>196</v>
      </c>
      <c r="D447" s="4" t="s">
        <v>918</v>
      </c>
      <c r="E447" s="4">
        <v>100</v>
      </c>
      <c r="F447" s="4" t="s">
        <v>917</v>
      </c>
      <c r="G447" s="4" t="e">
        <f>E447*VLOOKUP(B447,alimentos_master!$A:$M,13,FALSE())/100</f>
        <v>#N/A</v>
      </c>
      <c r="H447" s="4" t="e">
        <f>E447*VLOOKUP(B447,alimentos_master!$A:$N,14,FALSE())/100</f>
        <v>#N/A</v>
      </c>
      <c r="I447" s="4" t="e">
        <f>E447*VLOOKUP(B447,alimentos_master!$A:$O,15,FALSE())/100</f>
        <v>#N/A</v>
      </c>
      <c r="J447" s="4" t="e">
        <f>E447*VLOOKUP(B447,alimentos_master!$A:$R,18,FALSE())/100</f>
        <v>#N/A</v>
      </c>
    </row>
    <row r="448" spans="1:10" ht="15" customHeight="1" x14ac:dyDescent="0.2">
      <c r="A448" s="4">
        <v>447</v>
      </c>
      <c r="B448" s="4">
        <v>112</v>
      </c>
      <c r="C448" s="4" t="s">
        <v>196</v>
      </c>
      <c r="D448" s="4" t="s">
        <v>919</v>
      </c>
      <c r="E448" s="4">
        <v>150</v>
      </c>
      <c r="F448" s="4" t="s">
        <v>917</v>
      </c>
      <c r="G448" s="4" t="e">
        <f>E448*VLOOKUP(B448,alimentos_master!$A:$M,13,FALSE())/100</f>
        <v>#N/A</v>
      </c>
      <c r="H448" s="4" t="e">
        <f>E448*VLOOKUP(B448,alimentos_master!$A:$N,14,FALSE())/100</f>
        <v>#N/A</v>
      </c>
      <c r="I448" s="4" t="e">
        <f>E448*VLOOKUP(B448,alimentos_master!$A:$O,15,FALSE())/100</f>
        <v>#N/A</v>
      </c>
      <c r="J448" s="4" t="e">
        <f>E448*VLOOKUP(B448,alimentos_master!$A:$R,18,FALSE())/100</f>
        <v>#N/A</v>
      </c>
    </row>
    <row r="449" spans="1:10" ht="15" customHeight="1" x14ac:dyDescent="0.2">
      <c r="A449" s="4">
        <v>448</v>
      </c>
      <c r="B449" s="4">
        <v>112</v>
      </c>
      <c r="C449" s="4" t="s">
        <v>196</v>
      </c>
      <c r="D449" s="4" t="s">
        <v>920</v>
      </c>
      <c r="E449" s="4">
        <v>200</v>
      </c>
      <c r="F449" s="4" t="s">
        <v>917</v>
      </c>
      <c r="G449" s="4" t="e">
        <f>E449*VLOOKUP(B449,alimentos_master!$A:$M,13,FALSE())/100</f>
        <v>#N/A</v>
      </c>
      <c r="H449" s="4" t="e">
        <f>E449*VLOOKUP(B449,alimentos_master!$A:$N,14,FALSE())/100</f>
        <v>#N/A</v>
      </c>
      <c r="I449" s="4" t="e">
        <f>E449*VLOOKUP(B449,alimentos_master!$A:$O,15,FALSE())/100</f>
        <v>#N/A</v>
      </c>
      <c r="J449" s="4" t="e">
        <f>E449*VLOOKUP(B449,alimentos_master!$A:$R,18,FALSE())/100</f>
        <v>#N/A</v>
      </c>
    </row>
    <row r="450" spans="1:10" ht="15" customHeight="1" x14ac:dyDescent="0.2">
      <c r="A450" s="4">
        <v>449</v>
      </c>
      <c r="B450" s="4">
        <v>113</v>
      </c>
      <c r="C450" s="4" t="s">
        <v>197</v>
      </c>
      <c r="D450" s="4" t="s">
        <v>916</v>
      </c>
      <c r="E450" s="4">
        <v>75</v>
      </c>
      <c r="F450" s="4" t="s">
        <v>917</v>
      </c>
      <c r="G450" s="4" t="e">
        <f>E450*VLOOKUP(B450,alimentos_master!$A:$M,13,FALSE())/100</f>
        <v>#N/A</v>
      </c>
      <c r="H450" s="4" t="e">
        <f>E450*VLOOKUP(B450,alimentos_master!$A:$N,14,FALSE())/100</f>
        <v>#N/A</v>
      </c>
      <c r="I450" s="4" t="e">
        <f>E450*VLOOKUP(B450,alimentos_master!$A:$O,15,FALSE())/100</f>
        <v>#N/A</v>
      </c>
      <c r="J450" s="4" t="e">
        <f>E450*VLOOKUP(B450,alimentos_master!$A:$R,18,FALSE())/100</f>
        <v>#N/A</v>
      </c>
    </row>
    <row r="451" spans="1:10" ht="15" customHeight="1" x14ac:dyDescent="0.2">
      <c r="A451" s="4">
        <v>450</v>
      </c>
      <c r="B451" s="4">
        <v>113</v>
      </c>
      <c r="C451" s="4" t="s">
        <v>197</v>
      </c>
      <c r="D451" s="4" t="s">
        <v>918</v>
      </c>
      <c r="E451" s="4">
        <v>100</v>
      </c>
      <c r="F451" s="4" t="s">
        <v>917</v>
      </c>
      <c r="G451" s="4" t="e">
        <f>E451*VLOOKUP(B451,alimentos_master!$A:$M,13,FALSE())/100</f>
        <v>#N/A</v>
      </c>
      <c r="H451" s="4" t="e">
        <f>E451*VLOOKUP(B451,alimentos_master!$A:$N,14,FALSE())/100</f>
        <v>#N/A</v>
      </c>
      <c r="I451" s="4" t="e">
        <f>E451*VLOOKUP(B451,alimentos_master!$A:$O,15,FALSE())/100</f>
        <v>#N/A</v>
      </c>
      <c r="J451" s="4" t="e">
        <f>E451*VLOOKUP(B451,alimentos_master!$A:$R,18,FALSE())/100</f>
        <v>#N/A</v>
      </c>
    </row>
    <row r="452" spans="1:10" ht="15" customHeight="1" x14ac:dyDescent="0.2">
      <c r="A452" s="4">
        <v>451</v>
      </c>
      <c r="B452" s="4">
        <v>113</v>
      </c>
      <c r="C452" s="4" t="s">
        <v>197</v>
      </c>
      <c r="D452" s="4" t="s">
        <v>919</v>
      </c>
      <c r="E452" s="4">
        <v>150</v>
      </c>
      <c r="F452" s="4" t="s">
        <v>917</v>
      </c>
      <c r="G452" s="4" t="e">
        <f>E452*VLOOKUP(B452,alimentos_master!$A:$M,13,FALSE())/100</f>
        <v>#N/A</v>
      </c>
      <c r="H452" s="4" t="e">
        <f>E452*VLOOKUP(B452,alimentos_master!$A:$N,14,FALSE())/100</f>
        <v>#N/A</v>
      </c>
      <c r="I452" s="4" t="e">
        <f>E452*VLOOKUP(B452,alimentos_master!$A:$O,15,FALSE())/100</f>
        <v>#N/A</v>
      </c>
      <c r="J452" s="4" t="e">
        <f>E452*VLOOKUP(B452,alimentos_master!$A:$R,18,FALSE())/100</f>
        <v>#N/A</v>
      </c>
    </row>
    <row r="453" spans="1:10" ht="15" customHeight="1" x14ac:dyDescent="0.2">
      <c r="A453" s="4">
        <v>452</v>
      </c>
      <c r="B453" s="4">
        <v>113</v>
      </c>
      <c r="C453" s="4" t="s">
        <v>197</v>
      </c>
      <c r="D453" s="4" t="s">
        <v>920</v>
      </c>
      <c r="E453" s="4">
        <v>200</v>
      </c>
      <c r="F453" s="4" t="s">
        <v>917</v>
      </c>
      <c r="G453" s="4" t="e">
        <f>E453*VLOOKUP(B453,alimentos_master!$A:$M,13,FALSE())/100</f>
        <v>#N/A</v>
      </c>
      <c r="H453" s="4" t="e">
        <f>E453*VLOOKUP(B453,alimentos_master!$A:$N,14,FALSE())/100</f>
        <v>#N/A</v>
      </c>
      <c r="I453" s="4" t="e">
        <f>E453*VLOOKUP(B453,alimentos_master!$A:$O,15,FALSE())/100</f>
        <v>#N/A</v>
      </c>
      <c r="J453" s="4" t="e">
        <f>E453*VLOOKUP(B453,alimentos_master!$A:$R,18,FALSE())/100</f>
        <v>#N/A</v>
      </c>
    </row>
    <row r="454" spans="1:10" ht="15" customHeight="1" x14ac:dyDescent="0.2">
      <c r="A454" s="4">
        <v>453</v>
      </c>
      <c r="B454" s="4">
        <v>114</v>
      </c>
      <c r="C454" s="4" t="s">
        <v>198</v>
      </c>
      <c r="D454" s="4" t="s">
        <v>916</v>
      </c>
      <c r="E454" s="4">
        <v>75</v>
      </c>
      <c r="F454" s="4" t="s">
        <v>917</v>
      </c>
      <c r="G454" s="4" t="e">
        <f>E454*VLOOKUP(B454,alimentos_master!$A:$M,13,FALSE())/100</f>
        <v>#N/A</v>
      </c>
      <c r="H454" s="4" t="e">
        <f>E454*VLOOKUP(B454,alimentos_master!$A:$N,14,FALSE())/100</f>
        <v>#N/A</v>
      </c>
      <c r="I454" s="4" t="e">
        <f>E454*VLOOKUP(B454,alimentos_master!$A:$O,15,FALSE())/100</f>
        <v>#N/A</v>
      </c>
      <c r="J454" s="4" t="e">
        <f>E454*VLOOKUP(B454,alimentos_master!$A:$R,18,FALSE())/100</f>
        <v>#N/A</v>
      </c>
    </row>
    <row r="455" spans="1:10" ht="15" customHeight="1" x14ac:dyDescent="0.2">
      <c r="A455" s="4">
        <v>454</v>
      </c>
      <c r="B455" s="4">
        <v>114</v>
      </c>
      <c r="C455" s="4" t="s">
        <v>198</v>
      </c>
      <c r="D455" s="4" t="s">
        <v>918</v>
      </c>
      <c r="E455" s="4">
        <v>100</v>
      </c>
      <c r="F455" s="4" t="s">
        <v>917</v>
      </c>
      <c r="G455" s="4" t="e">
        <f>E455*VLOOKUP(B455,alimentos_master!$A:$M,13,FALSE())/100</f>
        <v>#N/A</v>
      </c>
      <c r="H455" s="4" t="e">
        <f>E455*VLOOKUP(B455,alimentos_master!$A:$N,14,FALSE())/100</f>
        <v>#N/A</v>
      </c>
      <c r="I455" s="4" t="e">
        <f>E455*VLOOKUP(B455,alimentos_master!$A:$O,15,FALSE())/100</f>
        <v>#N/A</v>
      </c>
      <c r="J455" s="4" t="e">
        <f>E455*VLOOKUP(B455,alimentos_master!$A:$R,18,FALSE())/100</f>
        <v>#N/A</v>
      </c>
    </row>
    <row r="456" spans="1:10" ht="15" customHeight="1" x14ac:dyDescent="0.2">
      <c r="A456" s="4">
        <v>455</v>
      </c>
      <c r="B456" s="4">
        <v>114</v>
      </c>
      <c r="C456" s="4" t="s">
        <v>198</v>
      </c>
      <c r="D456" s="4" t="s">
        <v>919</v>
      </c>
      <c r="E456" s="4">
        <v>150</v>
      </c>
      <c r="F456" s="4" t="s">
        <v>917</v>
      </c>
      <c r="G456" s="4" t="e">
        <f>E456*VLOOKUP(B456,alimentos_master!$A:$M,13,FALSE())/100</f>
        <v>#N/A</v>
      </c>
      <c r="H456" s="4" t="e">
        <f>E456*VLOOKUP(B456,alimentos_master!$A:$N,14,FALSE())/100</f>
        <v>#N/A</v>
      </c>
      <c r="I456" s="4" t="e">
        <f>E456*VLOOKUP(B456,alimentos_master!$A:$O,15,FALSE())/100</f>
        <v>#N/A</v>
      </c>
      <c r="J456" s="4" t="e">
        <f>E456*VLOOKUP(B456,alimentos_master!$A:$R,18,FALSE())/100</f>
        <v>#N/A</v>
      </c>
    </row>
    <row r="457" spans="1:10" ht="15" customHeight="1" x14ac:dyDescent="0.2">
      <c r="A457" s="4">
        <v>456</v>
      </c>
      <c r="B457" s="4">
        <v>114</v>
      </c>
      <c r="C457" s="4" t="s">
        <v>198</v>
      </c>
      <c r="D457" s="4" t="s">
        <v>920</v>
      </c>
      <c r="E457" s="4">
        <v>200</v>
      </c>
      <c r="F457" s="4" t="s">
        <v>917</v>
      </c>
      <c r="G457" s="4" t="e">
        <f>E457*VLOOKUP(B457,alimentos_master!$A:$M,13,FALSE())/100</f>
        <v>#N/A</v>
      </c>
      <c r="H457" s="4" t="e">
        <f>E457*VLOOKUP(B457,alimentos_master!$A:$N,14,FALSE())/100</f>
        <v>#N/A</v>
      </c>
      <c r="I457" s="4" t="e">
        <f>E457*VLOOKUP(B457,alimentos_master!$A:$O,15,FALSE())/100</f>
        <v>#N/A</v>
      </c>
      <c r="J457" s="4" t="e">
        <f>E457*VLOOKUP(B457,alimentos_master!$A:$R,18,FALSE())/100</f>
        <v>#N/A</v>
      </c>
    </row>
    <row r="458" spans="1:10" ht="15" customHeight="1" x14ac:dyDescent="0.2">
      <c r="A458" s="4">
        <v>457</v>
      </c>
      <c r="B458" s="4">
        <v>115</v>
      </c>
      <c r="C458" s="4" t="s">
        <v>199</v>
      </c>
      <c r="D458" s="4" t="s">
        <v>916</v>
      </c>
      <c r="E458" s="4">
        <v>75</v>
      </c>
      <c r="F458" s="4" t="s">
        <v>917</v>
      </c>
      <c r="G458" s="4">
        <f>E458*VLOOKUP(B458,alimentos_master!$A:$M,13,FALSE())/100</f>
        <v>57.75</v>
      </c>
      <c r="H458" s="4">
        <f>E458*VLOOKUP(B458,alimentos_master!$A:$N,14,FALSE())/100</f>
        <v>1.5</v>
      </c>
      <c r="I458" s="4">
        <f>E458*VLOOKUP(B458,alimentos_master!$A:$O,15,FALSE())/100</f>
        <v>13.125</v>
      </c>
      <c r="J458" s="4">
        <f>E458*VLOOKUP(B458,alimentos_master!$A:$R,18,FALSE())/100</f>
        <v>7.4999999999999997E-2</v>
      </c>
    </row>
    <row r="459" spans="1:10" ht="15" customHeight="1" x14ac:dyDescent="0.2">
      <c r="A459" s="4">
        <v>458</v>
      </c>
      <c r="B459" s="4">
        <v>115</v>
      </c>
      <c r="C459" s="4" t="s">
        <v>199</v>
      </c>
      <c r="D459" s="4" t="s">
        <v>918</v>
      </c>
      <c r="E459" s="4">
        <v>100</v>
      </c>
      <c r="F459" s="4" t="s">
        <v>917</v>
      </c>
      <c r="G459" s="4">
        <f>E459*VLOOKUP(B459,alimentos_master!$A:$M,13,FALSE())/100</f>
        <v>77</v>
      </c>
      <c r="H459" s="4">
        <f>E459*VLOOKUP(B459,alimentos_master!$A:$N,14,FALSE())/100</f>
        <v>2</v>
      </c>
      <c r="I459" s="4">
        <f>E459*VLOOKUP(B459,alimentos_master!$A:$O,15,FALSE())/100</f>
        <v>17.5</v>
      </c>
      <c r="J459" s="4">
        <f>E459*VLOOKUP(B459,alimentos_master!$A:$R,18,FALSE())/100</f>
        <v>0.1</v>
      </c>
    </row>
    <row r="460" spans="1:10" ht="15" customHeight="1" x14ac:dyDescent="0.2">
      <c r="A460" s="4">
        <v>459</v>
      </c>
      <c r="B460" s="4">
        <v>115</v>
      </c>
      <c r="C460" s="4" t="s">
        <v>199</v>
      </c>
      <c r="D460" s="4" t="s">
        <v>919</v>
      </c>
      <c r="E460" s="4">
        <v>150</v>
      </c>
      <c r="F460" s="4" t="s">
        <v>917</v>
      </c>
      <c r="G460" s="4">
        <f>E460*VLOOKUP(B460,alimentos_master!$A:$M,13,FALSE())/100</f>
        <v>115.5</v>
      </c>
      <c r="H460" s="4">
        <f>E460*VLOOKUP(B460,alimentos_master!$A:$N,14,FALSE())/100</f>
        <v>3</v>
      </c>
      <c r="I460" s="4">
        <f>E460*VLOOKUP(B460,alimentos_master!$A:$O,15,FALSE())/100</f>
        <v>26.25</v>
      </c>
      <c r="J460" s="4">
        <f>E460*VLOOKUP(B460,alimentos_master!$A:$R,18,FALSE())/100</f>
        <v>0.15</v>
      </c>
    </row>
    <row r="461" spans="1:10" ht="15" customHeight="1" x14ac:dyDescent="0.2">
      <c r="A461" s="4">
        <v>460</v>
      </c>
      <c r="B461" s="4">
        <v>115</v>
      </c>
      <c r="C461" s="4" t="s">
        <v>199</v>
      </c>
      <c r="D461" s="4" t="s">
        <v>920</v>
      </c>
      <c r="E461" s="4">
        <v>200</v>
      </c>
      <c r="F461" s="4" t="s">
        <v>917</v>
      </c>
      <c r="G461" s="4">
        <f>E461*VLOOKUP(B461,alimentos_master!$A:$M,13,FALSE())/100</f>
        <v>154</v>
      </c>
      <c r="H461" s="4">
        <f>E461*VLOOKUP(B461,alimentos_master!$A:$N,14,FALSE())/100</f>
        <v>4</v>
      </c>
      <c r="I461" s="4">
        <f>E461*VLOOKUP(B461,alimentos_master!$A:$O,15,FALSE())/100</f>
        <v>35</v>
      </c>
      <c r="J461" s="4">
        <f>E461*VLOOKUP(B461,alimentos_master!$A:$R,18,FALSE())/100</f>
        <v>0.2</v>
      </c>
    </row>
    <row r="462" spans="1:10" ht="15" customHeight="1" x14ac:dyDescent="0.2">
      <c r="A462" s="4">
        <v>461</v>
      </c>
      <c r="B462" s="4">
        <v>116</v>
      </c>
      <c r="C462" s="4" t="s">
        <v>202</v>
      </c>
      <c r="D462" s="4" t="s">
        <v>916</v>
      </c>
      <c r="E462" s="4">
        <v>75</v>
      </c>
      <c r="F462" s="4" t="s">
        <v>917</v>
      </c>
      <c r="G462" s="4" t="e">
        <f>E462*VLOOKUP(B462,alimentos_master!$A:$M,13,FALSE())/100</f>
        <v>#N/A</v>
      </c>
      <c r="H462" s="4" t="e">
        <f>E462*VLOOKUP(B462,alimentos_master!$A:$N,14,FALSE())/100</f>
        <v>#N/A</v>
      </c>
      <c r="I462" s="4" t="e">
        <f>E462*VLOOKUP(B462,alimentos_master!$A:$O,15,FALSE())/100</f>
        <v>#N/A</v>
      </c>
      <c r="J462" s="4" t="e">
        <f>E462*VLOOKUP(B462,alimentos_master!$A:$R,18,FALSE())/100</f>
        <v>#N/A</v>
      </c>
    </row>
    <row r="463" spans="1:10" ht="15" customHeight="1" x14ac:dyDescent="0.2">
      <c r="A463" s="4">
        <v>462</v>
      </c>
      <c r="B463" s="4">
        <v>116</v>
      </c>
      <c r="C463" s="4" t="s">
        <v>202</v>
      </c>
      <c r="D463" s="4" t="s">
        <v>918</v>
      </c>
      <c r="E463" s="4">
        <v>100</v>
      </c>
      <c r="F463" s="4" t="s">
        <v>917</v>
      </c>
      <c r="G463" s="4" t="e">
        <f>E463*VLOOKUP(B463,alimentos_master!$A:$M,13,FALSE())/100</f>
        <v>#N/A</v>
      </c>
      <c r="H463" s="4" t="e">
        <f>E463*VLOOKUP(B463,alimentos_master!$A:$N,14,FALSE())/100</f>
        <v>#N/A</v>
      </c>
      <c r="I463" s="4" t="e">
        <f>E463*VLOOKUP(B463,alimentos_master!$A:$O,15,FALSE())/100</f>
        <v>#N/A</v>
      </c>
      <c r="J463" s="4" t="e">
        <f>E463*VLOOKUP(B463,alimentos_master!$A:$R,18,FALSE())/100</f>
        <v>#N/A</v>
      </c>
    </row>
    <row r="464" spans="1:10" ht="15" customHeight="1" x14ac:dyDescent="0.2">
      <c r="A464" s="4">
        <v>463</v>
      </c>
      <c r="B464" s="4">
        <v>116</v>
      </c>
      <c r="C464" s="4" t="s">
        <v>202</v>
      </c>
      <c r="D464" s="4" t="s">
        <v>919</v>
      </c>
      <c r="E464" s="4">
        <v>150</v>
      </c>
      <c r="F464" s="4" t="s">
        <v>917</v>
      </c>
      <c r="G464" s="4" t="e">
        <f>E464*VLOOKUP(B464,alimentos_master!$A:$M,13,FALSE())/100</f>
        <v>#N/A</v>
      </c>
      <c r="H464" s="4" t="e">
        <f>E464*VLOOKUP(B464,alimentos_master!$A:$N,14,FALSE())/100</f>
        <v>#N/A</v>
      </c>
      <c r="I464" s="4" t="e">
        <f>E464*VLOOKUP(B464,alimentos_master!$A:$O,15,FALSE())/100</f>
        <v>#N/A</v>
      </c>
      <c r="J464" s="4" t="e">
        <f>E464*VLOOKUP(B464,alimentos_master!$A:$R,18,FALSE())/100</f>
        <v>#N/A</v>
      </c>
    </row>
    <row r="465" spans="1:10" ht="15" customHeight="1" x14ac:dyDescent="0.2">
      <c r="A465" s="4">
        <v>464</v>
      </c>
      <c r="B465" s="4">
        <v>116</v>
      </c>
      <c r="C465" s="4" t="s">
        <v>202</v>
      </c>
      <c r="D465" s="4" t="s">
        <v>920</v>
      </c>
      <c r="E465" s="4">
        <v>200</v>
      </c>
      <c r="F465" s="4" t="s">
        <v>917</v>
      </c>
      <c r="G465" s="4" t="e">
        <f>E465*VLOOKUP(B465,alimentos_master!$A:$M,13,FALSE())/100</f>
        <v>#N/A</v>
      </c>
      <c r="H465" s="4" t="e">
        <f>E465*VLOOKUP(B465,alimentos_master!$A:$N,14,FALSE())/100</f>
        <v>#N/A</v>
      </c>
      <c r="I465" s="4" t="e">
        <f>E465*VLOOKUP(B465,alimentos_master!$A:$O,15,FALSE())/100</f>
        <v>#N/A</v>
      </c>
      <c r="J465" s="4" t="e">
        <f>E465*VLOOKUP(B465,alimentos_master!$A:$R,18,FALSE())/100</f>
        <v>#N/A</v>
      </c>
    </row>
    <row r="466" spans="1:10" ht="15" customHeight="1" x14ac:dyDescent="0.2">
      <c r="A466" s="4">
        <v>465</v>
      </c>
      <c r="B466" s="4">
        <v>117</v>
      </c>
      <c r="C466" s="4" t="s">
        <v>203</v>
      </c>
      <c r="D466" s="4" t="s">
        <v>916</v>
      </c>
      <c r="E466" s="4">
        <v>75</v>
      </c>
      <c r="F466" s="4" t="s">
        <v>917</v>
      </c>
      <c r="G466" s="4" t="e">
        <f>E466*VLOOKUP(B466,alimentos_master!$A:$M,13,FALSE())/100</f>
        <v>#N/A</v>
      </c>
      <c r="H466" s="4" t="e">
        <f>E466*VLOOKUP(B466,alimentos_master!$A:$N,14,FALSE())/100</f>
        <v>#N/A</v>
      </c>
      <c r="I466" s="4" t="e">
        <f>E466*VLOOKUP(B466,alimentos_master!$A:$O,15,FALSE())/100</f>
        <v>#N/A</v>
      </c>
      <c r="J466" s="4" t="e">
        <f>E466*VLOOKUP(B466,alimentos_master!$A:$R,18,FALSE())/100</f>
        <v>#N/A</v>
      </c>
    </row>
    <row r="467" spans="1:10" ht="15" customHeight="1" x14ac:dyDescent="0.2">
      <c r="A467" s="4">
        <v>466</v>
      </c>
      <c r="B467" s="4">
        <v>117</v>
      </c>
      <c r="C467" s="4" t="s">
        <v>203</v>
      </c>
      <c r="D467" s="4" t="s">
        <v>918</v>
      </c>
      <c r="E467" s="4">
        <v>100</v>
      </c>
      <c r="F467" s="4" t="s">
        <v>917</v>
      </c>
      <c r="G467" s="4" t="e">
        <f>E467*VLOOKUP(B467,alimentos_master!$A:$M,13,FALSE())/100</f>
        <v>#N/A</v>
      </c>
      <c r="H467" s="4" t="e">
        <f>E467*VLOOKUP(B467,alimentos_master!$A:$N,14,FALSE())/100</f>
        <v>#N/A</v>
      </c>
      <c r="I467" s="4" t="e">
        <f>E467*VLOOKUP(B467,alimentos_master!$A:$O,15,FALSE())/100</f>
        <v>#N/A</v>
      </c>
      <c r="J467" s="4" t="e">
        <f>E467*VLOOKUP(B467,alimentos_master!$A:$R,18,FALSE())/100</f>
        <v>#N/A</v>
      </c>
    </row>
    <row r="468" spans="1:10" ht="15" customHeight="1" x14ac:dyDescent="0.2">
      <c r="A468" s="4">
        <v>467</v>
      </c>
      <c r="B468" s="4">
        <v>117</v>
      </c>
      <c r="C468" s="4" t="s">
        <v>203</v>
      </c>
      <c r="D468" s="4" t="s">
        <v>919</v>
      </c>
      <c r="E468" s="4">
        <v>150</v>
      </c>
      <c r="F468" s="4" t="s">
        <v>917</v>
      </c>
      <c r="G468" s="4" t="e">
        <f>E468*VLOOKUP(B468,alimentos_master!$A:$M,13,FALSE())/100</f>
        <v>#N/A</v>
      </c>
      <c r="H468" s="4" t="e">
        <f>E468*VLOOKUP(B468,alimentos_master!$A:$N,14,FALSE())/100</f>
        <v>#N/A</v>
      </c>
      <c r="I468" s="4" t="e">
        <f>E468*VLOOKUP(B468,alimentos_master!$A:$O,15,FALSE())/100</f>
        <v>#N/A</v>
      </c>
      <c r="J468" s="4" t="e">
        <f>E468*VLOOKUP(B468,alimentos_master!$A:$R,18,FALSE())/100</f>
        <v>#N/A</v>
      </c>
    </row>
    <row r="469" spans="1:10" ht="15" customHeight="1" x14ac:dyDescent="0.2">
      <c r="A469" s="4">
        <v>468</v>
      </c>
      <c r="B469" s="4">
        <v>117</v>
      </c>
      <c r="C469" s="4" t="s">
        <v>203</v>
      </c>
      <c r="D469" s="4" t="s">
        <v>920</v>
      </c>
      <c r="E469" s="4">
        <v>200</v>
      </c>
      <c r="F469" s="4" t="s">
        <v>917</v>
      </c>
      <c r="G469" s="4" t="e">
        <f>E469*VLOOKUP(B469,alimentos_master!$A:$M,13,FALSE())/100</f>
        <v>#N/A</v>
      </c>
      <c r="H469" s="4" t="e">
        <f>E469*VLOOKUP(B469,alimentos_master!$A:$N,14,FALSE())/100</f>
        <v>#N/A</v>
      </c>
      <c r="I469" s="4" t="e">
        <f>E469*VLOOKUP(B469,alimentos_master!$A:$O,15,FALSE())/100</f>
        <v>#N/A</v>
      </c>
      <c r="J469" s="4" t="e">
        <f>E469*VLOOKUP(B469,alimentos_master!$A:$R,18,FALSE())/100</f>
        <v>#N/A</v>
      </c>
    </row>
    <row r="470" spans="1:10" ht="15" customHeight="1" x14ac:dyDescent="0.2">
      <c r="A470" s="4">
        <v>469</v>
      </c>
      <c r="B470" s="4">
        <v>118</v>
      </c>
      <c r="C470" s="4" t="s">
        <v>204</v>
      </c>
      <c r="D470" s="4" t="s">
        <v>916</v>
      </c>
      <c r="E470" s="4">
        <v>75</v>
      </c>
      <c r="F470" s="4" t="s">
        <v>917</v>
      </c>
      <c r="G470" s="4">
        <f>E470*VLOOKUP(B470,alimentos_master!$A:$M,13,FALSE())/100</f>
        <v>60.674999999999997</v>
      </c>
      <c r="H470" s="4">
        <f>E470*VLOOKUP(B470,alimentos_master!$A:$N,14,FALSE())/100</f>
        <v>1.5</v>
      </c>
      <c r="I470" s="4">
        <f>E470*VLOOKUP(B470,alimentos_master!$A:$O,15,FALSE())/100</f>
        <v>13.125</v>
      </c>
      <c r="J470" s="4">
        <f>E470*VLOOKUP(B470,alimentos_master!$A:$R,18,FALSE())/100</f>
        <v>7.4999999999999997E-2</v>
      </c>
    </row>
    <row r="471" spans="1:10" ht="15" customHeight="1" x14ac:dyDescent="0.2">
      <c r="A471" s="4">
        <v>470</v>
      </c>
      <c r="B471" s="4">
        <v>118</v>
      </c>
      <c r="C471" s="4" t="s">
        <v>204</v>
      </c>
      <c r="D471" s="4" t="s">
        <v>918</v>
      </c>
      <c r="E471" s="4">
        <v>100</v>
      </c>
      <c r="F471" s="4" t="s">
        <v>917</v>
      </c>
      <c r="G471" s="4">
        <f>E471*VLOOKUP(B471,alimentos_master!$A:$M,13,FALSE())/100</f>
        <v>80.900000000000006</v>
      </c>
      <c r="H471" s="4">
        <f>E471*VLOOKUP(B471,alimentos_master!$A:$N,14,FALSE())/100</f>
        <v>2</v>
      </c>
      <c r="I471" s="4">
        <f>E471*VLOOKUP(B471,alimentos_master!$A:$O,15,FALSE())/100</f>
        <v>17.5</v>
      </c>
      <c r="J471" s="4">
        <f>E471*VLOOKUP(B471,alimentos_master!$A:$R,18,FALSE())/100</f>
        <v>0.1</v>
      </c>
    </row>
    <row r="472" spans="1:10" ht="15" customHeight="1" x14ac:dyDescent="0.2">
      <c r="A472" s="4">
        <v>471</v>
      </c>
      <c r="B472" s="4">
        <v>118</v>
      </c>
      <c r="C472" s="4" t="s">
        <v>204</v>
      </c>
      <c r="D472" s="4" t="s">
        <v>919</v>
      </c>
      <c r="E472" s="4">
        <v>150</v>
      </c>
      <c r="F472" s="4" t="s">
        <v>917</v>
      </c>
      <c r="G472" s="4">
        <f>E472*VLOOKUP(B472,alimentos_master!$A:$M,13,FALSE())/100</f>
        <v>121.35</v>
      </c>
      <c r="H472" s="4">
        <f>E472*VLOOKUP(B472,alimentos_master!$A:$N,14,FALSE())/100</f>
        <v>3</v>
      </c>
      <c r="I472" s="4">
        <f>E472*VLOOKUP(B472,alimentos_master!$A:$O,15,FALSE())/100</f>
        <v>26.25</v>
      </c>
      <c r="J472" s="4">
        <f>E472*VLOOKUP(B472,alimentos_master!$A:$R,18,FALSE())/100</f>
        <v>0.15</v>
      </c>
    </row>
    <row r="473" spans="1:10" ht="15" customHeight="1" x14ac:dyDescent="0.2">
      <c r="A473" s="4">
        <v>472</v>
      </c>
      <c r="B473" s="4">
        <v>118</v>
      </c>
      <c r="C473" s="4" t="s">
        <v>204</v>
      </c>
      <c r="D473" s="4" t="s">
        <v>920</v>
      </c>
      <c r="E473" s="4">
        <v>200</v>
      </c>
      <c r="F473" s="4" t="s">
        <v>917</v>
      </c>
      <c r="G473" s="4">
        <f>E473*VLOOKUP(B473,alimentos_master!$A:$M,13,FALSE())/100</f>
        <v>161.80000000000001</v>
      </c>
      <c r="H473" s="4">
        <f>E473*VLOOKUP(B473,alimentos_master!$A:$N,14,FALSE())/100</f>
        <v>4</v>
      </c>
      <c r="I473" s="4">
        <f>E473*VLOOKUP(B473,alimentos_master!$A:$O,15,FALSE())/100</f>
        <v>35</v>
      </c>
      <c r="J473" s="4">
        <f>E473*VLOOKUP(B473,alimentos_master!$A:$R,18,FALSE())/100</f>
        <v>0.2</v>
      </c>
    </row>
    <row r="474" spans="1:10" ht="15" customHeight="1" x14ac:dyDescent="0.2">
      <c r="A474" s="4">
        <v>473</v>
      </c>
      <c r="B474" s="4">
        <v>119</v>
      </c>
      <c r="C474" s="4" t="s">
        <v>205</v>
      </c>
      <c r="D474" s="4" t="s">
        <v>916</v>
      </c>
      <c r="E474" s="4">
        <v>75</v>
      </c>
      <c r="F474" s="4" t="s">
        <v>917</v>
      </c>
      <c r="G474" s="4" t="e">
        <f>E474*VLOOKUP(B474,alimentos_master!$A:$M,13,FALSE())/100</f>
        <v>#N/A</v>
      </c>
      <c r="H474" s="4" t="e">
        <f>E474*VLOOKUP(B474,alimentos_master!$A:$N,14,FALSE())/100</f>
        <v>#N/A</v>
      </c>
      <c r="I474" s="4" t="e">
        <f>E474*VLOOKUP(B474,alimentos_master!$A:$O,15,FALSE())/100</f>
        <v>#N/A</v>
      </c>
      <c r="J474" s="4" t="e">
        <f>E474*VLOOKUP(B474,alimentos_master!$A:$R,18,FALSE())/100</f>
        <v>#N/A</v>
      </c>
    </row>
    <row r="475" spans="1:10" ht="15" customHeight="1" x14ac:dyDescent="0.2">
      <c r="A475" s="4">
        <v>474</v>
      </c>
      <c r="B475" s="4">
        <v>119</v>
      </c>
      <c r="C475" s="4" t="s">
        <v>205</v>
      </c>
      <c r="D475" s="4" t="s">
        <v>918</v>
      </c>
      <c r="E475" s="4">
        <v>100</v>
      </c>
      <c r="F475" s="4" t="s">
        <v>917</v>
      </c>
      <c r="G475" s="4" t="e">
        <f>E475*VLOOKUP(B475,alimentos_master!$A:$M,13,FALSE())/100</f>
        <v>#N/A</v>
      </c>
      <c r="H475" s="4" t="e">
        <f>E475*VLOOKUP(B475,alimentos_master!$A:$N,14,FALSE())/100</f>
        <v>#N/A</v>
      </c>
      <c r="I475" s="4" t="e">
        <f>E475*VLOOKUP(B475,alimentos_master!$A:$O,15,FALSE())/100</f>
        <v>#N/A</v>
      </c>
      <c r="J475" s="4" t="e">
        <f>E475*VLOOKUP(B475,alimentos_master!$A:$R,18,FALSE())/100</f>
        <v>#N/A</v>
      </c>
    </row>
    <row r="476" spans="1:10" ht="15" customHeight="1" x14ac:dyDescent="0.2">
      <c r="A476" s="4">
        <v>475</v>
      </c>
      <c r="B476" s="4">
        <v>119</v>
      </c>
      <c r="C476" s="4" t="s">
        <v>205</v>
      </c>
      <c r="D476" s="4" t="s">
        <v>919</v>
      </c>
      <c r="E476" s="4">
        <v>150</v>
      </c>
      <c r="F476" s="4" t="s">
        <v>917</v>
      </c>
      <c r="G476" s="4" t="e">
        <f>E476*VLOOKUP(B476,alimentos_master!$A:$M,13,FALSE())/100</f>
        <v>#N/A</v>
      </c>
      <c r="H476" s="4" t="e">
        <f>E476*VLOOKUP(B476,alimentos_master!$A:$N,14,FALSE())/100</f>
        <v>#N/A</v>
      </c>
      <c r="I476" s="4" t="e">
        <f>E476*VLOOKUP(B476,alimentos_master!$A:$O,15,FALSE())/100</f>
        <v>#N/A</v>
      </c>
      <c r="J476" s="4" t="e">
        <f>E476*VLOOKUP(B476,alimentos_master!$A:$R,18,FALSE())/100</f>
        <v>#N/A</v>
      </c>
    </row>
    <row r="477" spans="1:10" ht="15" customHeight="1" x14ac:dyDescent="0.2">
      <c r="A477" s="4">
        <v>476</v>
      </c>
      <c r="B477" s="4">
        <v>119</v>
      </c>
      <c r="C477" s="4" t="s">
        <v>205</v>
      </c>
      <c r="D477" s="4" t="s">
        <v>920</v>
      </c>
      <c r="E477" s="4">
        <v>200</v>
      </c>
      <c r="F477" s="4" t="s">
        <v>917</v>
      </c>
      <c r="G477" s="4" t="e">
        <f>E477*VLOOKUP(B477,alimentos_master!$A:$M,13,FALSE())/100</f>
        <v>#N/A</v>
      </c>
      <c r="H477" s="4" t="e">
        <f>E477*VLOOKUP(B477,alimentos_master!$A:$N,14,FALSE())/100</f>
        <v>#N/A</v>
      </c>
      <c r="I477" s="4" t="e">
        <f>E477*VLOOKUP(B477,alimentos_master!$A:$O,15,FALSE())/100</f>
        <v>#N/A</v>
      </c>
      <c r="J477" s="4" t="e">
        <f>E477*VLOOKUP(B477,alimentos_master!$A:$R,18,FALSE())/100</f>
        <v>#N/A</v>
      </c>
    </row>
    <row r="478" spans="1:10" ht="15" customHeight="1" x14ac:dyDescent="0.2">
      <c r="A478" s="4">
        <v>477</v>
      </c>
      <c r="B478" s="4">
        <v>120</v>
      </c>
      <c r="C478" s="4" t="s">
        <v>206</v>
      </c>
      <c r="D478" s="4" t="s">
        <v>916</v>
      </c>
      <c r="E478" s="4">
        <v>75</v>
      </c>
      <c r="F478" s="4" t="s">
        <v>917</v>
      </c>
      <c r="G478" s="4" t="e">
        <f>E478*VLOOKUP(B478,alimentos_master!$A:$M,13,FALSE())/100</f>
        <v>#N/A</v>
      </c>
      <c r="H478" s="4" t="e">
        <f>E478*VLOOKUP(B478,alimentos_master!$A:$N,14,FALSE())/100</f>
        <v>#N/A</v>
      </c>
      <c r="I478" s="4" t="e">
        <f>E478*VLOOKUP(B478,alimentos_master!$A:$O,15,FALSE())/100</f>
        <v>#N/A</v>
      </c>
      <c r="J478" s="4" t="e">
        <f>E478*VLOOKUP(B478,alimentos_master!$A:$R,18,FALSE())/100</f>
        <v>#N/A</v>
      </c>
    </row>
    <row r="479" spans="1:10" ht="15" customHeight="1" x14ac:dyDescent="0.2">
      <c r="A479" s="4">
        <v>478</v>
      </c>
      <c r="B479" s="4">
        <v>120</v>
      </c>
      <c r="C479" s="4" t="s">
        <v>206</v>
      </c>
      <c r="D479" s="4" t="s">
        <v>918</v>
      </c>
      <c r="E479" s="4">
        <v>100</v>
      </c>
      <c r="F479" s="4" t="s">
        <v>917</v>
      </c>
      <c r="G479" s="4" t="e">
        <f>E479*VLOOKUP(B479,alimentos_master!$A:$M,13,FALSE())/100</f>
        <v>#N/A</v>
      </c>
      <c r="H479" s="4" t="e">
        <f>E479*VLOOKUP(B479,alimentos_master!$A:$N,14,FALSE())/100</f>
        <v>#N/A</v>
      </c>
      <c r="I479" s="4" t="e">
        <f>E479*VLOOKUP(B479,alimentos_master!$A:$O,15,FALSE())/100</f>
        <v>#N/A</v>
      </c>
      <c r="J479" s="4" t="e">
        <f>E479*VLOOKUP(B479,alimentos_master!$A:$R,18,FALSE())/100</f>
        <v>#N/A</v>
      </c>
    </row>
    <row r="480" spans="1:10" ht="15" customHeight="1" x14ac:dyDescent="0.2">
      <c r="A480" s="4">
        <v>479</v>
      </c>
      <c r="B480" s="4">
        <v>120</v>
      </c>
      <c r="C480" s="4" t="s">
        <v>206</v>
      </c>
      <c r="D480" s="4" t="s">
        <v>919</v>
      </c>
      <c r="E480" s="4">
        <v>150</v>
      </c>
      <c r="F480" s="4" t="s">
        <v>917</v>
      </c>
      <c r="G480" s="4" t="e">
        <f>E480*VLOOKUP(B480,alimentos_master!$A:$M,13,FALSE())/100</f>
        <v>#N/A</v>
      </c>
      <c r="H480" s="4" t="e">
        <f>E480*VLOOKUP(B480,alimentos_master!$A:$N,14,FALSE())/100</f>
        <v>#N/A</v>
      </c>
      <c r="I480" s="4" t="e">
        <f>E480*VLOOKUP(B480,alimentos_master!$A:$O,15,FALSE())/100</f>
        <v>#N/A</v>
      </c>
      <c r="J480" s="4" t="e">
        <f>E480*VLOOKUP(B480,alimentos_master!$A:$R,18,FALSE())/100</f>
        <v>#N/A</v>
      </c>
    </row>
    <row r="481" spans="1:10" ht="15" customHeight="1" x14ac:dyDescent="0.2">
      <c r="A481" s="4">
        <v>480</v>
      </c>
      <c r="B481" s="4">
        <v>120</v>
      </c>
      <c r="C481" s="4" t="s">
        <v>206</v>
      </c>
      <c r="D481" s="4" t="s">
        <v>920</v>
      </c>
      <c r="E481" s="4">
        <v>200</v>
      </c>
      <c r="F481" s="4" t="s">
        <v>917</v>
      </c>
      <c r="G481" s="4" t="e">
        <f>E481*VLOOKUP(B481,alimentos_master!$A:$M,13,FALSE())/100</f>
        <v>#N/A</v>
      </c>
      <c r="H481" s="4" t="e">
        <f>E481*VLOOKUP(B481,alimentos_master!$A:$N,14,FALSE())/100</f>
        <v>#N/A</v>
      </c>
      <c r="I481" s="4" t="e">
        <f>E481*VLOOKUP(B481,alimentos_master!$A:$O,15,FALSE())/100</f>
        <v>#N/A</v>
      </c>
      <c r="J481" s="4" t="e">
        <f>E481*VLOOKUP(B481,alimentos_master!$A:$R,18,FALSE())/100</f>
        <v>#N/A</v>
      </c>
    </row>
    <row r="482" spans="1:10" ht="15" customHeight="1" x14ac:dyDescent="0.2">
      <c r="A482" s="4">
        <v>481</v>
      </c>
      <c r="B482" s="4">
        <v>121</v>
      </c>
      <c r="C482" s="4" t="s">
        <v>207</v>
      </c>
      <c r="D482" s="4" t="s">
        <v>916</v>
      </c>
      <c r="E482" s="4">
        <v>75</v>
      </c>
      <c r="F482" s="4" t="s">
        <v>917</v>
      </c>
      <c r="G482" s="4">
        <f>E482*VLOOKUP(B482,alimentos_master!$A:$M,13,FALSE())/100</f>
        <v>68.174999999999997</v>
      </c>
      <c r="H482" s="4">
        <f>E482*VLOOKUP(B482,alimentos_master!$A:$N,14,FALSE())/100</f>
        <v>1.575</v>
      </c>
      <c r="I482" s="4">
        <f>E482*VLOOKUP(B482,alimentos_master!$A:$O,15,FALSE())/100</f>
        <v>13.785</v>
      </c>
      <c r="J482" s="4">
        <f>E482*VLOOKUP(B482,alimentos_master!$A:$R,18,FALSE())/100</f>
        <v>8.2500000000000004E-2</v>
      </c>
    </row>
    <row r="483" spans="1:10" ht="15" customHeight="1" x14ac:dyDescent="0.2">
      <c r="A483" s="4">
        <v>482</v>
      </c>
      <c r="B483" s="4">
        <v>121</v>
      </c>
      <c r="C483" s="4" t="s">
        <v>207</v>
      </c>
      <c r="D483" s="4" t="s">
        <v>918</v>
      </c>
      <c r="E483" s="4">
        <v>100</v>
      </c>
      <c r="F483" s="4" t="s">
        <v>917</v>
      </c>
      <c r="G483" s="4">
        <f>E483*VLOOKUP(B483,alimentos_master!$A:$M,13,FALSE())/100</f>
        <v>90.9</v>
      </c>
      <c r="H483" s="4">
        <f>E483*VLOOKUP(B483,alimentos_master!$A:$N,14,FALSE())/100</f>
        <v>2.1</v>
      </c>
      <c r="I483" s="4">
        <f>E483*VLOOKUP(B483,alimentos_master!$A:$O,15,FALSE())/100</f>
        <v>18.38</v>
      </c>
      <c r="J483" s="4">
        <f>E483*VLOOKUP(B483,alimentos_master!$A:$R,18,FALSE())/100</f>
        <v>0.11</v>
      </c>
    </row>
    <row r="484" spans="1:10" ht="15" customHeight="1" x14ac:dyDescent="0.2">
      <c r="A484" s="4">
        <v>483</v>
      </c>
      <c r="B484" s="4">
        <v>121</v>
      </c>
      <c r="C484" s="4" t="s">
        <v>207</v>
      </c>
      <c r="D484" s="4" t="s">
        <v>919</v>
      </c>
      <c r="E484" s="4">
        <v>150</v>
      </c>
      <c r="F484" s="4" t="s">
        <v>917</v>
      </c>
      <c r="G484" s="4">
        <f>E484*VLOOKUP(B484,alimentos_master!$A:$M,13,FALSE())/100</f>
        <v>136.35</v>
      </c>
      <c r="H484" s="4">
        <f>E484*VLOOKUP(B484,alimentos_master!$A:$N,14,FALSE())/100</f>
        <v>3.15</v>
      </c>
      <c r="I484" s="4">
        <f>E484*VLOOKUP(B484,alimentos_master!$A:$O,15,FALSE())/100</f>
        <v>27.57</v>
      </c>
      <c r="J484" s="4">
        <f>E484*VLOOKUP(B484,alimentos_master!$A:$R,18,FALSE())/100</f>
        <v>0.16500000000000001</v>
      </c>
    </row>
    <row r="485" spans="1:10" ht="15" customHeight="1" x14ac:dyDescent="0.2">
      <c r="A485" s="4">
        <v>484</v>
      </c>
      <c r="B485" s="4">
        <v>121</v>
      </c>
      <c r="C485" s="4" t="s">
        <v>207</v>
      </c>
      <c r="D485" s="4" t="s">
        <v>920</v>
      </c>
      <c r="E485" s="4">
        <v>200</v>
      </c>
      <c r="F485" s="4" t="s">
        <v>917</v>
      </c>
      <c r="G485" s="4">
        <f>E485*VLOOKUP(B485,alimentos_master!$A:$M,13,FALSE())/100</f>
        <v>181.8</v>
      </c>
      <c r="H485" s="4">
        <f>E485*VLOOKUP(B485,alimentos_master!$A:$N,14,FALSE())/100</f>
        <v>4.2</v>
      </c>
      <c r="I485" s="4">
        <f>E485*VLOOKUP(B485,alimentos_master!$A:$O,15,FALSE())/100</f>
        <v>36.76</v>
      </c>
      <c r="J485" s="4">
        <f>E485*VLOOKUP(B485,alimentos_master!$A:$R,18,FALSE())/100</f>
        <v>0.22</v>
      </c>
    </row>
    <row r="486" spans="1:10" ht="15" customHeight="1" x14ac:dyDescent="0.2">
      <c r="A486" s="4">
        <v>485</v>
      </c>
      <c r="B486" s="4">
        <v>122</v>
      </c>
      <c r="C486" s="4" t="s">
        <v>209</v>
      </c>
      <c r="D486" s="4" t="s">
        <v>916</v>
      </c>
      <c r="E486" s="4">
        <v>75</v>
      </c>
      <c r="F486" s="4" t="s">
        <v>917</v>
      </c>
      <c r="G486" s="4" t="e">
        <f>E486*VLOOKUP(B486,alimentos_master!$A:$M,13,FALSE())/100</f>
        <v>#N/A</v>
      </c>
      <c r="H486" s="4" t="e">
        <f>E486*VLOOKUP(B486,alimentos_master!$A:$N,14,FALSE())/100</f>
        <v>#N/A</v>
      </c>
      <c r="I486" s="4" t="e">
        <f>E486*VLOOKUP(B486,alimentos_master!$A:$O,15,FALSE())/100</f>
        <v>#N/A</v>
      </c>
      <c r="J486" s="4" t="e">
        <f>E486*VLOOKUP(B486,alimentos_master!$A:$R,18,FALSE())/100</f>
        <v>#N/A</v>
      </c>
    </row>
    <row r="487" spans="1:10" ht="15" customHeight="1" x14ac:dyDescent="0.2">
      <c r="A487" s="4">
        <v>486</v>
      </c>
      <c r="B487" s="4">
        <v>122</v>
      </c>
      <c r="C487" s="4" t="s">
        <v>209</v>
      </c>
      <c r="D487" s="4" t="s">
        <v>918</v>
      </c>
      <c r="E487" s="4">
        <v>100</v>
      </c>
      <c r="F487" s="4" t="s">
        <v>917</v>
      </c>
      <c r="G487" s="4" t="e">
        <f>E487*VLOOKUP(B487,alimentos_master!$A:$M,13,FALSE())/100</f>
        <v>#N/A</v>
      </c>
      <c r="H487" s="4" t="e">
        <f>E487*VLOOKUP(B487,alimentos_master!$A:$N,14,FALSE())/100</f>
        <v>#N/A</v>
      </c>
      <c r="I487" s="4" t="e">
        <f>E487*VLOOKUP(B487,alimentos_master!$A:$O,15,FALSE())/100</f>
        <v>#N/A</v>
      </c>
      <c r="J487" s="4" t="e">
        <f>E487*VLOOKUP(B487,alimentos_master!$A:$R,18,FALSE())/100</f>
        <v>#N/A</v>
      </c>
    </row>
    <row r="488" spans="1:10" ht="15" customHeight="1" x14ac:dyDescent="0.2">
      <c r="A488" s="4">
        <v>487</v>
      </c>
      <c r="B488" s="4">
        <v>122</v>
      </c>
      <c r="C488" s="4" t="s">
        <v>209</v>
      </c>
      <c r="D488" s="4" t="s">
        <v>919</v>
      </c>
      <c r="E488" s="4">
        <v>150</v>
      </c>
      <c r="F488" s="4" t="s">
        <v>917</v>
      </c>
      <c r="G488" s="4" t="e">
        <f>E488*VLOOKUP(B488,alimentos_master!$A:$M,13,FALSE())/100</f>
        <v>#N/A</v>
      </c>
      <c r="H488" s="4" t="e">
        <f>E488*VLOOKUP(B488,alimentos_master!$A:$N,14,FALSE())/100</f>
        <v>#N/A</v>
      </c>
      <c r="I488" s="4" t="e">
        <f>E488*VLOOKUP(B488,alimentos_master!$A:$O,15,FALSE())/100</f>
        <v>#N/A</v>
      </c>
      <c r="J488" s="4" t="e">
        <f>E488*VLOOKUP(B488,alimentos_master!$A:$R,18,FALSE())/100</f>
        <v>#N/A</v>
      </c>
    </row>
    <row r="489" spans="1:10" ht="15" customHeight="1" x14ac:dyDescent="0.2">
      <c r="A489" s="4">
        <v>488</v>
      </c>
      <c r="B489" s="4">
        <v>122</v>
      </c>
      <c r="C489" s="4" t="s">
        <v>209</v>
      </c>
      <c r="D489" s="4" t="s">
        <v>920</v>
      </c>
      <c r="E489" s="4">
        <v>200</v>
      </c>
      <c r="F489" s="4" t="s">
        <v>917</v>
      </c>
      <c r="G489" s="4" t="e">
        <f>E489*VLOOKUP(B489,alimentos_master!$A:$M,13,FALSE())/100</f>
        <v>#N/A</v>
      </c>
      <c r="H489" s="4" t="e">
        <f>E489*VLOOKUP(B489,alimentos_master!$A:$N,14,FALSE())/100</f>
        <v>#N/A</v>
      </c>
      <c r="I489" s="4" t="e">
        <f>E489*VLOOKUP(B489,alimentos_master!$A:$O,15,FALSE())/100</f>
        <v>#N/A</v>
      </c>
      <c r="J489" s="4" t="e">
        <f>E489*VLOOKUP(B489,alimentos_master!$A:$R,18,FALSE())/100</f>
        <v>#N/A</v>
      </c>
    </row>
    <row r="490" spans="1:10" ht="15" customHeight="1" x14ac:dyDescent="0.2">
      <c r="A490" s="4">
        <v>489</v>
      </c>
      <c r="B490" s="4">
        <v>123</v>
      </c>
      <c r="C490" s="4" t="s">
        <v>210</v>
      </c>
      <c r="D490" s="4" t="s">
        <v>916</v>
      </c>
      <c r="E490" s="4">
        <v>75</v>
      </c>
      <c r="F490" s="4" t="s">
        <v>917</v>
      </c>
      <c r="G490" s="4" t="e">
        <f>E490*VLOOKUP(B490,alimentos_master!$A:$M,13,FALSE())/100</f>
        <v>#N/A</v>
      </c>
      <c r="H490" s="4" t="e">
        <f>E490*VLOOKUP(B490,alimentos_master!$A:$N,14,FALSE())/100</f>
        <v>#N/A</v>
      </c>
      <c r="I490" s="4" t="e">
        <f>E490*VLOOKUP(B490,alimentos_master!$A:$O,15,FALSE())/100</f>
        <v>#N/A</v>
      </c>
      <c r="J490" s="4" t="e">
        <f>E490*VLOOKUP(B490,alimentos_master!$A:$R,18,FALSE())/100</f>
        <v>#N/A</v>
      </c>
    </row>
    <row r="491" spans="1:10" ht="15" customHeight="1" x14ac:dyDescent="0.2">
      <c r="A491" s="4">
        <v>490</v>
      </c>
      <c r="B491" s="4">
        <v>123</v>
      </c>
      <c r="C491" s="4" t="s">
        <v>210</v>
      </c>
      <c r="D491" s="4" t="s">
        <v>918</v>
      </c>
      <c r="E491" s="4">
        <v>100</v>
      </c>
      <c r="F491" s="4" t="s">
        <v>917</v>
      </c>
      <c r="G491" s="4" t="e">
        <f>E491*VLOOKUP(B491,alimentos_master!$A:$M,13,FALSE())/100</f>
        <v>#N/A</v>
      </c>
      <c r="H491" s="4" t="e">
        <f>E491*VLOOKUP(B491,alimentos_master!$A:$N,14,FALSE())/100</f>
        <v>#N/A</v>
      </c>
      <c r="I491" s="4" t="e">
        <f>E491*VLOOKUP(B491,alimentos_master!$A:$O,15,FALSE())/100</f>
        <v>#N/A</v>
      </c>
      <c r="J491" s="4" t="e">
        <f>E491*VLOOKUP(B491,alimentos_master!$A:$R,18,FALSE())/100</f>
        <v>#N/A</v>
      </c>
    </row>
    <row r="492" spans="1:10" ht="15" customHeight="1" x14ac:dyDescent="0.2">
      <c r="A492" s="4">
        <v>491</v>
      </c>
      <c r="B492" s="4">
        <v>123</v>
      </c>
      <c r="C492" s="4" t="s">
        <v>210</v>
      </c>
      <c r="D492" s="4" t="s">
        <v>919</v>
      </c>
      <c r="E492" s="4">
        <v>150</v>
      </c>
      <c r="F492" s="4" t="s">
        <v>917</v>
      </c>
      <c r="G492" s="4" t="e">
        <f>E492*VLOOKUP(B492,alimentos_master!$A:$M,13,FALSE())/100</f>
        <v>#N/A</v>
      </c>
      <c r="H492" s="4" t="e">
        <f>E492*VLOOKUP(B492,alimentos_master!$A:$N,14,FALSE())/100</f>
        <v>#N/A</v>
      </c>
      <c r="I492" s="4" t="e">
        <f>E492*VLOOKUP(B492,alimentos_master!$A:$O,15,FALSE())/100</f>
        <v>#N/A</v>
      </c>
      <c r="J492" s="4" t="e">
        <f>E492*VLOOKUP(B492,alimentos_master!$A:$R,18,FALSE())/100</f>
        <v>#N/A</v>
      </c>
    </row>
    <row r="493" spans="1:10" ht="15" customHeight="1" x14ac:dyDescent="0.2">
      <c r="A493" s="4">
        <v>492</v>
      </c>
      <c r="B493" s="4">
        <v>123</v>
      </c>
      <c r="C493" s="4" t="s">
        <v>210</v>
      </c>
      <c r="D493" s="4" t="s">
        <v>920</v>
      </c>
      <c r="E493" s="4">
        <v>200</v>
      </c>
      <c r="F493" s="4" t="s">
        <v>917</v>
      </c>
      <c r="G493" s="4" t="e">
        <f>E493*VLOOKUP(B493,alimentos_master!$A:$M,13,FALSE())/100</f>
        <v>#N/A</v>
      </c>
      <c r="H493" s="4" t="e">
        <f>E493*VLOOKUP(B493,alimentos_master!$A:$N,14,FALSE())/100</f>
        <v>#N/A</v>
      </c>
      <c r="I493" s="4" t="e">
        <f>E493*VLOOKUP(B493,alimentos_master!$A:$O,15,FALSE())/100</f>
        <v>#N/A</v>
      </c>
      <c r="J493" s="4" t="e">
        <f>E493*VLOOKUP(B493,alimentos_master!$A:$R,18,FALSE())/100</f>
        <v>#N/A</v>
      </c>
    </row>
    <row r="494" spans="1:10" ht="15" customHeight="1" x14ac:dyDescent="0.2">
      <c r="A494" s="4">
        <v>493</v>
      </c>
      <c r="B494" s="4">
        <v>124</v>
      </c>
      <c r="C494" s="4" t="s">
        <v>211</v>
      </c>
      <c r="D494" s="4" t="s">
        <v>916</v>
      </c>
      <c r="E494" s="4">
        <v>75</v>
      </c>
      <c r="F494" s="4" t="s">
        <v>917</v>
      </c>
      <c r="G494" s="4">
        <f>E494*VLOOKUP(B494,alimentos_master!$A:$M,13,FALSE())/100</f>
        <v>63.524999999999999</v>
      </c>
      <c r="H494" s="4">
        <f>E494*VLOOKUP(B494,alimentos_master!$A:$N,14,FALSE())/100</f>
        <v>1.53</v>
      </c>
      <c r="I494" s="4">
        <f>E494*VLOOKUP(B494,alimentos_master!$A:$O,15,FALSE())/100</f>
        <v>13.387499999999999</v>
      </c>
      <c r="J494" s="4">
        <f>E494*VLOOKUP(B494,alimentos_master!$A:$R,18,FALSE())/100</f>
        <v>7.4999999999999997E-2</v>
      </c>
    </row>
    <row r="495" spans="1:10" ht="15" customHeight="1" x14ac:dyDescent="0.2">
      <c r="A495" s="4">
        <v>494</v>
      </c>
      <c r="B495" s="4">
        <v>124</v>
      </c>
      <c r="C495" s="4" t="s">
        <v>211</v>
      </c>
      <c r="D495" s="4" t="s">
        <v>918</v>
      </c>
      <c r="E495" s="4">
        <v>100</v>
      </c>
      <c r="F495" s="4" t="s">
        <v>917</v>
      </c>
      <c r="G495" s="4">
        <f>E495*VLOOKUP(B495,alimentos_master!$A:$M,13,FALSE())/100</f>
        <v>84.7</v>
      </c>
      <c r="H495" s="4">
        <f>E495*VLOOKUP(B495,alimentos_master!$A:$N,14,FALSE())/100</f>
        <v>2.04</v>
      </c>
      <c r="I495" s="4">
        <f>E495*VLOOKUP(B495,alimentos_master!$A:$O,15,FALSE())/100</f>
        <v>17.850000000000001</v>
      </c>
      <c r="J495" s="4">
        <f>E495*VLOOKUP(B495,alimentos_master!$A:$R,18,FALSE())/100</f>
        <v>0.1</v>
      </c>
    </row>
    <row r="496" spans="1:10" ht="15" customHeight="1" x14ac:dyDescent="0.2">
      <c r="A496" s="4">
        <v>495</v>
      </c>
      <c r="B496" s="4">
        <v>124</v>
      </c>
      <c r="C496" s="4" t="s">
        <v>211</v>
      </c>
      <c r="D496" s="4" t="s">
        <v>919</v>
      </c>
      <c r="E496" s="4">
        <v>150</v>
      </c>
      <c r="F496" s="4" t="s">
        <v>917</v>
      </c>
      <c r="G496" s="4">
        <f>E496*VLOOKUP(B496,alimentos_master!$A:$M,13,FALSE())/100</f>
        <v>127.05</v>
      </c>
      <c r="H496" s="4">
        <f>E496*VLOOKUP(B496,alimentos_master!$A:$N,14,FALSE())/100</f>
        <v>3.06</v>
      </c>
      <c r="I496" s="4">
        <f>E496*VLOOKUP(B496,alimentos_master!$A:$O,15,FALSE())/100</f>
        <v>26.774999999999999</v>
      </c>
      <c r="J496" s="4">
        <f>E496*VLOOKUP(B496,alimentos_master!$A:$R,18,FALSE())/100</f>
        <v>0.15</v>
      </c>
    </row>
    <row r="497" spans="1:10" ht="15" customHeight="1" x14ac:dyDescent="0.2">
      <c r="A497" s="4">
        <v>496</v>
      </c>
      <c r="B497" s="4">
        <v>124</v>
      </c>
      <c r="C497" s="4" t="s">
        <v>211</v>
      </c>
      <c r="D497" s="4" t="s">
        <v>920</v>
      </c>
      <c r="E497" s="4">
        <v>200</v>
      </c>
      <c r="F497" s="4" t="s">
        <v>917</v>
      </c>
      <c r="G497" s="4">
        <f>E497*VLOOKUP(B497,alimentos_master!$A:$M,13,FALSE())/100</f>
        <v>169.4</v>
      </c>
      <c r="H497" s="4">
        <f>E497*VLOOKUP(B497,alimentos_master!$A:$N,14,FALSE())/100</f>
        <v>4.08</v>
      </c>
      <c r="I497" s="4">
        <f>E497*VLOOKUP(B497,alimentos_master!$A:$O,15,FALSE())/100</f>
        <v>35.700000000000003</v>
      </c>
      <c r="J497" s="4">
        <f>E497*VLOOKUP(B497,alimentos_master!$A:$R,18,FALSE())/100</f>
        <v>0.2</v>
      </c>
    </row>
    <row r="498" spans="1:10" ht="15" customHeight="1" x14ac:dyDescent="0.2">
      <c r="A498" s="4">
        <v>497</v>
      </c>
      <c r="B498" s="4">
        <v>125</v>
      </c>
      <c r="C498" s="4" t="s">
        <v>213</v>
      </c>
      <c r="D498" s="4" t="s">
        <v>916</v>
      </c>
      <c r="E498" s="4">
        <v>75</v>
      </c>
      <c r="F498" s="4" t="s">
        <v>917</v>
      </c>
      <c r="G498" s="4" t="e">
        <f>E498*VLOOKUP(B498,alimentos_master!$A:$M,13,FALSE())/100</f>
        <v>#N/A</v>
      </c>
      <c r="H498" s="4" t="e">
        <f>E498*VLOOKUP(B498,alimentos_master!$A:$N,14,FALSE())/100</f>
        <v>#N/A</v>
      </c>
      <c r="I498" s="4" t="e">
        <f>E498*VLOOKUP(B498,alimentos_master!$A:$O,15,FALSE())/100</f>
        <v>#N/A</v>
      </c>
      <c r="J498" s="4" t="e">
        <f>E498*VLOOKUP(B498,alimentos_master!$A:$R,18,FALSE())/100</f>
        <v>#N/A</v>
      </c>
    </row>
    <row r="499" spans="1:10" ht="15" customHeight="1" x14ac:dyDescent="0.2">
      <c r="A499" s="4">
        <v>498</v>
      </c>
      <c r="B499" s="4">
        <v>125</v>
      </c>
      <c r="C499" s="4" t="s">
        <v>213</v>
      </c>
      <c r="D499" s="4" t="s">
        <v>918</v>
      </c>
      <c r="E499" s="4">
        <v>100</v>
      </c>
      <c r="F499" s="4" t="s">
        <v>917</v>
      </c>
      <c r="G499" s="4" t="e">
        <f>E499*VLOOKUP(B499,alimentos_master!$A:$M,13,FALSE())/100</f>
        <v>#N/A</v>
      </c>
      <c r="H499" s="4" t="e">
        <f>E499*VLOOKUP(B499,alimentos_master!$A:$N,14,FALSE())/100</f>
        <v>#N/A</v>
      </c>
      <c r="I499" s="4" t="e">
        <f>E499*VLOOKUP(B499,alimentos_master!$A:$O,15,FALSE())/100</f>
        <v>#N/A</v>
      </c>
      <c r="J499" s="4" t="e">
        <f>E499*VLOOKUP(B499,alimentos_master!$A:$R,18,FALSE())/100</f>
        <v>#N/A</v>
      </c>
    </row>
    <row r="500" spans="1:10" ht="15" customHeight="1" x14ac:dyDescent="0.2">
      <c r="A500" s="4">
        <v>499</v>
      </c>
      <c r="B500" s="4">
        <v>125</v>
      </c>
      <c r="C500" s="4" t="s">
        <v>213</v>
      </c>
      <c r="D500" s="4" t="s">
        <v>919</v>
      </c>
      <c r="E500" s="4">
        <v>150</v>
      </c>
      <c r="F500" s="4" t="s">
        <v>917</v>
      </c>
      <c r="G500" s="4" t="e">
        <f>E500*VLOOKUP(B500,alimentos_master!$A:$M,13,FALSE())/100</f>
        <v>#N/A</v>
      </c>
      <c r="H500" s="4" t="e">
        <f>E500*VLOOKUP(B500,alimentos_master!$A:$N,14,FALSE())/100</f>
        <v>#N/A</v>
      </c>
      <c r="I500" s="4" t="e">
        <f>E500*VLOOKUP(B500,alimentos_master!$A:$O,15,FALSE())/100</f>
        <v>#N/A</v>
      </c>
      <c r="J500" s="4" t="e">
        <f>E500*VLOOKUP(B500,alimentos_master!$A:$R,18,FALSE())/100</f>
        <v>#N/A</v>
      </c>
    </row>
    <row r="501" spans="1:10" ht="15" customHeight="1" x14ac:dyDescent="0.2">
      <c r="A501" s="4">
        <v>500</v>
      </c>
      <c r="B501" s="4">
        <v>125</v>
      </c>
      <c r="C501" s="4" t="s">
        <v>213</v>
      </c>
      <c r="D501" s="4" t="s">
        <v>920</v>
      </c>
      <c r="E501" s="4">
        <v>200</v>
      </c>
      <c r="F501" s="4" t="s">
        <v>917</v>
      </c>
      <c r="G501" s="4" t="e">
        <f>E501*VLOOKUP(B501,alimentos_master!$A:$M,13,FALSE())/100</f>
        <v>#N/A</v>
      </c>
      <c r="H501" s="4" t="e">
        <f>E501*VLOOKUP(B501,alimentos_master!$A:$N,14,FALSE())/100</f>
        <v>#N/A</v>
      </c>
      <c r="I501" s="4" t="e">
        <f>E501*VLOOKUP(B501,alimentos_master!$A:$O,15,FALSE())/100</f>
        <v>#N/A</v>
      </c>
      <c r="J501" s="4" t="e">
        <f>E501*VLOOKUP(B501,alimentos_master!$A:$R,18,FALSE())/100</f>
        <v>#N/A</v>
      </c>
    </row>
    <row r="502" spans="1:10" ht="15" customHeight="1" x14ac:dyDescent="0.2">
      <c r="A502" s="4">
        <v>501</v>
      </c>
      <c r="B502" s="4">
        <v>126</v>
      </c>
      <c r="C502" s="4" t="s">
        <v>214</v>
      </c>
      <c r="D502" s="4" t="s">
        <v>916</v>
      </c>
      <c r="E502" s="4">
        <v>75</v>
      </c>
      <c r="F502" s="4" t="s">
        <v>917</v>
      </c>
      <c r="G502" s="4" t="e">
        <f>E502*VLOOKUP(B502,alimentos_master!$A:$M,13,FALSE())/100</f>
        <v>#N/A</v>
      </c>
      <c r="H502" s="4" t="e">
        <f>E502*VLOOKUP(B502,alimentos_master!$A:$N,14,FALSE())/100</f>
        <v>#N/A</v>
      </c>
      <c r="I502" s="4" t="e">
        <f>E502*VLOOKUP(B502,alimentos_master!$A:$O,15,FALSE())/100</f>
        <v>#N/A</v>
      </c>
      <c r="J502" s="4" t="e">
        <f>E502*VLOOKUP(B502,alimentos_master!$A:$R,18,FALSE())/100</f>
        <v>#N/A</v>
      </c>
    </row>
    <row r="503" spans="1:10" ht="15" customHeight="1" x14ac:dyDescent="0.2">
      <c r="A503" s="4">
        <v>502</v>
      </c>
      <c r="B503" s="4">
        <v>126</v>
      </c>
      <c r="C503" s="4" t="s">
        <v>214</v>
      </c>
      <c r="D503" s="4" t="s">
        <v>918</v>
      </c>
      <c r="E503" s="4">
        <v>100</v>
      </c>
      <c r="F503" s="4" t="s">
        <v>917</v>
      </c>
      <c r="G503" s="4" t="e">
        <f>E503*VLOOKUP(B503,alimentos_master!$A:$M,13,FALSE())/100</f>
        <v>#N/A</v>
      </c>
      <c r="H503" s="4" t="e">
        <f>E503*VLOOKUP(B503,alimentos_master!$A:$N,14,FALSE())/100</f>
        <v>#N/A</v>
      </c>
      <c r="I503" s="4" t="e">
        <f>E503*VLOOKUP(B503,alimentos_master!$A:$O,15,FALSE())/100</f>
        <v>#N/A</v>
      </c>
      <c r="J503" s="4" t="e">
        <f>E503*VLOOKUP(B503,alimentos_master!$A:$R,18,FALSE())/100</f>
        <v>#N/A</v>
      </c>
    </row>
    <row r="504" spans="1:10" ht="15" customHeight="1" x14ac:dyDescent="0.2">
      <c r="A504" s="4">
        <v>503</v>
      </c>
      <c r="B504" s="4">
        <v>126</v>
      </c>
      <c r="C504" s="4" t="s">
        <v>214</v>
      </c>
      <c r="D504" s="4" t="s">
        <v>919</v>
      </c>
      <c r="E504" s="4">
        <v>150</v>
      </c>
      <c r="F504" s="4" t="s">
        <v>917</v>
      </c>
      <c r="G504" s="4" t="e">
        <f>E504*VLOOKUP(B504,alimentos_master!$A:$M,13,FALSE())/100</f>
        <v>#N/A</v>
      </c>
      <c r="H504" s="4" t="e">
        <f>E504*VLOOKUP(B504,alimentos_master!$A:$N,14,FALSE())/100</f>
        <v>#N/A</v>
      </c>
      <c r="I504" s="4" t="e">
        <f>E504*VLOOKUP(B504,alimentos_master!$A:$O,15,FALSE())/100</f>
        <v>#N/A</v>
      </c>
      <c r="J504" s="4" t="e">
        <f>E504*VLOOKUP(B504,alimentos_master!$A:$R,18,FALSE())/100</f>
        <v>#N/A</v>
      </c>
    </row>
    <row r="505" spans="1:10" ht="15" customHeight="1" x14ac:dyDescent="0.2">
      <c r="A505" s="4">
        <v>504</v>
      </c>
      <c r="B505" s="4">
        <v>126</v>
      </c>
      <c r="C505" s="4" t="s">
        <v>214</v>
      </c>
      <c r="D505" s="4" t="s">
        <v>920</v>
      </c>
      <c r="E505" s="4">
        <v>200</v>
      </c>
      <c r="F505" s="4" t="s">
        <v>917</v>
      </c>
      <c r="G505" s="4" t="e">
        <f>E505*VLOOKUP(B505,alimentos_master!$A:$M,13,FALSE())/100</f>
        <v>#N/A</v>
      </c>
      <c r="H505" s="4" t="e">
        <f>E505*VLOOKUP(B505,alimentos_master!$A:$N,14,FALSE())/100</f>
        <v>#N/A</v>
      </c>
      <c r="I505" s="4" t="e">
        <f>E505*VLOOKUP(B505,alimentos_master!$A:$O,15,FALSE())/100</f>
        <v>#N/A</v>
      </c>
      <c r="J505" s="4" t="e">
        <f>E505*VLOOKUP(B505,alimentos_master!$A:$R,18,FALSE())/100</f>
        <v>#N/A</v>
      </c>
    </row>
    <row r="506" spans="1:10" ht="15" customHeight="1" x14ac:dyDescent="0.2">
      <c r="A506" s="4">
        <v>505</v>
      </c>
      <c r="B506" s="4">
        <v>127</v>
      </c>
      <c r="C506" s="4" t="s">
        <v>215</v>
      </c>
      <c r="D506" s="4" t="s">
        <v>916</v>
      </c>
      <c r="E506" s="4">
        <v>75</v>
      </c>
      <c r="F506" s="4" t="s">
        <v>917</v>
      </c>
      <c r="G506" s="4">
        <f>E506*VLOOKUP(B506,alimentos_master!$A:$M,13,FALSE())/100</f>
        <v>167.47499999999999</v>
      </c>
      <c r="H506" s="4">
        <f>E506*VLOOKUP(B506,alimentos_master!$A:$N,14,FALSE())/100</f>
        <v>1.65</v>
      </c>
      <c r="I506" s="4">
        <f>E506*VLOOKUP(B506,alimentos_master!$A:$O,15,FALSE())/100</f>
        <v>14.4375</v>
      </c>
      <c r="J506" s="4">
        <f>E506*VLOOKUP(B506,alimentos_master!$A:$R,18,FALSE())/100</f>
        <v>8.2500000000000004E-2</v>
      </c>
    </row>
    <row r="507" spans="1:10" ht="15" customHeight="1" x14ac:dyDescent="0.2">
      <c r="A507" s="4">
        <v>506</v>
      </c>
      <c r="B507" s="4">
        <v>127</v>
      </c>
      <c r="C507" s="4" t="s">
        <v>215</v>
      </c>
      <c r="D507" s="4" t="s">
        <v>918</v>
      </c>
      <c r="E507" s="4">
        <v>100</v>
      </c>
      <c r="F507" s="4" t="s">
        <v>917</v>
      </c>
      <c r="G507" s="4">
        <f>E507*VLOOKUP(B507,alimentos_master!$A:$M,13,FALSE())/100</f>
        <v>223.3</v>
      </c>
      <c r="H507" s="4">
        <f>E507*VLOOKUP(B507,alimentos_master!$A:$N,14,FALSE())/100</f>
        <v>2.2000000000000002</v>
      </c>
      <c r="I507" s="4">
        <f>E507*VLOOKUP(B507,alimentos_master!$A:$O,15,FALSE())/100</f>
        <v>19.25</v>
      </c>
      <c r="J507" s="4">
        <f>E507*VLOOKUP(B507,alimentos_master!$A:$R,18,FALSE())/100</f>
        <v>0.11</v>
      </c>
    </row>
    <row r="508" spans="1:10" ht="15" customHeight="1" x14ac:dyDescent="0.2">
      <c r="A508" s="4">
        <v>507</v>
      </c>
      <c r="B508" s="4">
        <v>127</v>
      </c>
      <c r="C508" s="4" t="s">
        <v>215</v>
      </c>
      <c r="D508" s="4" t="s">
        <v>919</v>
      </c>
      <c r="E508" s="4">
        <v>150</v>
      </c>
      <c r="F508" s="4" t="s">
        <v>917</v>
      </c>
      <c r="G508" s="4">
        <f>E508*VLOOKUP(B508,alimentos_master!$A:$M,13,FALSE())/100</f>
        <v>334.95</v>
      </c>
      <c r="H508" s="4">
        <f>E508*VLOOKUP(B508,alimentos_master!$A:$N,14,FALSE())/100</f>
        <v>3.3</v>
      </c>
      <c r="I508" s="4">
        <f>E508*VLOOKUP(B508,alimentos_master!$A:$O,15,FALSE())/100</f>
        <v>28.875</v>
      </c>
      <c r="J508" s="4">
        <f>E508*VLOOKUP(B508,alimentos_master!$A:$R,18,FALSE())/100</f>
        <v>0.16500000000000001</v>
      </c>
    </row>
    <row r="509" spans="1:10" ht="15" customHeight="1" x14ac:dyDescent="0.2">
      <c r="A509" s="4">
        <v>508</v>
      </c>
      <c r="B509" s="4">
        <v>127</v>
      </c>
      <c r="C509" s="4" t="s">
        <v>215</v>
      </c>
      <c r="D509" s="4" t="s">
        <v>920</v>
      </c>
      <c r="E509" s="4">
        <v>200</v>
      </c>
      <c r="F509" s="4" t="s">
        <v>917</v>
      </c>
      <c r="G509" s="4">
        <f>E509*VLOOKUP(B509,alimentos_master!$A:$M,13,FALSE())/100</f>
        <v>446.6</v>
      </c>
      <c r="H509" s="4">
        <f>E509*VLOOKUP(B509,alimentos_master!$A:$N,14,FALSE())/100</f>
        <v>4.4000000000000004</v>
      </c>
      <c r="I509" s="4">
        <f>E509*VLOOKUP(B509,alimentos_master!$A:$O,15,FALSE())/100</f>
        <v>38.5</v>
      </c>
      <c r="J509" s="4">
        <f>E509*VLOOKUP(B509,alimentos_master!$A:$R,18,FALSE())/100</f>
        <v>0.22</v>
      </c>
    </row>
    <row r="510" spans="1:10" ht="15" customHeight="1" x14ac:dyDescent="0.2">
      <c r="A510" s="4">
        <v>509</v>
      </c>
      <c r="B510" s="4">
        <v>128</v>
      </c>
      <c r="C510" s="4" t="s">
        <v>217</v>
      </c>
      <c r="D510" s="4" t="s">
        <v>916</v>
      </c>
      <c r="E510" s="4">
        <v>75</v>
      </c>
      <c r="F510" s="4" t="s">
        <v>917</v>
      </c>
      <c r="G510" s="4" t="e">
        <f>E510*VLOOKUP(B510,alimentos_master!$A:$M,13,FALSE())/100</f>
        <v>#N/A</v>
      </c>
      <c r="H510" s="4" t="e">
        <f>E510*VLOOKUP(B510,alimentos_master!$A:$N,14,FALSE())/100</f>
        <v>#N/A</v>
      </c>
      <c r="I510" s="4" t="e">
        <f>E510*VLOOKUP(B510,alimentos_master!$A:$O,15,FALSE())/100</f>
        <v>#N/A</v>
      </c>
      <c r="J510" s="4" t="e">
        <f>E510*VLOOKUP(B510,alimentos_master!$A:$R,18,FALSE())/100</f>
        <v>#N/A</v>
      </c>
    </row>
    <row r="511" spans="1:10" ht="15" customHeight="1" x14ac:dyDescent="0.2">
      <c r="A511" s="4">
        <v>510</v>
      </c>
      <c r="B511" s="4">
        <v>128</v>
      </c>
      <c r="C511" s="4" t="s">
        <v>217</v>
      </c>
      <c r="D511" s="4" t="s">
        <v>918</v>
      </c>
      <c r="E511" s="4">
        <v>100</v>
      </c>
      <c r="F511" s="4" t="s">
        <v>917</v>
      </c>
      <c r="G511" s="4" t="e">
        <f>E511*VLOOKUP(B511,alimentos_master!$A:$M,13,FALSE())/100</f>
        <v>#N/A</v>
      </c>
      <c r="H511" s="4" t="e">
        <f>E511*VLOOKUP(B511,alimentos_master!$A:$N,14,FALSE())/100</f>
        <v>#N/A</v>
      </c>
      <c r="I511" s="4" t="e">
        <f>E511*VLOOKUP(B511,alimentos_master!$A:$O,15,FALSE())/100</f>
        <v>#N/A</v>
      </c>
      <c r="J511" s="4" t="e">
        <f>E511*VLOOKUP(B511,alimentos_master!$A:$R,18,FALSE())/100</f>
        <v>#N/A</v>
      </c>
    </row>
    <row r="512" spans="1:10" ht="15" customHeight="1" x14ac:dyDescent="0.2">
      <c r="A512" s="4">
        <v>511</v>
      </c>
      <c r="B512" s="4">
        <v>128</v>
      </c>
      <c r="C512" s="4" t="s">
        <v>217</v>
      </c>
      <c r="D512" s="4" t="s">
        <v>919</v>
      </c>
      <c r="E512" s="4">
        <v>150</v>
      </c>
      <c r="F512" s="4" t="s">
        <v>917</v>
      </c>
      <c r="G512" s="4" t="e">
        <f>E512*VLOOKUP(B512,alimentos_master!$A:$M,13,FALSE())/100</f>
        <v>#N/A</v>
      </c>
      <c r="H512" s="4" t="e">
        <f>E512*VLOOKUP(B512,alimentos_master!$A:$N,14,FALSE())/100</f>
        <v>#N/A</v>
      </c>
      <c r="I512" s="4" t="e">
        <f>E512*VLOOKUP(B512,alimentos_master!$A:$O,15,FALSE())/100</f>
        <v>#N/A</v>
      </c>
      <c r="J512" s="4" t="e">
        <f>E512*VLOOKUP(B512,alimentos_master!$A:$R,18,FALSE())/100</f>
        <v>#N/A</v>
      </c>
    </row>
    <row r="513" spans="1:10" ht="15" customHeight="1" x14ac:dyDescent="0.2">
      <c r="A513" s="4">
        <v>512</v>
      </c>
      <c r="B513" s="4">
        <v>128</v>
      </c>
      <c r="C513" s="4" t="s">
        <v>217</v>
      </c>
      <c r="D513" s="4" t="s">
        <v>920</v>
      </c>
      <c r="E513" s="4">
        <v>200</v>
      </c>
      <c r="F513" s="4" t="s">
        <v>917</v>
      </c>
      <c r="G513" s="4" t="e">
        <f>E513*VLOOKUP(B513,alimentos_master!$A:$M,13,FALSE())/100</f>
        <v>#N/A</v>
      </c>
      <c r="H513" s="4" t="e">
        <f>E513*VLOOKUP(B513,alimentos_master!$A:$N,14,FALSE())/100</f>
        <v>#N/A</v>
      </c>
      <c r="I513" s="4" t="e">
        <f>E513*VLOOKUP(B513,alimentos_master!$A:$O,15,FALSE())/100</f>
        <v>#N/A</v>
      </c>
      <c r="J513" s="4" t="e">
        <f>E513*VLOOKUP(B513,alimentos_master!$A:$R,18,FALSE())/100</f>
        <v>#N/A</v>
      </c>
    </row>
    <row r="514" spans="1:10" ht="15" customHeight="1" x14ac:dyDescent="0.2">
      <c r="A514" s="4">
        <v>513</v>
      </c>
      <c r="B514" s="4">
        <v>129</v>
      </c>
      <c r="C514" s="4" t="s">
        <v>218</v>
      </c>
      <c r="D514" s="4" t="s">
        <v>916</v>
      </c>
      <c r="E514" s="4">
        <v>75</v>
      </c>
      <c r="F514" s="4" t="s">
        <v>917</v>
      </c>
      <c r="G514" s="4" t="e">
        <f>E514*VLOOKUP(B514,alimentos_master!$A:$M,13,FALSE())/100</f>
        <v>#N/A</v>
      </c>
      <c r="H514" s="4" t="e">
        <f>E514*VLOOKUP(B514,alimentos_master!$A:$N,14,FALSE())/100</f>
        <v>#N/A</v>
      </c>
      <c r="I514" s="4" t="e">
        <f>E514*VLOOKUP(B514,alimentos_master!$A:$O,15,FALSE())/100</f>
        <v>#N/A</v>
      </c>
      <c r="J514" s="4" t="e">
        <f>E514*VLOOKUP(B514,alimentos_master!$A:$R,18,FALSE())/100</f>
        <v>#N/A</v>
      </c>
    </row>
    <row r="515" spans="1:10" ht="15" customHeight="1" x14ac:dyDescent="0.2">
      <c r="A515" s="4">
        <v>514</v>
      </c>
      <c r="B515" s="4">
        <v>129</v>
      </c>
      <c r="C515" s="4" t="s">
        <v>218</v>
      </c>
      <c r="D515" s="4" t="s">
        <v>918</v>
      </c>
      <c r="E515" s="4">
        <v>100</v>
      </c>
      <c r="F515" s="4" t="s">
        <v>917</v>
      </c>
      <c r="G515" s="4" t="e">
        <f>E515*VLOOKUP(B515,alimentos_master!$A:$M,13,FALSE())/100</f>
        <v>#N/A</v>
      </c>
      <c r="H515" s="4" t="e">
        <f>E515*VLOOKUP(B515,alimentos_master!$A:$N,14,FALSE())/100</f>
        <v>#N/A</v>
      </c>
      <c r="I515" s="4" t="e">
        <f>E515*VLOOKUP(B515,alimentos_master!$A:$O,15,FALSE())/100</f>
        <v>#N/A</v>
      </c>
      <c r="J515" s="4" t="e">
        <f>E515*VLOOKUP(B515,alimentos_master!$A:$R,18,FALSE())/100</f>
        <v>#N/A</v>
      </c>
    </row>
    <row r="516" spans="1:10" ht="15" customHeight="1" x14ac:dyDescent="0.2">
      <c r="A516" s="4">
        <v>515</v>
      </c>
      <c r="B516" s="4">
        <v>129</v>
      </c>
      <c r="C516" s="4" t="s">
        <v>218</v>
      </c>
      <c r="D516" s="4" t="s">
        <v>919</v>
      </c>
      <c r="E516" s="4">
        <v>150</v>
      </c>
      <c r="F516" s="4" t="s">
        <v>917</v>
      </c>
      <c r="G516" s="4" t="e">
        <f>E516*VLOOKUP(B516,alimentos_master!$A:$M,13,FALSE())/100</f>
        <v>#N/A</v>
      </c>
      <c r="H516" s="4" t="e">
        <f>E516*VLOOKUP(B516,alimentos_master!$A:$N,14,FALSE())/100</f>
        <v>#N/A</v>
      </c>
      <c r="I516" s="4" t="e">
        <f>E516*VLOOKUP(B516,alimentos_master!$A:$O,15,FALSE())/100</f>
        <v>#N/A</v>
      </c>
      <c r="J516" s="4" t="e">
        <f>E516*VLOOKUP(B516,alimentos_master!$A:$R,18,FALSE())/100</f>
        <v>#N/A</v>
      </c>
    </row>
    <row r="517" spans="1:10" ht="15" customHeight="1" x14ac:dyDescent="0.2">
      <c r="A517" s="4">
        <v>516</v>
      </c>
      <c r="B517" s="4">
        <v>129</v>
      </c>
      <c r="C517" s="4" t="s">
        <v>218</v>
      </c>
      <c r="D517" s="4" t="s">
        <v>920</v>
      </c>
      <c r="E517" s="4">
        <v>200</v>
      </c>
      <c r="F517" s="4" t="s">
        <v>917</v>
      </c>
      <c r="G517" s="4" t="e">
        <f>E517*VLOOKUP(B517,alimentos_master!$A:$M,13,FALSE())/100</f>
        <v>#N/A</v>
      </c>
      <c r="H517" s="4" t="e">
        <f>E517*VLOOKUP(B517,alimentos_master!$A:$N,14,FALSE())/100</f>
        <v>#N/A</v>
      </c>
      <c r="I517" s="4" t="e">
        <f>E517*VLOOKUP(B517,alimentos_master!$A:$O,15,FALSE())/100</f>
        <v>#N/A</v>
      </c>
      <c r="J517" s="4" t="e">
        <f>E517*VLOOKUP(B517,alimentos_master!$A:$R,18,FALSE())/100</f>
        <v>#N/A</v>
      </c>
    </row>
    <row r="518" spans="1:10" ht="15" customHeight="1" x14ac:dyDescent="0.2">
      <c r="A518" s="4">
        <v>517</v>
      </c>
      <c r="B518" s="4">
        <v>130</v>
      </c>
      <c r="C518" s="4" t="s">
        <v>219</v>
      </c>
      <c r="D518" s="4" t="s">
        <v>916</v>
      </c>
      <c r="E518" s="4">
        <v>75</v>
      </c>
      <c r="F518" s="4" t="s">
        <v>917</v>
      </c>
      <c r="G518" s="4">
        <f>E518*VLOOKUP(B518,alimentos_master!$A:$M,13,FALSE())/100</f>
        <v>64.5</v>
      </c>
      <c r="H518" s="4">
        <f>E518*VLOOKUP(B518,alimentos_master!$A:$N,14,FALSE())/100</f>
        <v>1.2</v>
      </c>
      <c r="I518" s="4">
        <f>E518*VLOOKUP(B518,alimentos_master!$A:$O,15,FALSE())/100</f>
        <v>15.074999999999999</v>
      </c>
      <c r="J518" s="4">
        <f>E518*VLOOKUP(B518,alimentos_master!$A:$R,18,FALSE())/100</f>
        <v>7.4999999999999997E-2</v>
      </c>
    </row>
    <row r="519" spans="1:10" ht="15" customHeight="1" x14ac:dyDescent="0.2">
      <c r="A519" s="4">
        <v>518</v>
      </c>
      <c r="B519" s="4">
        <v>130</v>
      </c>
      <c r="C519" s="4" t="s">
        <v>219</v>
      </c>
      <c r="D519" s="4" t="s">
        <v>918</v>
      </c>
      <c r="E519" s="4">
        <v>100</v>
      </c>
      <c r="F519" s="4" t="s">
        <v>917</v>
      </c>
      <c r="G519" s="4">
        <f>E519*VLOOKUP(B519,alimentos_master!$A:$M,13,FALSE())/100</f>
        <v>86</v>
      </c>
      <c r="H519" s="4">
        <f>E519*VLOOKUP(B519,alimentos_master!$A:$N,14,FALSE())/100</f>
        <v>1.6</v>
      </c>
      <c r="I519" s="4">
        <f>E519*VLOOKUP(B519,alimentos_master!$A:$O,15,FALSE())/100</f>
        <v>20.100000000000001</v>
      </c>
      <c r="J519" s="4">
        <f>E519*VLOOKUP(B519,alimentos_master!$A:$R,18,FALSE())/100</f>
        <v>0.1</v>
      </c>
    </row>
    <row r="520" spans="1:10" ht="15" customHeight="1" x14ac:dyDescent="0.2">
      <c r="A520" s="4">
        <v>519</v>
      </c>
      <c r="B520" s="4">
        <v>130</v>
      </c>
      <c r="C520" s="4" t="s">
        <v>219</v>
      </c>
      <c r="D520" s="4" t="s">
        <v>919</v>
      </c>
      <c r="E520" s="4">
        <v>150</v>
      </c>
      <c r="F520" s="4" t="s">
        <v>917</v>
      </c>
      <c r="G520" s="4">
        <f>E520*VLOOKUP(B520,alimentos_master!$A:$M,13,FALSE())/100</f>
        <v>129</v>
      </c>
      <c r="H520" s="4">
        <f>E520*VLOOKUP(B520,alimentos_master!$A:$N,14,FALSE())/100</f>
        <v>2.4</v>
      </c>
      <c r="I520" s="4">
        <f>E520*VLOOKUP(B520,alimentos_master!$A:$O,15,FALSE())/100</f>
        <v>30.15</v>
      </c>
      <c r="J520" s="4">
        <f>E520*VLOOKUP(B520,alimentos_master!$A:$R,18,FALSE())/100</f>
        <v>0.15</v>
      </c>
    </row>
    <row r="521" spans="1:10" ht="15" customHeight="1" x14ac:dyDescent="0.2">
      <c r="A521" s="4">
        <v>520</v>
      </c>
      <c r="B521" s="4">
        <v>130</v>
      </c>
      <c r="C521" s="4" t="s">
        <v>219</v>
      </c>
      <c r="D521" s="4" t="s">
        <v>920</v>
      </c>
      <c r="E521" s="4">
        <v>200</v>
      </c>
      <c r="F521" s="4" t="s">
        <v>917</v>
      </c>
      <c r="G521" s="4">
        <f>E521*VLOOKUP(B521,alimentos_master!$A:$M,13,FALSE())/100</f>
        <v>172</v>
      </c>
      <c r="H521" s="4">
        <f>E521*VLOOKUP(B521,alimentos_master!$A:$N,14,FALSE())/100</f>
        <v>3.2</v>
      </c>
      <c r="I521" s="4">
        <f>E521*VLOOKUP(B521,alimentos_master!$A:$O,15,FALSE())/100</f>
        <v>40.200000000000003</v>
      </c>
      <c r="J521" s="4">
        <f>E521*VLOOKUP(B521,alimentos_master!$A:$R,18,FALSE())/100</f>
        <v>0.2</v>
      </c>
    </row>
    <row r="522" spans="1:10" ht="15" customHeight="1" x14ac:dyDescent="0.2">
      <c r="A522" s="4">
        <v>521</v>
      </c>
      <c r="B522" s="4">
        <v>131</v>
      </c>
      <c r="C522" s="4" t="s">
        <v>221</v>
      </c>
      <c r="D522" s="4" t="s">
        <v>916</v>
      </c>
      <c r="E522" s="4">
        <v>75</v>
      </c>
      <c r="F522" s="4" t="s">
        <v>917</v>
      </c>
      <c r="G522" s="4" t="e">
        <f>E522*VLOOKUP(B522,alimentos_master!$A:$M,13,FALSE())/100</f>
        <v>#N/A</v>
      </c>
      <c r="H522" s="4" t="e">
        <f>E522*VLOOKUP(B522,alimentos_master!$A:$N,14,FALSE())/100</f>
        <v>#N/A</v>
      </c>
      <c r="I522" s="4" t="e">
        <f>E522*VLOOKUP(B522,alimentos_master!$A:$O,15,FALSE())/100</f>
        <v>#N/A</v>
      </c>
      <c r="J522" s="4" t="e">
        <f>E522*VLOOKUP(B522,alimentos_master!$A:$R,18,FALSE())/100</f>
        <v>#N/A</v>
      </c>
    </row>
    <row r="523" spans="1:10" ht="15" customHeight="1" x14ac:dyDescent="0.2">
      <c r="A523" s="4">
        <v>522</v>
      </c>
      <c r="B523" s="4">
        <v>131</v>
      </c>
      <c r="C523" s="4" t="s">
        <v>221</v>
      </c>
      <c r="D523" s="4" t="s">
        <v>918</v>
      </c>
      <c r="E523" s="4">
        <v>100</v>
      </c>
      <c r="F523" s="4" t="s">
        <v>917</v>
      </c>
      <c r="G523" s="4" t="e">
        <f>E523*VLOOKUP(B523,alimentos_master!$A:$M,13,FALSE())/100</f>
        <v>#N/A</v>
      </c>
      <c r="H523" s="4" t="e">
        <f>E523*VLOOKUP(B523,alimentos_master!$A:$N,14,FALSE())/100</f>
        <v>#N/A</v>
      </c>
      <c r="I523" s="4" t="e">
        <f>E523*VLOOKUP(B523,alimentos_master!$A:$O,15,FALSE())/100</f>
        <v>#N/A</v>
      </c>
      <c r="J523" s="4" t="e">
        <f>E523*VLOOKUP(B523,alimentos_master!$A:$R,18,FALSE())/100</f>
        <v>#N/A</v>
      </c>
    </row>
    <row r="524" spans="1:10" ht="15" customHeight="1" x14ac:dyDescent="0.2">
      <c r="A524" s="4">
        <v>523</v>
      </c>
      <c r="B524" s="4">
        <v>131</v>
      </c>
      <c r="C524" s="4" t="s">
        <v>221</v>
      </c>
      <c r="D524" s="4" t="s">
        <v>919</v>
      </c>
      <c r="E524" s="4">
        <v>150</v>
      </c>
      <c r="F524" s="4" t="s">
        <v>917</v>
      </c>
      <c r="G524" s="4" t="e">
        <f>E524*VLOOKUP(B524,alimentos_master!$A:$M,13,FALSE())/100</f>
        <v>#N/A</v>
      </c>
      <c r="H524" s="4" t="e">
        <f>E524*VLOOKUP(B524,alimentos_master!$A:$N,14,FALSE())/100</f>
        <v>#N/A</v>
      </c>
      <c r="I524" s="4" t="e">
        <f>E524*VLOOKUP(B524,alimentos_master!$A:$O,15,FALSE())/100</f>
        <v>#N/A</v>
      </c>
      <c r="J524" s="4" t="e">
        <f>E524*VLOOKUP(B524,alimentos_master!$A:$R,18,FALSE())/100</f>
        <v>#N/A</v>
      </c>
    </row>
    <row r="525" spans="1:10" ht="15" customHeight="1" x14ac:dyDescent="0.2">
      <c r="A525" s="4">
        <v>524</v>
      </c>
      <c r="B525" s="4">
        <v>131</v>
      </c>
      <c r="C525" s="4" t="s">
        <v>221</v>
      </c>
      <c r="D525" s="4" t="s">
        <v>920</v>
      </c>
      <c r="E525" s="4">
        <v>200</v>
      </c>
      <c r="F525" s="4" t="s">
        <v>917</v>
      </c>
      <c r="G525" s="4" t="e">
        <f>E525*VLOOKUP(B525,alimentos_master!$A:$M,13,FALSE())/100</f>
        <v>#N/A</v>
      </c>
      <c r="H525" s="4" t="e">
        <f>E525*VLOOKUP(B525,alimentos_master!$A:$N,14,FALSE())/100</f>
        <v>#N/A</v>
      </c>
      <c r="I525" s="4" t="e">
        <f>E525*VLOOKUP(B525,alimentos_master!$A:$O,15,FALSE())/100</f>
        <v>#N/A</v>
      </c>
      <c r="J525" s="4" t="e">
        <f>E525*VLOOKUP(B525,alimentos_master!$A:$R,18,FALSE())/100</f>
        <v>#N/A</v>
      </c>
    </row>
    <row r="526" spans="1:10" ht="15" customHeight="1" x14ac:dyDescent="0.2">
      <c r="A526" s="4">
        <v>525</v>
      </c>
      <c r="B526" s="4">
        <v>132</v>
      </c>
      <c r="C526" s="4" t="s">
        <v>222</v>
      </c>
      <c r="D526" s="4" t="s">
        <v>916</v>
      </c>
      <c r="E526" s="4">
        <v>75</v>
      </c>
      <c r="F526" s="4" t="s">
        <v>917</v>
      </c>
      <c r="G526" s="4" t="e">
        <f>E526*VLOOKUP(B526,alimentos_master!$A:$M,13,FALSE())/100</f>
        <v>#N/A</v>
      </c>
      <c r="H526" s="4" t="e">
        <f>E526*VLOOKUP(B526,alimentos_master!$A:$N,14,FALSE())/100</f>
        <v>#N/A</v>
      </c>
      <c r="I526" s="4" t="e">
        <f>E526*VLOOKUP(B526,alimentos_master!$A:$O,15,FALSE())/100</f>
        <v>#N/A</v>
      </c>
      <c r="J526" s="4" t="e">
        <f>E526*VLOOKUP(B526,alimentos_master!$A:$R,18,FALSE())/100</f>
        <v>#N/A</v>
      </c>
    </row>
    <row r="527" spans="1:10" ht="15" customHeight="1" x14ac:dyDescent="0.2">
      <c r="A527" s="4">
        <v>526</v>
      </c>
      <c r="B527" s="4">
        <v>132</v>
      </c>
      <c r="C527" s="4" t="s">
        <v>222</v>
      </c>
      <c r="D527" s="4" t="s">
        <v>918</v>
      </c>
      <c r="E527" s="4">
        <v>100</v>
      </c>
      <c r="F527" s="4" t="s">
        <v>917</v>
      </c>
      <c r="G527" s="4" t="e">
        <f>E527*VLOOKUP(B527,alimentos_master!$A:$M,13,FALSE())/100</f>
        <v>#N/A</v>
      </c>
      <c r="H527" s="4" t="e">
        <f>E527*VLOOKUP(B527,alimentos_master!$A:$N,14,FALSE())/100</f>
        <v>#N/A</v>
      </c>
      <c r="I527" s="4" t="e">
        <f>E527*VLOOKUP(B527,alimentos_master!$A:$O,15,FALSE())/100</f>
        <v>#N/A</v>
      </c>
      <c r="J527" s="4" t="e">
        <f>E527*VLOOKUP(B527,alimentos_master!$A:$R,18,FALSE())/100</f>
        <v>#N/A</v>
      </c>
    </row>
    <row r="528" spans="1:10" ht="15" customHeight="1" x14ac:dyDescent="0.2">
      <c r="A528" s="4">
        <v>527</v>
      </c>
      <c r="B528" s="4">
        <v>132</v>
      </c>
      <c r="C528" s="4" t="s">
        <v>222</v>
      </c>
      <c r="D528" s="4" t="s">
        <v>919</v>
      </c>
      <c r="E528" s="4">
        <v>150</v>
      </c>
      <c r="F528" s="4" t="s">
        <v>917</v>
      </c>
      <c r="G528" s="4" t="e">
        <f>E528*VLOOKUP(B528,alimentos_master!$A:$M,13,FALSE())/100</f>
        <v>#N/A</v>
      </c>
      <c r="H528" s="4" t="e">
        <f>E528*VLOOKUP(B528,alimentos_master!$A:$N,14,FALSE())/100</f>
        <v>#N/A</v>
      </c>
      <c r="I528" s="4" t="e">
        <f>E528*VLOOKUP(B528,alimentos_master!$A:$O,15,FALSE())/100</f>
        <v>#N/A</v>
      </c>
      <c r="J528" s="4" t="e">
        <f>E528*VLOOKUP(B528,alimentos_master!$A:$R,18,FALSE())/100</f>
        <v>#N/A</v>
      </c>
    </row>
    <row r="529" spans="1:10" ht="15" customHeight="1" x14ac:dyDescent="0.2">
      <c r="A529" s="4">
        <v>528</v>
      </c>
      <c r="B529" s="4">
        <v>132</v>
      </c>
      <c r="C529" s="4" t="s">
        <v>222</v>
      </c>
      <c r="D529" s="4" t="s">
        <v>920</v>
      </c>
      <c r="E529" s="4">
        <v>200</v>
      </c>
      <c r="F529" s="4" t="s">
        <v>917</v>
      </c>
      <c r="G529" s="4" t="e">
        <f>E529*VLOOKUP(B529,alimentos_master!$A:$M,13,FALSE())/100</f>
        <v>#N/A</v>
      </c>
      <c r="H529" s="4" t="e">
        <f>E529*VLOOKUP(B529,alimentos_master!$A:$N,14,FALSE())/100</f>
        <v>#N/A</v>
      </c>
      <c r="I529" s="4" t="e">
        <f>E529*VLOOKUP(B529,alimentos_master!$A:$O,15,FALSE())/100</f>
        <v>#N/A</v>
      </c>
      <c r="J529" s="4" t="e">
        <f>E529*VLOOKUP(B529,alimentos_master!$A:$R,18,FALSE())/100</f>
        <v>#N/A</v>
      </c>
    </row>
    <row r="530" spans="1:10" ht="15" customHeight="1" x14ac:dyDescent="0.2">
      <c r="A530" s="4">
        <v>529</v>
      </c>
      <c r="B530" s="4">
        <v>133</v>
      </c>
      <c r="C530" s="4" t="s">
        <v>223</v>
      </c>
      <c r="D530" s="4" t="s">
        <v>916</v>
      </c>
      <c r="E530" s="4">
        <v>75</v>
      </c>
      <c r="F530" s="4" t="s">
        <v>917</v>
      </c>
      <c r="G530" s="4">
        <f>E530*VLOOKUP(B530,alimentos_master!$A:$M,13,FALSE())/100</f>
        <v>67.724999999999994</v>
      </c>
      <c r="H530" s="4">
        <f>E530*VLOOKUP(B530,alimentos_master!$A:$N,14,FALSE())/100</f>
        <v>1.2</v>
      </c>
      <c r="I530" s="4">
        <f>E530*VLOOKUP(B530,alimentos_master!$A:$O,15,FALSE())/100</f>
        <v>15.074999999999999</v>
      </c>
      <c r="J530" s="4">
        <f>E530*VLOOKUP(B530,alimentos_master!$A:$R,18,FALSE())/100</f>
        <v>7.4999999999999997E-2</v>
      </c>
    </row>
    <row r="531" spans="1:10" ht="15" customHeight="1" x14ac:dyDescent="0.2">
      <c r="A531" s="4">
        <v>530</v>
      </c>
      <c r="B531" s="4">
        <v>133</v>
      </c>
      <c r="C531" s="4" t="s">
        <v>223</v>
      </c>
      <c r="D531" s="4" t="s">
        <v>918</v>
      </c>
      <c r="E531" s="4">
        <v>100</v>
      </c>
      <c r="F531" s="4" t="s">
        <v>917</v>
      </c>
      <c r="G531" s="4">
        <f>E531*VLOOKUP(B531,alimentos_master!$A:$M,13,FALSE())/100</f>
        <v>90.3</v>
      </c>
      <c r="H531" s="4">
        <f>E531*VLOOKUP(B531,alimentos_master!$A:$N,14,FALSE())/100</f>
        <v>1.6</v>
      </c>
      <c r="I531" s="4">
        <f>E531*VLOOKUP(B531,alimentos_master!$A:$O,15,FALSE())/100</f>
        <v>20.100000000000001</v>
      </c>
      <c r="J531" s="4">
        <f>E531*VLOOKUP(B531,alimentos_master!$A:$R,18,FALSE())/100</f>
        <v>0.1</v>
      </c>
    </row>
    <row r="532" spans="1:10" ht="15" customHeight="1" x14ac:dyDescent="0.2">
      <c r="A532" s="4">
        <v>531</v>
      </c>
      <c r="B532" s="4">
        <v>133</v>
      </c>
      <c r="C532" s="4" t="s">
        <v>223</v>
      </c>
      <c r="D532" s="4" t="s">
        <v>919</v>
      </c>
      <c r="E532" s="4">
        <v>150</v>
      </c>
      <c r="F532" s="4" t="s">
        <v>917</v>
      </c>
      <c r="G532" s="4">
        <f>E532*VLOOKUP(B532,alimentos_master!$A:$M,13,FALSE())/100</f>
        <v>135.44999999999999</v>
      </c>
      <c r="H532" s="4">
        <f>E532*VLOOKUP(B532,alimentos_master!$A:$N,14,FALSE())/100</f>
        <v>2.4</v>
      </c>
      <c r="I532" s="4">
        <f>E532*VLOOKUP(B532,alimentos_master!$A:$O,15,FALSE())/100</f>
        <v>30.15</v>
      </c>
      <c r="J532" s="4">
        <f>E532*VLOOKUP(B532,alimentos_master!$A:$R,18,FALSE())/100</f>
        <v>0.15</v>
      </c>
    </row>
    <row r="533" spans="1:10" ht="15" customHeight="1" x14ac:dyDescent="0.2">
      <c r="A533" s="4">
        <v>532</v>
      </c>
      <c r="B533" s="4">
        <v>133</v>
      </c>
      <c r="C533" s="4" t="s">
        <v>223</v>
      </c>
      <c r="D533" s="4" t="s">
        <v>920</v>
      </c>
      <c r="E533" s="4">
        <v>200</v>
      </c>
      <c r="F533" s="4" t="s">
        <v>917</v>
      </c>
      <c r="G533" s="4">
        <f>E533*VLOOKUP(B533,alimentos_master!$A:$M,13,FALSE())/100</f>
        <v>180.6</v>
      </c>
      <c r="H533" s="4">
        <f>E533*VLOOKUP(B533,alimentos_master!$A:$N,14,FALSE())/100</f>
        <v>3.2</v>
      </c>
      <c r="I533" s="4">
        <f>E533*VLOOKUP(B533,alimentos_master!$A:$O,15,FALSE())/100</f>
        <v>40.200000000000003</v>
      </c>
      <c r="J533" s="4">
        <f>E533*VLOOKUP(B533,alimentos_master!$A:$R,18,FALSE())/100</f>
        <v>0.2</v>
      </c>
    </row>
    <row r="534" spans="1:10" ht="15" customHeight="1" x14ac:dyDescent="0.2">
      <c r="A534" s="4">
        <v>533</v>
      </c>
      <c r="B534" s="4">
        <v>134</v>
      </c>
      <c r="C534" s="4" t="s">
        <v>224</v>
      </c>
      <c r="D534" s="4" t="s">
        <v>916</v>
      </c>
      <c r="E534" s="4">
        <v>75</v>
      </c>
      <c r="F534" s="4" t="s">
        <v>917</v>
      </c>
      <c r="G534" s="4" t="e">
        <f>E534*VLOOKUP(B534,alimentos_master!$A:$M,13,FALSE())/100</f>
        <v>#N/A</v>
      </c>
      <c r="H534" s="4" t="e">
        <f>E534*VLOOKUP(B534,alimentos_master!$A:$N,14,FALSE())/100</f>
        <v>#N/A</v>
      </c>
      <c r="I534" s="4" t="e">
        <f>E534*VLOOKUP(B534,alimentos_master!$A:$O,15,FALSE())/100</f>
        <v>#N/A</v>
      </c>
      <c r="J534" s="4" t="e">
        <f>E534*VLOOKUP(B534,alimentos_master!$A:$R,18,FALSE())/100</f>
        <v>#N/A</v>
      </c>
    </row>
    <row r="535" spans="1:10" ht="15" customHeight="1" x14ac:dyDescent="0.2">
      <c r="A535" s="4">
        <v>534</v>
      </c>
      <c r="B535" s="4">
        <v>134</v>
      </c>
      <c r="C535" s="4" t="s">
        <v>224</v>
      </c>
      <c r="D535" s="4" t="s">
        <v>918</v>
      </c>
      <c r="E535" s="4">
        <v>100</v>
      </c>
      <c r="F535" s="4" t="s">
        <v>917</v>
      </c>
      <c r="G535" s="4" t="e">
        <f>E535*VLOOKUP(B535,alimentos_master!$A:$M,13,FALSE())/100</f>
        <v>#N/A</v>
      </c>
      <c r="H535" s="4" t="e">
        <f>E535*VLOOKUP(B535,alimentos_master!$A:$N,14,FALSE())/100</f>
        <v>#N/A</v>
      </c>
      <c r="I535" s="4" t="e">
        <f>E535*VLOOKUP(B535,alimentos_master!$A:$O,15,FALSE())/100</f>
        <v>#N/A</v>
      </c>
      <c r="J535" s="4" t="e">
        <f>E535*VLOOKUP(B535,alimentos_master!$A:$R,18,FALSE())/100</f>
        <v>#N/A</v>
      </c>
    </row>
    <row r="536" spans="1:10" ht="15" customHeight="1" x14ac:dyDescent="0.2">
      <c r="A536" s="4">
        <v>535</v>
      </c>
      <c r="B536" s="4">
        <v>134</v>
      </c>
      <c r="C536" s="4" t="s">
        <v>224</v>
      </c>
      <c r="D536" s="4" t="s">
        <v>919</v>
      </c>
      <c r="E536" s="4">
        <v>150</v>
      </c>
      <c r="F536" s="4" t="s">
        <v>917</v>
      </c>
      <c r="G536" s="4" t="e">
        <f>E536*VLOOKUP(B536,alimentos_master!$A:$M,13,FALSE())/100</f>
        <v>#N/A</v>
      </c>
      <c r="H536" s="4" t="e">
        <f>E536*VLOOKUP(B536,alimentos_master!$A:$N,14,FALSE())/100</f>
        <v>#N/A</v>
      </c>
      <c r="I536" s="4" t="e">
        <f>E536*VLOOKUP(B536,alimentos_master!$A:$O,15,FALSE())/100</f>
        <v>#N/A</v>
      </c>
      <c r="J536" s="4" t="e">
        <f>E536*VLOOKUP(B536,alimentos_master!$A:$R,18,FALSE())/100</f>
        <v>#N/A</v>
      </c>
    </row>
    <row r="537" spans="1:10" ht="15" customHeight="1" x14ac:dyDescent="0.2">
      <c r="A537" s="4">
        <v>536</v>
      </c>
      <c r="B537" s="4">
        <v>134</v>
      </c>
      <c r="C537" s="4" t="s">
        <v>224</v>
      </c>
      <c r="D537" s="4" t="s">
        <v>920</v>
      </c>
      <c r="E537" s="4">
        <v>200</v>
      </c>
      <c r="F537" s="4" t="s">
        <v>917</v>
      </c>
      <c r="G537" s="4" t="e">
        <f>E537*VLOOKUP(B537,alimentos_master!$A:$M,13,FALSE())/100</f>
        <v>#N/A</v>
      </c>
      <c r="H537" s="4" t="e">
        <f>E537*VLOOKUP(B537,alimentos_master!$A:$N,14,FALSE())/100</f>
        <v>#N/A</v>
      </c>
      <c r="I537" s="4" t="e">
        <f>E537*VLOOKUP(B537,alimentos_master!$A:$O,15,FALSE())/100</f>
        <v>#N/A</v>
      </c>
      <c r="J537" s="4" t="e">
        <f>E537*VLOOKUP(B537,alimentos_master!$A:$R,18,FALSE())/100</f>
        <v>#N/A</v>
      </c>
    </row>
    <row r="538" spans="1:10" ht="15" customHeight="1" x14ac:dyDescent="0.2">
      <c r="A538" s="4">
        <v>537</v>
      </c>
      <c r="B538" s="4">
        <v>135</v>
      </c>
      <c r="C538" s="4" t="s">
        <v>225</v>
      </c>
      <c r="D538" s="4" t="s">
        <v>916</v>
      </c>
      <c r="E538" s="4">
        <v>75</v>
      </c>
      <c r="F538" s="4" t="s">
        <v>917</v>
      </c>
      <c r="G538" s="4" t="e">
        <f>E538*VLOOKUP(B538,alimentos_master!$A:$M,13,FALSE())/100</f>
        <v>#N/A</v>
      </c>
      <c r="H538" s="4" t="e">
        <f>E538*VLOOKUP(B538,alimentos_master!$A:$N,14,FALSE())/100</f>
        <v>#N/A</v>
      </c>
      <c r="I538" s="4" t="e">
        <f>E538*VLOOKUP(B538,alimentos_master!$A:$O,15,FALSE())/100</f>
        <v>#N/A</v>
      </c>
      <c r="J538" s="4" t="e">
        <f>E538*VLOOKUP(B538,alimentos_master!$A:$R,18,FALSE())/100</f>
        <v>#N/A</v>
      </c>
    </row>
    <row r="539" spans="1:10" ht="15" customHeight="1" x14ac:dyDescent="0.2">
      <c r="A539" s="4">
        <v>538</v>
      </c>
      <c r="B539" s="4">
        <v>135</v>
      </c>
      <c r="C539" s="4" t="s">
        <v>225</v>
      </c>
      <c r="D539" s="4" t="s">
        <v>918</v>
      </c>
      <c r="E539" s="4">
        <v>100</v>
      </c>
      <c r="F539" s="4" t="s">
        <v>917</v>
      </c>
      <c r="G539" s="4" t="e">
        <f>E539*VLOOKUP(B539,alimentos_master!$A:$M,13,FALSE())/100</f>
        <v>#N/A</v>
      </c>
      <c r="H539" s="4" t="e">
        <f>E539*VLOOKUP(B539,alimentos_master!$A:$N,14,FALSE())/100</f>
        <v>#N/A</v>
      </c>
      <c r="I539" s="4" t="e">
        <f>E539*VLOOKUP(B539,alimentos_master!$A:$O,15,FALSE())/100</f>
        <v>#N/A</v>
      </c>
      <c r="J539" s="4" t="e">
        <f>E539*VLOOKUP(B539,alimentos_master!$A:$R,18,FALSE())/100</f>
        <v>#N/A</v>
      </c>
    </row>
    <row r="540" spans="1:10" ht="15" customHeight="1" x14ac:dyDescent="0.2">
      <c r="A540" s="4">
        <v>539</v>
      </c>
      <c r="B540" s="4">
        <v>135</v>
      </c>
      <c r="C540" s="4" t="s">
        <v>225</v>
      </c>
      <c r="D540" s="4" t="s">
        <v>919</v>
      </c>
      <c r="E540" s="4">
        <v>150</v>
      </c>
      <c r="F540" s="4" t="s">
        <v>917</v>
      </c>
      <c r="G540" s="4" t="e">
        <f>E540*VLOOKUP(B540,alimentos_master!$A:$M,13,FALSE())/100</f>
        <v>#N/A</v>
      </c>
      <c r="H540" s="4" t="e">
        <f>E540*VLOOKUP(B540,alimentos_master!$A:$N,14,FALSE())/100</f>
        <v>#N/A</v>
      </c>
      <c r="I540" s="4" t="e">
        <f>E540*VLOOKUP(B540,alimentos_master!$A:$O,15,FALSE())/100</f>
        <v>#N/A</v>
      </c>
      <c r="J540" s="4" t="e">
        <f>E540*VLOOKUP(B540,alimentos_master!$A:$R,18,FALSE())/100</f>
        <v>#N/A</v>
      </c>
    </row>
    <row r="541" spans="1:10" ht="15" customHeight="1" x14ac:dyDescent="0.2">
      <c r="A541" s="4">
        <v>540</v>
      </c>
      <c r="B541" s="4">
        <v>135</v>
      </c>
      <c r="C541" s="4" t="s">
        <v>225</v>
      </c>
      <c r="D541" s="4" t="s">
        <v>920</v>
      </c>
      <c r="E541" s="4">
        <v>200</v>
      </c>
      <c r="F541" s="4" t="s">
        <v>917</v>
      </c>
      <c r="G541" s="4" t="e">
        <f>E541*VLOOKUP(B541,alimentos_master!$A:$M,13,FALSE())/100</f>
        <v>#N/A</v>
      </c>
      <c r="H541" s="4" t="e">
        <f>E541*VLOOKUP(B541,alimentos_master!$A:$N,14,FALSE())/100</f>
        <v>#N/A</v>
      </c>
      <c r="I541" s="4" t="e">
        <f>E541*VLOOKUP(B541,alimentos_master!$A:$O,15,FALSE())/100</f>
        <v>#N/A</v>
      </c>
      <c r="J541" s="4" t="e">
        <f>E541*VLOOKUP(B541,alimentos_master!$A:$R,18,FALSE())/100</f>
        <v>#N/A</v>
      </c>
    </row>
    <row r="542" spans="1:10" ht="15" customHeight="1" x14ac:dyDescent="0.2">
      <c r="A542" s="4">
        <v>541</v>
      </c>
      <c r="B542" s="4">
        <v>136</v>
      </c>
      <c r="C542" s="4" t="s">
        <v>226</v>
      </c>
      <c r="D542" s="4" t="s">
        <v>916</v>
      </c>
      <c r="E542" s="4">
        <v>75</v>
      </c>
      <c r="F542" s="4" t="s">
        <v>917</v>
      </c>
      <c r="G542" s="4">
        <f>E542*VLOOKUP(B542,alimentos_master!$A:$M,13,FALSE())/100</f>
        <v>76.125</v>
      </c>
      <c r="H542" s="4">
        <f>E542*VLOOKUP(B542,alimentos_master!$A:$N,14,FALSE())/100</f>
        <v>1.26</v>
      </c>
      <c r="I542" s="4">
        <f>E542*VLOOKUP(B542,alimentos_master!$A:$O,15,FALSE())/100</f>
        <v>15.8325</v>
      </c>
      <c r="J542" s="4">
        <f>E542*VLOOKUP(B542,alimentos_master!$A:$R,18,FALSE())/100</f>
        <v>8.2500000000000004E-2</v>
      </c>
    </row>
    <row r="543" spans="1:10" ht="15" customHeight="1" x14ac:dyDescent="0.2">
      <c r="A543" s="4">
        <v>542</v>
      </c>
      <c r="B543" s="4">
        <v>136</v>
      </c>
      <c r="C543" s="4" t="s">
        <v>226</v>
      </c>
      <c r="D543" s="4" t="s">
        <v>918</v>
      </c>
      <c r="E543" s="4">
        <v>100</v>
      </c>
      <c r="F543" s="4" t="s">
        <v>917</v>
      </c>
      <c r="G543" s="4">
        <f>E543*VLOOKUP(B543,alimentos_master!$A:$M,13,FALSE())/100</f>
        <v>101.5</v>
      </c>
      <c r="H543" s="4">
        <f>E543*VLOOKUP(B543,alimentos_master!$A:$N,14,FALSE())/100</f>
        <v>1.68</v>
      </c>
      <c r="I543" s="4">
        <f>E543*VLOOKUP(B543,alimentos_master!$A:$O,15,FALSE())/100</f>
        <v>21.11</v>
      </c>
      <c r="J543" s="4">
        <f>E543*VLOOKUP(B543,alimentos_master!$A:$R,18,FALSE())/100</f>
        <v>0.11</v>
      </c>
    </row>
    <row r="544" spans="1:10" ht="15" customHeight="1" x14ac:dyDescent="0.2">
      <c r="A544" s="4">
        <v>543</v>
      </c>
      <c r="B544" s="4">
        <v>136</v>
      </c>
      <c r="C544" s="4" t="s">
        <v>226</v>
      </c>
      <c r="D544" s="4" t="s">
        <v>919</v>
      </c>
      <c r="E544" s="4">
        <v>150</v>
      </c>
      <c r="F544" s="4" t="s">
        <v>917</v>
      </c>
      <c r="G544" s="4">
        <f>E544*VLOOKUP(B544,alimentos_master!$A:$M,13,FALSE())/100</f>
        <v>152.25</v>
      </c>
      <c r="H544" s="4">
        <f>E544*VLOOKUP(B544,alimentos_master!$A:$N,14,FALSE())/100</f>
        <v>2.52</v>
      </c>
      <c r="I544" s="4">
        <f>E544*VLOOKUP(B544,alimentos_master!$A:$O,15,FALSE())/100</f>
        <v>31.664999999999999</v>
      </c>
      <c r="J544" s="4">
        <f>E544*VLOOKUP(B544,alimentos_master!$A:$R,18,FALSE())/100</f>
        <v>0.16500000000000001</v>
      </c>
    </row>
    <row r="545" spans="1:10" ht="15" customHeight="1" x14ac:dyDescent="0.2">
      <c r="A545" s="4">
        <v>544</v>
      </c>
      <c r="B545" s="4">
        <v>136</v>
      </c>
      <c r="C545" s="4" t="s">
        <v>226</v>
      </c>
      <c r="D545" s="4" t="s">
        <v>920</v>
      </c>
      <c r="E545" s="4">
        <v>200</v>
      </c>
      <c r="F545" s="4" t="s">
        <v>917</v>
      </c>
      <c r="G545" s="4">
        <f>E545*VLOOKUP(B545,alimentos_master!$A:$M,13,FALSE())/100</f>
        <v>203</v>
      </c>
      <c r="H545" s="4">
        <f>E545*VLOOKUP(B545,alimentos_master!$A:$N,14,FALSE())/100</f>
        <v>3.36</v>
      </c>
      <c r="I545" s="4">
        <f>E545*VLOOKUP(B545,alimentos_master!$A:$O,15,FALSE())/100</f>
        <v>42.22</v>
      </c>
      <c r="J545" s="4">
        <f>E545*VLOOKUP(B545,alimentos_master!$A:$R,18,FALSE())/100</f>
        <v>0.22</v>
      </c>
    </row>
    <row r="546" spans="1:10" ht="15" customHeight="1" x14ac:dyDescent="0.2">
      <c r="A546" s="4">
        <v>545</v>
      </c>
      <c r="B546" s="4">
        <v>137</v>
      </c>
      <c r="C546" s="4" t="s">
        <v>227</v>
      </c>
      <c r="D546" s="4" t="s">
        <v>916</v>
      </c>
      <c r="E546" s="4">
        <v>75</v>
      </c>
      <c r="F546" s="4" t="s">
        <v>917</v>
      </c>
      <c r="G546" s="4" t="e">
        <f>E546*VLOOKUP(B546,alimentos_master!$A:$M,13,FALSE())/100</f>
        <v>#N/A</v>
      </c>
      <c r="H546" s="4" t="e">
        <f>E546*VLOOKUP(B546,alimentos_master!$A:$N,14,FALSE())/100</f>
        <v>#N/A</v>
      </c>
      <c r="I546" s="4" t="e">
        <f>E546*VLOOKUP(B546,alimentos_master!$A:$O,15,FALSE())/100</f>
        <v>#N/A</v>
      </c>
      <c r="J546" s="4" t="e">
        <f>E546*VLOOKUP(B546,alimentos_master!$A:$R,18,FALSE())/100</f>
        <v>#N/A</v>
      </c>
    </row>
    <row r="547" spans="1:10" ht="15" customHeight="1" x14ac:dyDescent="0.2">
      <c r="A547" s="4">
        <v>546</v>
      </c>
      <c r="B547" s="4">
        <v>137</v>
      </c>
      <c r="C547" s="4" t="s">
        <v>227</v>
      </c>
      <c r="D547" s="4" t="s">
        <v>918</v>
      </c>
      <c r="E547" s="4">
        <v>100</v>
      </c>
      <c r="F547" s="4" t="s">
        <v>917</v>
      </c>
      <c r="G547" s="4" t="e">
        <f>E547*VLOOKUP(B547,alimentos_master!$A:$M,13,FALSE())/100</f>
        <v>#N/A</v>
      </c>
      <c r="H547" s="4" t="e">
        <f>E547*VLOOKUP(B547,alimentos_master!$A:$N,14,FALSE())/100</f>
        <v>#N/A</v>
      </c>
      <c r="I547" s="4" t="e">
        <f>E547*VLOOKUP(B547,alimentos_master!$A:$O,15,FALSE())/100</f>
        <v>#N/A</v>
      </c>
      <c r="J547" s="4" t="e">
        <f>E547*VLOOKUP(B547,alimentos_master!$A:$R,18,FALSE())/100</f>
        <v>#N/A</v>
      </c>
    </row>
    <row r="548" spans="1:10" ht="15" customHeight="1" x14ac:dyDescent="0.2">
      <c r="A548" s="4">
        <v>547</v>
      </c>
      <c r="B548" s="4">
        <v>137</v>
      </c>
      <c r="C548" s="4" t="s">
        <v>227</v>
      </c>
      <c r="D548" s="4" t="s">
        <v>919</v>
      </c>
      <c r="E548" s="4">
        <v>150</v>
      </c>
      <c r="F548" s="4" t="s">
        <v>917</v>
      </c>
      <c r="G548" s="4" t="e">
        <f>E548*VLOOKUP(B548,alimentos_master!$A:$M,13,FALSE())/100</f>
        <v>#N/A</v>
      </c>
      <c r="H548" s="4" t="e">
        <f>E548*VLOOKUP(B548,alimentos_master!$A:$N,14,FALSE())/100</f>
        <v>#N/A</v>
      </c>
      <c r="I548" s="4" t="e">
        <f>E548*VLOOKUP(B548,alimentos_master!$A:$O,15,FALSE())/100</f>
        <v>#N/A</v>
      </c>
      <c r="J548" s="4" t="e">
        <f>E548*VLOOKUP(B548,alimentos_master!$A:$R,18,FALSE())/100</f>
        <v>#N/A</v>
      </c>
    </row>
    <row r="549" spans="1:10" ht="15" customHeight="1" x14ac:dyDescent="0.2">
      <c r="A549" s="4">
        <v>548</v>
      </c>
      <c r="B549" s="4">
        <v>137</v>
      </c>
      <c r="C549" s="4" t="s">
        <v>227</v>
      </c>
      <c r="D549" s="4" t="s">
        <v>920</v>
      </c>
      <c r="E549" s="4">
        <v>200</v>
      </c>
      <c r="F549" s="4" t="s">
        <v>917</v>
      </c>
      <c r="G549" s="4" t="e">
        <f>E549*VLOOKUP(B549,alimentos_master!$A:$M,13,FALSE())/100</f>
        <v>#N/A</v>
      </c>
      <c r="H549" s="4" t="e">
        <f>E549*VLOOKUP(B549,alimentos_master!$A:$N,14,FALSE())/100</f>
        <v>#N/A</v>
      </c>
      <c r="I549" s="4" t="e">
        <f>E549*VLOOKUP(B549,alimentos_master!$A:$O,15,FALSE())/100</f>
        <v>#N/A</v>
      </c>
      <c r="J549" s="4" t="e">
        <f>E549*VLOOKUP(B549,alimentos_master!$A:$R,18,FALSE())/100</f>
        <v>#N/A</v>
      </c>
    </row>
    <row r="550" spans="1:10" ht="15" customHeight="1" x14ac:dyDescent="0.2">
      <c r="A550" s="4">
        <v>549</v>
      </c>
      <c r="B550" s="4">
        <v>138</v>
      </c>
      <c r="C550" s="4" t="s">
        <v>228</v>
      </c>
      <c r="D550" s="4" t="s">
        <v>916</v>
      </c>
      <c r="E550" s="4">
        <v>75</v>
      </c>
      <c r="F550" s="4" t="s">
        <v>917</v>
      </c>
      <c r="G550" s="4" t="e">
        <f>E550*VLOOKUP(B550,alimentos_master!$A:$M,13,FALSE())/100</f>
        <v>#N/A</v>
      </c>
      <c r="H550" s="4" t="e">
        <f>E550*VLOOKUP(B550,alimentos_master!$A:$N,14,FALSE())/100</f>
        <v>#N/A</v>
      </c>
      <c r="I550" s="4" t="e">
        <f>E550*VLOOKUP(B550,alimentos_master!$A:$O,15,FALSE())/100</f>
        <v>#N/A</v>
      </c>
      <c r="J550" s="4" t="e">
        <f>E550*VLOOKUP(B550,alimentos_master!$A:$R,18,FALSE())/100</f>
        <v>#N/A</v>
      </c>
    </row>
    <row r="551" spans="1:10" ht="15" customHeight="1" x14ac:dyDescent="0.2">
      <c r="A551" s="4">
        <v>550</v>
      </c>
      <c r="B551" s="4">
        <v>138</v>
      </c>
      <c r="C551" s="4" t="s">
        <v>228</v>
      </c>
      <c r="D551" s="4" t="s">
        <v>918</v>
      </c>
      <c r="E551" s="4">
        <v>100</v>
      </c>
      <c r="F551" s="4" t="s">
        <v>917</v>
      </c>
      <c r="G551" s="4" t="e">
        <f>E551*VLOOKUP(B551,alimentos_master!$A:$M,13,FALSE())/100</f>
        <v>#N/A</v>
      </c>
      <c r="H551" s="4" t="e">
        <f>E551*VLOOKUP(B551,alimentos_master!$A:$N,14,FALSE())/100</f>
        <v>#N/A</v>
      </c>
      <c r="I551" s="4" t="e">
        <f>E551*VLOOKUP(B551,alimentos_master!$A:$O,15,FALSE())/100</f>
        <v>#N/A</v>
      </c>
      <c r="J551" s="4" t="e">
        <f>E551*VLOOKUP(B551,alimentos_master!$A:$R,18,FALSE())/100</f>
        <v>#N/A</v>
      </c>
    </row>
    <row r="552" spans="1:10" ht="15" customHeight="1" x14ac:dyDescent="0.2">
      <c r="A552" s="4">
        <v>551</v>
      </c>
      <c r="B552" s="4">
        <v>138</v>
      </c>
      <c r="C552" s="4" t="s">
        <v>228</v>
      </c>
      <c r="D552" s="4" t="s">
        <v>919</v>
      </c>
      <c r="E552" s="4">
        <v>150</v>
      </c>
      <c r="F552" s="4" t="s">
        <v>917</v>
      </c>
      <c r="G552" s="4" t="e">
        <f>E552*VLOOKUP(B552,alimentos_master!$A:$M,13,FALSE())/100</f>
        <v>#N/A</v>
      </c>
      <c r="H552" s="4" t="e">
        <f>E552*VLOOKUP(B552,alimentos_master!$A:$N,14,FALSE())/100</f>
        <v>#N/A</v>
      </c>
      <c r="I552" s="4" t="e">
        <f>E552*VLOOKUP(B552,alimentos_master!$A:$O,15,FALSE())/100</f>
        <v>#N/A</v>
      </c>
      <c r="J552" s="4" t="e">
        <f>E552*VLOOKUP(B552,alimentos_master!$A:$R,18,FALSE())/100</f>
        <v>#N/A</v>
      </c>
    </row>
    <row r="553" spans="1:10" ht="15" customHeight="1" x14ac:dyDescent="0.2">
      <c r="A553" s="4">
        <v>552</v>
      </c>
      <c r="B553" s="4">
        <v>138</v>
      </c>
      <c r="C553" s="4" t="s">
        <v>228</v>
      </c>
      <c r="D553" s="4" t="s">
        <v>920</v>
      </c>
      <c r="E553" s="4">
        <v>200</v>
      </c>
      <c r="F553" s="4" t="s">
        <v>917</v>
      </c>
      <c r="G553" s="4" t="e">
        <f>E553*VLOOKUP(B553,alimentos_master!$A:$M,13,FALSE())/100</f>
        <v>#N/A</v>
      </c>
      <c r="H553" s="4" t="e">
        <f>E553*VLOOKUP(B553,alimentos_master!$A:$N,14,FALSE())/100</f>
        <v>#N/A</v>
      </c>
      <c r="I553" s="4" t="e">
        <f>E553*VLOOKUP(B553,alimentos_master!$A:$O,15,FALSE())/100</f>
        <v>#N/A</v>
      </c>
      <c r="J553" s="4" t="e">
        <f>E553*VLOOKUP(B553,alimentos_master!$A:$R,18,FALSE())/100</f>
        <v>#N/A</v>
      </c>
    </row>
    <row r="554" spans="1:10" ht="15" customHeight="1" x14ac:dyDescent="0.2">
      <c r="A554" s="4">
        <v>553</v>
      </c>
      <c r="B554" s="4">
        <v>139</v>
      </c>
      <c r="C554" s="4" t="s">
        <v>229</v>
      </c>
      <c r="D554" s="4" t="s">
        <v>916</v>
      </c>
      <c r="E554" s="4">
        <v>75</v>
      </c>
      <c r="F554" s="4" t="s">
        <v>917</v>
      </c>
      <c r="G554" s="4">
        <f>E554*VLOOKUP(B554,alimentos_master!$A:$M,13,FALSE())/100</f>
        <v>70.95</v>
      </c>
      <c r="H554" s="4">
        <f>E554*VLOOKUP(B554,alimentos_master!$A:$N,14,FALSE())/100</f>
        <v>1.2224999999999999</v>
      </c>
      <c r="I554" s="4">
        <f>E554*VLOOKUP(B554,alimentos_master!$A:$O,15,FALSE())/100</f>
        <v>15.375</v>
      </c>
      <c r="J554" s="4">
        <f>E554*VLOOKUP(B554,alimentos_master!$A:$R,18,FALSE())/100</f>
        <v>7.4999999999999997E-2</v>
      </c>
    </row>
    <row r="555" spans="1:10" ht="15" customHeight="1" x14ac:dyDescent="0.2">
      <c r="A555" s="4">
        <v>554</v>
      </c>
      <c r="B555" s="4">
        <v>139</v>
      </c>
      <c r="C555" s="4" t="s">
        <v>229</v>
      </c>
      <c r="D555" s="4" t="s">
        <v>918</v>
      </c>
      <c r="E555" s="4">
        <v>100</v>
      </c>
      <c r="F555" s="4" t="s">
        <v>917</v>
      </c>
      <c r="G555" s="4">
        <f>E555*VLOOKUP(B555,alimentos_master!$A:$M,13,FALSE())/100</f>
        <v>94.6</v>
      </c>
      <c r="H555" s="4">
        <f>E555*VLOOKUP(B555,alimentos_master!$A:$N,14,FALSE())/100</f>
        <v>1.63</v>
      </c>
      <c r="I555" s="4">
        <f>E555*VLOOKUP(B555,alimentos_master!$A:$O,15,FALSE())/100</f>
        <v>20.5</v>
      </c>
      <c r="J555" s="4">
        <f>E555*VLOOKUP(B555,alimentos_master!$A:$R,18,FALSE())/100</f>
        <v>0.1</v>
      </c>
    </row>
    <row r="556" spans="1:10" ht="15" customHeight="1" x14ac:dyDescent="0.2">
      <c r="A556" s="4">
        <v>555</v>
      </c>
      <c r="B556" s="4">
        <v>139</v>
      </c>
      <c r="C556" s="4" t="s">
        <v>229</v>
      </c>
      <c r="D556" s="4" t="s">
        <v>919</v>
      </c>
      <c r="E556" s="4">
        <v>150</v>
      </c>
      <c r="F556" s="4" t="s">
        <v>917</v>
      </c>
      <c r="G556" s="4">
        <f>E556*VLOOKUP(B556,alimentos_master!$A:$M,13,FALSE())/100</f>
        <v>141.9</v>
      </c>
      <c r="H556" s="4">
        <f>E556*VLOOKUP(B556,alimentos_master!$A:$N,14,FALSE())/100</f>
        <v>2.4449999999999998</v>
      </c>
      <c r="I556" s="4">
        <f>E556*VLOOKUP(B556,alimentos_master!$A:$O,15,FALSE())/100</f>
        <v>30.75</v>
      </c>
      <c r="J556" s="4">
        <f>E556*VLOOKUP(B556,alimentos_master!$A:$R,18,FALSE())/100</f>
        <v>0.15</v>
      </c>
    </row>
    <row r="557" spans="1:10" ht="15" customHeight="1" x14ac:dyDescent="0.2">
      <c r="A557" s="4">
        <v>556</v>
      </c>
      <c r="B557" s="4">
        <v>139</v>
      </c>
      <c r="C557" s="4" t="s">
        <v>229</v>
      </c>
      <c r="D557" s="4" t="s">
        <v>920</v>
      </c>
      <c r="E557" s="4">
        <v>200</v>
      </c>
      <c r="F557" s="4" t="s">
        <v>917</v>
      </c>
      <c r="G557" s="4">
        <f>E557*VLOOKUP(B557,alimentos_master!$A:$M,13,FALSE())/100</f>
        <v>189.2</v>
      </c>
      <c r="H557" s="4">
        <f>E557*VLOOKUP(B557,alimentos_master!$A:$N,14,FALSE())/100</f>
        <v>3.26</v>
      </c>
      <c r="I557" s="4">
        <f>E557*VLOOKUP(B557,alimentos_master!$A:$O,15,FALSE())/100</f>
        <v>41</v>
      </c>
      <c r="J557" s="4">
        <f>E557*VLOOKUP(B557,alimentos_master!$A:$R,18,FALSE())/100</f>
        <v>0.2</v>
      </c>
    </row>
    <row r="558" spans="1:10" ht="15" customHeight="1" x14ac:dyDescent="0.2">
      <c r="A558" s="4">
        <v>557</v>
      </c>
      <c r="B558" s="4">
        <v>140</v>
      </c>
      <c r="C558" s="4" t="s">
        <v>230</v>
      </c>
      <c r="D558" s="4" t="s">
        <v>916</v>
      </c>
      <c r="E558" s="4">
        <v>75</v>
      </c>
      <c r="F558" s="4" t="s">
        <v>917</v>
      </c>
      <c r="G558" s="4" t="e">
        <f>E558*VLOOKUP(B558,alimentos_master!$A:$M,13,FALSE())/100</f>
        <v>#N/A</v>
      </c>
      <c r="H558" s="4" t="e">
        <f>E558*VLOOKUP(B558,alimentos_master!$A:$N,14,FALSE())/100</f>
        <v>#N/A</v>
      </c>
      <c r="I558" s="4" t="e">
        <f>E558*VLOOKUP(B558,alimentos_master!$A:$O,15,FALSE())/100</f>
        <v>#N/A</v>
      </c>
      <c r="J558" s="4" t="e">
        <f>E558*VLOOKUP(B558,alimentos_master!$A:$R,18,FALSE())/100</f>
        <v>#N/A</v>
      </c>
    </row>
    <row r="559" spans="1:10" ht="15" customHeight="1" x14ac:dyDescent="0.2">
      <c r="A559" s="4">
        <v>558</v>
      </c>
      <c r="B559" s="4">
        <v>140</v>
      </c>
      <c r="C559" s="4" t="s">
        <v>230</v>
      </c>
      <c r="D559" s="4" t="s">
        <v>918</v>
      </c>
      <c r="E559" s="4">
        <v>100</v>
      </c>
      <c r="F559" s="4" t="s">
        <v>917</v>
      </c>
      <c r="G559" s="4" t="e">
        <f>E559*VLOOKUP(B559,alimentos_master!$A:$M,13,FALSE())/100</f>
        <v>#N/A</v>
      </c>
      <c r="H559" s="4" t="e">
        <f>E559*VLOOKUP(B559,alimentos_master!$A:$N,14,FALSE())/100</f>
        <v>#N/A</v>
      </c>
      <c r="I559" s="4" t="e">
        <f>E559*VLOOKUP(B559,alimentos_master!$A:$O,15,FALSE())/100</f>
        <v>#N/A</v>
      </c>
      <c r="J559" s="4" t="e">
        <f>E559*VLOOKUP(B559,alimentos_master!$A:$R,18,FALSE())/100</f>
        <v>#N/A</v>
      </c>
    </row>
    <row r="560" spans="1:10" ht="15" customHeight="1" x14ac:dyDescent="0.2">
      <c r="A560" s="4">
        <v>559</v>
      </c>
      <c r="B560" s="4">
        <v>140</v>
      </c>
      <c r="C560" s="4" t="s">
        <v>230</v>
      </c>
      <c r="D560" s="4" t="s">
        <v>919</v>
      </c>
      <c r="E560" s="4">
        <v>150</v>
      </c>
      <c r="F560" s="4" t="s">
        <v>917</v>
      </c>
      <c r="G560" s="4" t="e">
        <f>E560*VLOOKUP(B560,alimentos_master!$A:$M,13,FALSE())/100</f>
        <v>#N/A</v>
      </c>
      <c r="H560" s="4" t="e">
        <f>E560*VLOOKUP(B560,alimentos_master!$A:$N,14,FALSE())/100</f>
        <v>#N/A</v>
      </c>
      <c r="I560" s="4" t="e">
        <f>E560*VLOOKUP(B560,alimentos_master!$A:$O,15,FALSE())/100</f>
        <v>#N/A</v>
      </c>
      <c r="J560" s="4" t="e">
        <f>E560*VLOOKUP(B560,alimentos_master!$A:$R,18,FALSE())/100</f>
        <v>#N/A</v>
      </c>
    </row>
    <row r="561" spans="1:10" ht="15" customHeight="1" x14ac:dyDescent="0.2">
      <c r="A561" s="4">
        <v>560</v>
      </c>
      <c r="B561" s="4">
        <v>140</v>
      </c>
      <c r="C561" s="4" t="s">
        <v>230</v>
      </c>
      <c r="D561" s="4" t="s">
        <v>920</v>
      </c>
      <c r="E561" s="4">
        <v>200</v>
      </c>
      <c r="F561" s="4" t="s">
        <v>917</v>
      </c>
      <c r="G561" s="4" t="e">
        <f>E561*VLOOKUP(B561,alimentos_master!$A:$M,13,FALSE())/100</f>
        <v>#N/A</v>
      </c>
      <c r="H561" s="4" t="e">
        <f>E561*VLOOKUP(B561,alimentos_master!$A:$N,14,FALSE())/100</f>
        <v>#N/A</v>
      </c>
      <c r="I561" s="4" t="e">
        <f>E561*VLOOKUP(B561,alimentos_master!$A:$O,15,FALSE())/100</f>
        <v>#N/A</v>
      </c>
      <c r="J561" s="4" t="e">
        <f>E561*VLOOKUP(B561,alimentos_master!$A:$R,18,FALSE())/100</f>
        <v>#N/A</v>
      </c>
    </row>
    <row r="562" spans="1:10" ht="15" customHeight="1" x14ac:dyDescent="0.2">
      <c r="A562" s="4">
        <v>561</v>
      </c>
      <c r="B562" s="4">
        <v>141</v>
      </c>
      <c r="C562" s="4" t="s">
        <v>231</v>
      </c>
      <c r="D562" s="4" t="s">
        <v>916</v>
      </c>
      <c r="E562" s="4">
        <v>75</v>
      </c>
      <c r="F562" s="4" t="s">
        <v>917</v>
      </c>
      <c r="G562" s="4" t="e">
        <f>E562*VLOOKUP(B562,alimentos_master!$A:$M,13,FALSE())/100</f>
        <v>#N/A</v>
      </c>
      <c r="H562" s="4" t="e">
        <f>E562*VLOOKUP(B562,alimentos_master!$A:$N,14,FALSE())/100</f>
        <v>#N/A</v>
      </c>
      <c r="I562" s="4" t="e">
        <f>E562*VLOOKUP(B562,alimentos_master!$A:$O,15,FALSE())/100</f>
        <v>#N/A</v>
      </c>
      <c r="J562" s="4" t="e">
        <f>E562*VLOOKUP(B562,alimentos_master!$A:$R,18,FALSE())/100</f>
        <v>#N/A</v>
      </c>
    </row>
    <row r="563" spans="1:10" ht="15" customHeight="1" x14ac:dyDescent="0.2">
      <c r="A563" s="4">
        <v>562</v>
      </c>
      <c r="B563" s="4">
        <v>141</v>
      </c>
      <c r="C563" s="4" t="s">
        <v>231</v>
      </c>
      <c r="D563" s="4" t="s">
        <v>918</v>
      </c>
      <c r="E563" s="4">
        <v>100</v>
      </c>
      <c r="F563" s="4" t="s">
        <v>917</v>
      </c>
      <c r="G563" s="4" t="e">
        <f>E563*VLOOKUP(B563,alimentos_master!$A:$M,13,FALSE())/100</f>
        <v>#N/A</v>
      </c>
      <c r="H563" s="4" t="e">
        <f>E563*VLOOKUP(B563,alimentos_master!$A:$N,14,FALSE())/100</f>
        <v>#N/A</v>
      </c>
      <c r="I563" s="4" t="e">
        <f>E563*VLOOKUP(B563,alimentos_master!$A:$O,15,FALSE())/100</f>
        <v>#N/A</v>
      </c>
      <c r="J563" s="4" t="e">
        <f>E563*VLOOKUP(B563,alimentos_master!$A:$R,18,FALSE())/100</f>
        <v>#N/A</v>
      </c>
    </row>
    <row r="564" spans="1:10" ht="15" customHeight="1" x14ac:dyDescent="0.2">
      <c r="A564" s="4">
        <v>563</v>
      </c>
      <c r="B564" s="4">
        <v>141</v>
      </c>
      <c r="C564" s="4" t="s">
        <v>231</v>
      </c>
      <c r="D564" s="4" t="s">
        <v>919</v>
      </c>
      <c r="E564" s="4">
        <v>150</v>
      </c>
      <c r="F564" s="4" t="s">
        <v>917</v>
      </c>
      <c r="G564" s="4" t="e">
        <f>E564*VLOOKUP(B564,alimentos_master!$A:$M,13,FALSE())/100</f>
        <v>#N/A</v>
      </c>
      <c r="H564" s="4" t="e">
        <f>E564*VLOOKUP(B564,alimentos_master!$A:$N,14,FALSE())/100</f>
        <v>#N/A</v>
      </c>
      <c r="I564" s="4" t="e">
        <f>E564*VLOOKUP(B564,alimentos_master!$A:$O,15,FALSE())/100</f>
        <v>#N/A</v>
      </c>
      <c r="J564" s="4" t="e">
        <f>E564*VLOOKUP(B564,alimentos_master!$A:$R,18,FALSE())/100</f>
        <v>#N/A</v>
      </c>
    </row>
    <row r="565" spans="1:10" ht="15" customHeight="1" x14ac:dyDescent="0.2">
      <c r="A565" s="4">
        <v>564</v>
      </c>
      <c r="B565" s="4">
        <v>141</v>
      </c>
      <c r="C565" s="4" t="s">
        <v>231</v>
      </c>
      <c r="D565" s="4" t="s">
        <v>920</v>
      </c>
      <c r="E565" s="4">
        <v>200</v>
      </c>
      <c r="F565" s="4" t="s">
        <v>917</v>
      </c>
      <c r="G565" s="4" t="e">
        <f>E565*VLOOKUP(B565,alimentos_master!$A:$M,13,FALSE())/100</f>
        <v>#N/A</v>
      </c>
      <c r="H565" s="4" t="e">
        <f>E565*VLOOKUP(B565,alimentos_master!$A:$N,14,FALSE())/100</f>
        <v>#N/A</v>
      </c>
      <c r="I565" s="4" t="e">
        <f>E565*VLOOKUP(B565,alimentos_master!$A:$O,15,FALSE())/100</f>
        <v>#N/A</v>
      </c>
      <c r="J565" s="4" t="e">
        <f>E565*VLOOKUP(B565,alimentos_master!$A:$R,18,FALSE())/100</f>
        <v>#N/A</v>
      </c>
    </row>
    <row r="566" spans="1:10" ht="15" customHeight="1" x14ac:dyDescent="0.2">
      <c r="A566" s="4">
        <v>565</v>
      </c>
      <c r="B566" s="4">
        <v>142</v>
      </c>
      <c r="C566" s="4" t="s">
        <v>232</v>
      </c>
      <c r="D566" s="4" t="s">
        <v>916</v>
      </c>
      <c r="E566" s="4">
        <v>75</v>
      </c>
      <c r="F566" s="4" t="s">
        <v>917</v>
      </c>
      <c r="G566" s="4">
        <f>E566*VLOOKUP(B566,alimentos_master!$A:$M,13,FALSE())/100</f>
        <v>187.05</v>
      </c>
      <c r="H566" s="4">
        <f>E566*VLOOKUP(B566,alimentos_master!$A:$N,14,FALSE())/100</f>
        <v>1.32</v>
      </c>
      <c r="I566" s="4">
        <f>E566*VLOOKUP(B566,alimentos_master!$A:$O,15,FALSE())/100</f>
        <v>16.5825</v>
      </c>
      <c r="J566" s="4">
        <f>E566*VLOOKUP(B566,alimentos_master!$A:$R,18,FALSE())/100</f>
        <v>8.2500000000000004E-2</v>
      </c>
    </row>
    <row r="567" spans="1:10" ht="15" customHeight="1" x14ac:dyDescent="0.2">
      <c r="A567" s="4">
        <v>566</v>
      </c>
      <c r="B567" s="4">
        <v>142</v>
      </c>
      <c r="C567" s="4" t="s">
        <v>232</v>
      </c>
      <c r="D567" s="4" t="s">
        <v>918</v>
      </c>
      <c r="E567" s="4">
        <v>100</v>
      </c>
      <c r="F567" s="4" t="s">
        <v>917</v>
      </c>
      <c r="G567" s="4">
        <f>E567*VLOOKUP(B567,alimentos_master!$A:$M,13,FALSE())/100</f>
        <v>249.4</v>
      </c>
      <c r="H567" s="4">
        <f>E567*VLOOKUP(B567,alimentos_master!$A:$N,14,FALSE())/100</f>
        <v>1.76</v>
      </c>
      <c r="I567" s="4">
        <f>E567*VLOOKUP(B567,alimentos_master!$A:$O,15,FALSE())/100</f>
        <v>22.11</v>
      </c>
      <c r="J567" s="4">
        <f>E567*VLOOKUP(B567,alimentos_master!$A:$R,18,FALSE())/100</f>
        <v>0.11</v>
      </c>
    </row>
    <row r="568" spans="1:10" ht="15" customHeight="1" x14ac:dyDescent="0.2">
      <c r="A568" s="4">
        <v>567</v>
      </c>
      <c r="B568" s="4">
        <v>142</v>
      </c>
      <c r="C568" s="4" t="s">
        <v>232</v>
      </c>
      <c r="D568" s="4" t="s">
        <v>919</v>
      </c>
      <c r="E568" s="4">
        <v>150</v>
      </c>
      <c r="F568" s="4" t="s">
        <v>917</v>
      </c>
      <c r="G568" s="4">
        <f>E568*VLOOKUP(B568,alimentos_master!$A:$M,13,FALSE())/100</f>
        <v>374.1</v>
      </c>
      <c r="H568" s="4">
        <f>E568*VLOOKUP(B568,alimentos_master!$A:$N,14,FALSE())/100</f>
        <v>2.64</v>
      </c>
      <c r="I568" s="4">
        <f>E568*VLOOKUP(B568,alimentos_master!$A:$O,15,FALSE())/100</f>
        <v>33.164999999999999</v>
      </c>
      <c r="J568" s="4">
        <f>E568*VLOOKUP(B568,alimentos_master!$A:$R,18,FALSE())/100</f>
        <v>0.16500000000000001</v>
      </c>
    </row>
    <row r="569" spans="1:10" ht="15" customHeight="1" x14ac:dyDescent="0.2">
      <c r="A569" s="4">
        <v>568</v>
      </c>
      <c r="B569" s="4">
        <v>142</v>
      </c>
      <c r="C569" s="4" t="s">
        <v>232</v>
      </c>
      <c r="D569" s="4" t="s">
        <v>920</v>
      </c>
      <c r="E569" s="4">
        <v>200</v>
      </c>
      <c r="F569" s="4" t="s">
        <v>917</v>
      </c>
      <c r="G569" s="4">
        <f>E569*VLOOKUP(B569,alimentos_master!$A:$M,13,FALSE())/100</f>
        <v>498.8</v>
      </c>
      <c r="H569" s="4">
        <f>E569*VLOOKUP(B569,alimentos_master!$A:$N,14,FALSE())/100</f>
        <v>3.52</v>
      </c>
      <c r="I569" s="4">
        <f>E569*VLOOKUP(B569,alimentos_master!$A:$O,15,FALSE())/100</f>
        <v>44.22</v>
      </c>
      <c r="J569" s="4">
        <f>E569*VLOOKUP(B569,alimentos_master!$A:$R,18,FALSE())/100</f>
        <v>0.22</v>
      </c>
    </row>
    <row r="570" spans="1:10" ht="15" customHeight="1" x14ac:dyDescent="0.2">
      <c r="A570" s="4">
        <v>569</v>
      </c>
      <c r="B570" s="4">
        <v>143</v>
      </c>
      <c r="C570" s="4" t="s">
        <v>233</v>
      </c>
      <c r="D570" s="4" t="s">
        <v>916</v>
      </c>
      <c r="E570" s="4">
        <v>75</v>
      </c>
      <c r="F570" s="4" t="s">
        <v>917</v>
      </c>
      <c r="G570" s="4" t="e">
        <f>E570*VLOOKUP(B570,alimentos_master!$A:$M,13,FALSE())/100</f>
        <v>#N/A</v>
      </c>
      <c r="H570" s="4" t="e">
        <f>E570*VLOOKUP(B570,alimentos_master!$A:$N,14,FALSE())/100</f>
        <v>#N/A</v>
      </c>
      <c r="I570" s="4" t="e">
        <f>E570*VLOOKUP(B570,alimentos_master!$A:$O,15,FALSE())/100</f>
        <v>#N/A</v>
      </c>
      <c r="J570" s="4" t="e">
        <f>E570*VLOOKUP(B570,alimentos_master!$A:$R,18,FALSE())/100</f>
        <v>#N/A</v>
      </c>
    </row>
    <row r="571" spans="1:10" ht="15" customHeight="1" x14ac:dyDescent="0.2">
      <c r="A571" s="4">
        <v>570</v>
      </c>
      <c r="B571" s="4">
        <v>143</v>
      </c>
      <c r="C571" s="4" t="s">
        <v>233</v>
      </c>
      <c r="D571" s="4" t="s">
        <v>918</v>
      </c>
      <c r="E571" s="4">
        <v>100</v>
      </c>
      <c r="F571" s="4" t="s">
        <v>917</v>
      </c>
      <c r="G571" s="4" t="e">
        <f>E571*VLOOKUP(B571,alimentos_master!$A:$M,13,FALSE())/100</f>
        <v>#N/A</v>
      </c>
      <c r="H571" s="4" t="e">
        <f>E571*VLOOKUP(B571,alimentos_master!$A:$N,14,FALSE())/100</f>
        <v>#N/A</v>
      </c>
      <c r="I571" s="4" t="e">
        <f>E571*VLOOKUP(B571,alimentos_master!$A:$O,15,FALSE())/100</f>
        <v>#N/A</v>
      </c>
      <c r="J571" s="4" t="e">
        <f>E571*VLOOKUP(B571,alimentos_master!$A:$R,18,FALSE())/100</f>
        <v>#N/A</v>
      </c>
    </row>
    <row r="572" spans="1:10" ht="15" customHeight="1" x14ac:dyDescent="0.2">
      <c r="A572" s="4">
        <v>571</v>
      </c>
      <c r="B572" s="4">
        <v>143</v>
      </c>
      <c r="C572" s="4" t="s">
        <v>233</v>
      </c>
      <c r="D572" s="4" t="s">
        <v>919</v>
      </c>
      <c r="E572" s="4">
        <v>150</v>
      </c>
      <c r="F572" s="4" t="s">
        <v>917</v>
      </c>
      <c r="G572" s="4" t="e">
        <f>E572*VLOOKUP(B572,alimentos_master!$A:$M,13,FALSE())/100</f>
        <v>#N/A</v>
      </c>
      <c r="H572" s="4" t="e">
        <f>E572*VLOOKUP(B572,alimentos_master!$A:$N,14,FALSE())/100</f>
        <v>#N/A</v>
      </c>
      <c r="I572" s="4" t="e">
        <f>E572*VLOOKUP(B572,alimentos_master!$A:$O,15,FALSE())/100</f>
        <v>#N/A</v>
      </c>
      <c r="J572" s="4" t="e">
        <f>E572*VLOOKUP(B572,alimentos_master!$A:$R,18,FALSE())/100</f>
        <v>#N/A</v>
      </c>
    </row>
    <row r="573" spans="1:10" ht="15" customHeight="1" x14ac:dyDescent="0.2">
      <c r="A573" s="4">
        <v>572</v>
      </c>
      <c r="B573" s="4">
        <v>143</v>
      </c>
      <c r="C573" s="4" t="s">
        <v>233</v>
      </c>
      <c r="D573" s="4" t="s">
        <v>920</v>
      </c>
      <c r="E573" s="4">
        <v>200</v>
      </c>
      <c r="F573" s="4" t="s">
        <v>917</v>
      </c>
      <c r="G573" s="4" t="e">
        <f>E573*VLOOKUP(B573,alimentos_master!$A:$M,13,FALSE())/100</f>
        <v>#N/A</v>
      </c>
      <c r="H573" s="4" t="e">
        <f>E573*VLOOKUP(B573,alimentos_master!$A:$N,14,FALSE())/100</f>
        <v>#N/A</v>
      </c>
      <c r="I573" s="4" t="e">
        <f>E573*VLOOKUP(B573,alimentos_master!$A:$O,15,FALSE())/100</f>
        <v>#N/A</v>
      </c>
      <c r="J573" s="4" t="e">
        <f>E573*VLOOKUP(B573,alimentos_master!$A:$R,18,FALSE())/100</f>
        <v>#N/A</v>
      </c>
    </row>
    <row r="574" spans="1:10" ht="15" customHeight="1" x14ac:dyDescent="0.2">
      <c r="A574" s="4">
        <v>573</v>
      </c>
      <c r="B574" s="4">
        <v>144</v>
      </c>
      <c r="C574" s="4" t="s">
        <v>234</v>
      </c>
      <c r="D574" s="4" t="s">
        <v>916</v>
      </c>
      <c r="E574" s="4">
        <v>75</v>
      </c>
      <c r="F574" s="4" t="s">
        <v>917</v>
      </c>
      <c r="G574" s="4" t="e">
        <f>E574*VLOOKUP(B574,alimentos_master!$A:$M,13,FALSE())/100</f>
        <v>#N/A</v>
      </c>
      <c r="H574" s="4" t="e">
        <f>E574*VLOOKUP(B574,alimentos_master!$A:$N,14,FALSE())/100</f>
        <v>#N/A</v>
      </c>
      <c r="I574" s="4" t="e">
        <f>E574*VLOOKUP(B574,alimentos_master!$A:$O,15,FALSE())/100</f>
        <v>#N/A</v>
      </c>
      <c r="J574" s="4" t="e">
        <f>E574*VLOOKUP(B574,alimentos_master!$A:$R,18,FALSE())/100</f>
        <v>#N/A</v>
      </c>
    </row>
    <row r="575" spans="1:10" ht="15" customHeight="1" x14ac:dyDescent="0.2">
      <c r="A575" s="4">
        <v>574</v>
      </c>
      <c r="B575" s="4">
        <v>144</v>
      </c>
      <c r="C575" s="4" t="s">
        <v>234</v>
      </c>
      <c r="D575" s="4" t="s">
        <v>918</v>
      </c>
      <c r="E575" s="4">
        <v>100</v>
      </c>
      <c r="F575" s="4" t="s">
        <v>917</v>
      </c>
      <c r="G575" s="4" t="e">
        <f>E575*VLOOKUP(B575,alimentos_master!$A:$M,13,FALSE())/100</f>
        <v>#N/A</v>
      </c>
      <c r="H575" s="4" t="e">
        <f>E575*VLOOKUP(B575,alimentos_master!$A:$N,14,FALSE())/100</f>
        <v>#N/A</v>
      </c>
      <c r="I575" s="4" t="e">
        <f>E575*VLOOKUP(B575,alimentos_master!$A:$O,15,FALSE())/100</f>
        <v>#N/A</v>
      </c>
      <c r="J575" s="4" t="e">
        <f>E575*VLOOKUP(B575,alimentos_master!$A:$R,18,FALSE())/100</f>
        <v>#N/A</v>
      </c>
    </row>
    <row r="576" spans="1:10" ht="15" customHeight="1" x14ac:dyDescent="0.2">
      <c r="A576" s="4">
        <v>575</v>
      </c>
      <c r="B576" s="4">
        <v>144</v>
      </c>
      <c r="C576" s="4" t="s">
        <v>234</v>
      </c>
      <c r="D576" s="4" t="s">
        <v>919</v>
      </c>
      <c r="E576" s="4">
        <v>150</v>
      </c>
      <c r="F576" s="4" t="s">
        <v>917</v>
      </c>
      <c r="G576" s="4" t="e">
        <f>E576*VLOOKUP(B576,alimentos_master!$A:$M,13,FALSE())/100</f>
        <v>#N/A</v>
      </c>
      <c r="H576" s="4" t="e">
        <f>E576*VLOOKUP(B576,alimentos_master!$A:$N,14,FALSE())/100</f>
        <v>#N/A</v>
      </c>
      <c r="I576" s="4" t="e">
        <f>E576*VLOOKUP(B576,alimentos_master!$A:$O,15,FALSE())/100</f>
        <v>#N/A</v>
      </c>
      <c r="J576" s="4" t="e">
        <f>E576*VLOOKUP(B576,alimentos_master!$A:$R,18,FALSE())/100</f>
        <v>#N/A</v>
      </c>
    </row>
    <row r="577" spans="1:10" ht="15" customHeight="1" x14ac:dyDescent="0.2">
      <c r="A577" s="4">
        <v>576</v>
      </c>
      <c r="B577" s="4">
        <v>144</v>
      </c>
      <c r="C577" s="4" t="s">
        <v>234</v>
      </c>
      <c r="D577" s="4" t="s">
        <v>920</v>
      </c>
      <c r="E577" s="4">
        <v>200</v>
      </c>
      <c r="F577" s="4" t="s">
        <v>917</v>
      </c>
      <c r="G577" s="4" t="e">
        <f>E577*VLOOKUP(B577,alimentos_master!$A:$M,13,FALSE())/100</f>
        <v>#N/A</v>
      </c>
      <c r="H577" s="4" t="e">
        <f>E577*VLOOKUP(B577,alimentos_master!$A:$N,14,FALSE())/100</f>
        <v>#N/A</v>
      </c>
      <c r="I577" s="4" t="e">
        <f>E577*VLOOKUP(B577,alimentos_master!$A:$O,15,FALSE())/100</f>
        <v>#N/A</v>
      </c>
      <c r="J577" s="4" t="e">
        <f>E577*VLOOKUP(B577,alimentos_master!$A:$R,18,FALSE())/100</f>
        <v>#N/A</v>
      </c>
    </row>
    <row r="578" spans="1:10" ht="15" customHeight="1" x14ac:dyDescent="0.2">
      <c r="A578" s="4">
        <v>577</v>
      </c>
      <c r="B578" s="4">
        <v>145</v>
      </c>
      <c r="C578" s="4" t="s">
        <v>235</v>
      </c>
      <c r="D578" s="4" t="s">
        <v>916</v>
      </c>
      <c r="E578" s="4">
        <v>75</v>
      </c>
      <c r="F578" s="4" t="s">
        <v>917</v>
      </c>
      <c r="G578" s="4">
        <f>E578*VLOOKUP(B578,alimentos_master!$A:$M,13,FALSE())/100</f>
        <v>120</v>
      </c>
      <c r="H578" s="4">
        <f>E578*VLOOKUP(B578,alimentos_master!$A:$N,14,FALSE())/100</f>
        <v>1.05</v>
      </c>
      <c r="I578" s="4">
        <f>E578*VLOOKUP(B578,alimentos_master!$A:$O,15,FALSE())/100</f>
        <v>28.5</v>
      </c>
      <c r="J578" s="4">
        <f>E578*VLOOKUP(B578,alimentos_master!$A:$R,18,FALSE())/100</f>
        <v>0.22500000000000001</v>
      </c>
    </row>
    <row r="579" spans="1:10" ht="15" customHeight="1" x14ac:dyDescent="0.2">
      <c r="A579" s="4">
        <v>578</v>
      </c>
      <c r="B579" s="4">
        <v>145</v>
      </c>
      <c r="C579" s="4" t="s">
        <v>235</v>
      </c>
      <c r="D579" s="4" t="s">
        <v>918</v>
      </c>
      <c r="E579" s="4">
        <v>100</v>
      </c>
      <c r="F579" s="4" t="s">
        <v>917</v>
      </c>
      <c r="G579" s="4">
        <f>E579*VLOOKUP(B579,alimentos_master!$A:$M,13,FALSE())/100</f>
        <v>160</v>
      </c>
      <c r="H579" s="4">
        <f>E579*VLOOKUP(B579,alimentos_master!$A:$N,14,FALSE())/100</f>
        <v>1.4</v>
      </c>
      <c r="I579" s="4">
        <f>E579*VLOOKUP(B579,alimentos_master!$A:$O,15,FALSE())/100</f>
        <v>38</v>
      </c>
      <c r="J579" s="4">
        <f>E579*VLOOKUP(B579,alimentos_master!$A:$R,18,FALSE())/100</f>
        <v>0.3</v>
      </c>
    </row>
    <row r="580" spans="1:10" ht="15" customHeight="1" x14ac:dyDescent="0.2">
      <c r="A580" s="4">
        <v>579</v>
      </c>
      <c r="B580" s="4">
        <v>145</v>
      </c>
      <c r="C580" s="4" t="s">
        <v>235</v>
      </c>
      <c r="D580" s="4" t="s">
        <v>919</v>
      </c>
      <c r="E580" s="4">
        <v>150</v>
      </c>
      <c r="F580" s="4" t="s">
        <v>917</v>
      </c>
      <c r="G580" s="4">
        <f>E580*VLOOKUP(B580,alimentos_master!$A:$M,13,FALSE())/100</f>
        <v>240</v>
      </c>
      <c r="H580" s="4">
        <f>E580*VLOOKUP(B580,alimentos_master!$A:$N,14,FALSE())/100</f>
        <v>2.1</v>
      </c>
      <c r="I580" s="4">
        <f>E580*VLOOKUP(B580,alimentos_master!$A:$O,15,FALSE())/100</f>
        <v>57</v>
      </c>
      <c r="J580" s="4">
        <f>E580*VLOOKUP(B580,alimentos_master!$A:$R,18,FALSE())/100</f>
        <v>0.45</v>
      </c>
    </row>
    <row r="581" spans="1:10" ht="15" customHeight="1" x14ac:dyDescent="0.2">
      <c r="A581" s="4">
        <v>580</v>
      </c>
      <c r="B581" s="4">
        <v>145</v>
      </c>
      <c r="C581" s="4" t="s">
        <v>235</v>
      </c>
      <c r="D581" s="4" t="s">
        <v>920</v>
      </c>
      <c r="E581" s="4">
        <v>200</v>
      </c>
      <c r="F581" s="4" t="s">
        <v>917</v>
      </c>
      <c r="G581" s="4">
        <f>E581*VLOOKUP(B581,alimentos_master!$A:$M,13,FALSE())/100</f>
        <v>320</v>
      </c>
      <c r="H581" s="4">
        <f>E581*VLOOKUP(B581,alimentos_master!$A:$N,14,FALSE())/100</f>
        <v>2.8</v>
      </c>
      <c r="I581" s="4">
        <f>E581*VLOOKUP(B581,alimentos_master!$A:$O,15,FALSE())/100</f>
        <v>76</v>
      </c>
      <c r="J581" s="4">
        <f>E581*VLOOKUP(B581,alimentos_master!$A:$R,18,FALSE())/100</f>
        <v>0.6</v>
      </c>
    </row>
    <row r="582" spans="1:10" ht="15" customHeight="1" x14ac:dyDescent="0.2">
      <c r="A582" s="4">
        <v>581</v>
      </c>
      <c r="B582" s="4">
        <v>146</v>
      </c>
      <c r="C582" s="4" t="s">
        <v>237</v>
      </c>
      <c r="D582" s="4" t="s">
        <v>916</v>
      </c>
      <c r="E582" s="4">
        <v>75</v>
      </c>
      <c r="F582" s="4" t="s">
        <v>917</v>
      </c>
      <c r="G582" s="4" t="e">
        <f>E582*VLOOKUP(B582,alimentos_master!$A:$M,13,FALSE())/100</f>
        <v>#N/A</v>
      </c>
      <c r="H582" s="4" t="e">
        <f>E582*VLOOKUP(B582,alimentos_master!$A:$N,14,FALSE())/100</f>
        <v>#N/A</v>
      </c>
      <c r="I582" s="4" t="e">
        <f>E582*VLOOKUP(B582,alimentos_master!$A:$O,15,FALSE())/100</f>
        <v>#N/A</v>
      </c>
      <c r="J582" s="4" t="e">
        <f>E582*VLOOKUP(B582,alimentos_master!$A:$R,18,FALSE())/100</f>
        <v>#N/A</v>
      </c>
    </row>
    <row r="583" spans="1:10" ht="15" customHeight="1" x14ac:dyDescent="0.2">
      <c r="A583" s="4">
        <v>582</v>
      </c>
      <c r="B583" s="4">
        <v>146</v>
      </c>
      <c r="C583" s="4" t="s">
        <v>237</v>
      </c>
      <c r="D583" s="4" t="s">
        <v>918</v>
      </c>
      <c r="E583" s="4">
        <v>100</v>
      </c>
      <c r="F583" s="4" t="s">
        <v>917</v>
      </c>
      <c r="G583" s="4" t="e">
        <f>E583*VLOOKUP(B583,alimentos_master!$A:$M,13,FALSE())/100</f>
        <v>#N/A</v>
      </c>
      <c r="H583" s="4" t="e">
        <f>E583*VLOOKUP(B583,alimentos_master!$A:$N,14,FALSE())/100</f>
        <v>#N/A</v>
      </c>
      <c r="I583" s="4" t="e">
        <f>E583*VLOOKUP(B583,alimentos_master!$A:$O,15,FALSE())/100</f>
        <v>#N/A</v>
      </c>
      <c r="J583" s="4" t="e">
        <f>E583*VLOOKUP(B583,alimentos_master!$A:$R,18,FALSE())/100</f>
        <v>#N/A</v>
      </c>
    </row>
    <row r="584" spans="1:10" ht="15" customHeight="1" x14ac:dyDescent="0.2">
      <c r="A584" s="4">
        <v>583</v>
      </c>
      <c r="B584" s="4">
        <v>146</v>
      </c>
      <c r="C584" s="4" t="s">
        <v>237</v>
      </c>
      <c r="D584" s="4" t="s">
        <v>919</v>
      </c>
      <c r="E584" s="4">
        <v>150</v>
      </c>
      <c r="F584" s="4" t="s">
        <v>917</v>
      </c>
      <c r="G584" s="4" t="e">
        <f>E584*VLOOKUP(B584,alimentos_master!$A:$M,13,FALSE())/100</f>
        <v>#N/A</v>
      </c>
      <c r="H584" s="4" t="e">
        <f>E584*VLOOKUP(B584,alimentos_master!$A:$N,14,FALSE())/100</f>
        <v>#N/A</v>
      </c>
      <c r="I584" s="4" t="e">
        <f>E584*VLOOKUP(B584,alimentos_master!$A:$O,15,FALSE())/100</f>
        <v>#N/A</v>
      </c>
      <c r="J584" s="4" t="e">
        <f>E584*VLOOKUP(B584,alimentos_master!$A:$R,18,FALSE())/100</f>
        <v>#N/A</v>
      </c>
    </row>
    <row r="585" spans="1:10" ht="15" customHeight="1" x14ac:dyDescent="0.2">
      <c r="A585" s="4">
        <v>584</v>
      </c>
      <c r="B585" s="4">
        <v>146</v>
      </c>
      <c r="C585" s="4" t="s">
        <v>237</v>
      </c>
      <c r="D585" s="4" t="s">
        <v>920</v>
      </c>
      <c r="E585" s="4">
        <v>200</v>
      </c>
      <c r="F585" s="4" t="s">
        <v>917</v>
      </c>
      <c r="G585" s="4" t="e">
        <f>E585*VLOOKUP(B585,alimentos_master!$A:$M,13,FALSE())/100</f>
        <v>#N/A</v>
      </c>
      <c r="H585" s="4" t="e">
        <f>E585*VLOOKUP(B585,alimentos_master!$A:$N,14,FALSE())/100</f>
        <v>#N/A</v>
      </c>
      <c r="I585" s="4" t="e">
        <f>E585*VLOOKUP(B585,alimentos_master!$A:$O,15,FALSE())/100</f>
        <v>#N/A</v>
      </c>
      <c r="J585" s="4" t="e">
        <f>E585*VLOOKUP(B585,alimentos_master!$A:$R,18,FALSE())/100</f>
        <v>#N/A</v>
      </c>
    </row>
    <row r="586" spans="1:10" ht="15" customHeight="1" x14ac:dyDescent="0.2">
      <c r="A586" s="4">
        <v>585</v>
      </c>
      <c r="B586" s="4">
        <v>147</v>
      </c>
      <c r="C586" s="4" t="s">
        <v>238</v>
      </c>
      <c r="D586" s="4" t="s">
        <v>916</v>
      </c>
      <c r="E586" s="4">
        <v>75</v>
      </c>
      <c r="F586" s="4" t="s">
        <v>917</v>
      </c>
      <c r="G586" s="4" t="e">
        <f>E586*VLOOKUP(B586,alimentos_master!$A:$M,13,FALSE())/100</f>
        <v>#N/A</v>
      </c>
      <c r="H586" s="4" t="e">
        <f>E586*VLOOKUP(B586,alimentos_master!$A:$N,14,FALSE())/100</f>
        <v>#N/A</v>
      </c>
      <c r="I586" s="4" t="e">
        <f>E586*VLOOKUP(B586,alimentos_master!$A:$O,15,FALSE())/100</f>
        <v>#N/A</v>
      </c>
      <c r="J586" s="4" t="e">
        <f>E586*VLOOKUP(B586,alimentos_master!$A:$R,18,FALSE())/100</f>
        <v>#N/A</v>
      </c>
    </row>
    <row r="587" spans="1:10" ht="15" customHeight="1" x14ac:dyDescent="0.2">
      <c r="A587" s="4">
        <v>586</v>
      </c>
      <c r="B587" s="4">
        <v>147</v>
      </c>
      <c r="C587" s="4" t="s">
        <v>238</v>
      </c>
      <c r="D587" s="4" t="s">
        <v>918</v>
      </c>
      <c r="E587" s="4">
        <v>100</v>
      </c>
      <c r="F587" s="4" t="s">
        <v>917</v>
      </c>
      <c r="G587" s="4" t="e">
        <f>E587*VLOOKUP(B587,alimentos_master!$A:$M,13,FALSE())/100</f>
        <v>#N/A</v>
      </c>
      <c r="H587" s="4" t="e">
        <f>E587*VLOOKUP(B587,alimentos_master!$A:$N,14,FALSE())/100</f>
        <v>#N/A</v>
      </c>
      <c r="I587" s="4" t="e">
        <f>E587*VLOOKUP(B587,alimentos_master!$A:$O,15,FALSE())/100</f>
        <v>#N/A</v>
      </c>
      <c r="J587" s="4" t="e">
        <f>E587*VLOOKUP(B587,alimentos_master!$A:$R,18,FALSE())/100</f>
        <v>#N/A</v>
      </c>
    </row>
    <row r="588" spans="1:10" ht="15" customHeight="1" x14ac:dyDescent="0.2">
      <c r="A588" s="4">
        <v>587</v>
      </c>
      <c r="B588" s="4">
        <v>147</v>
      </c>
      <c r="C588" s="4" t="s">
        <v>238</v>
      </c>
      <c r="D588" s="4" t="s">
        <v>919</v>
      </c>
      <c r="E588" s="4">
        <v>150</v>
      </c>
      <c r="F588" s="4" t="s">
        <v>917</v>
      </c>
      <c r="G588" s="4" t="e">
        <f>E588*VLOOKUP(B588,alimentos_master!$A:$M,13,FALSE())/100</f>
        <v>#N/A</v>
      </c>
      <c r="H588" s="4" t="e">
        <f>E588*VLOOKUP(B588,alimentos_master!$A:$N,14,FALSE())/100</f>
        <v>#N/A</v>
      </c>
      <c r="I588" s="4" t="e">
        <f>E588*VLOOKUP(B588,alimentos_master!$A:$O,15,FALSE())/100</f>
        <v>#N/A</v>
      </c>
      <c r="J588" s="4" t="e">
        <f>E588*VLOOKUP(B588,alimentos_master!$A:$R,18,FALSE())/100</f>
        <v>#N/A</v>
      </c>
    </row>
    <row r="589" spans="1:10" ht="15" customHeight="1" x14ac:dyDescent="0.2">
      <c r="A589" s="4">
        <v>588</v>
      </c>
      <c r="B589" s="4">
        <v>147</v>
      </c>
      <c r="C589" s="4" t="s">
        <v>238</v>
      </c>
      <c r="D589" s="4" t="s">
        <v>920</v>
      </c>
      <c r="E589" s="4">
        <v>200</v>
      </c>
      <c r="F589" s="4" t="s">
        <v>917</v>
      </c>
      <c r="G589" s="4" t="e">
        <f>E589*VLOOKUP(B589,alimentos_master!$A:$M,13,FALSE())/100</f>
        <v>#N/A</v>
      </c>
      <c r="H589" s="4" t="e">
        <f>E589*VLOOKUP(B589,alimentos_master!$A:$N,14,FALSE())/100</f>
        <v>#N/A</v>
      </c>
      <c r="I589" s="4" t="e">
        <f>E589*VLOOKUP(B589,alimentos_master!$A:$O,15,FALSE())/100</f>
        <v>#N/A</v>
      </c>
      <c r="J589" s="4" t="e">
        <f>E589*VLOOKUP(B589,alimentos_master!$A:$R,18,FALSE())/100</f>
        <v>#N/A</v>
      </c>
    </row>
    <row r="590" spans="1:10" ht="15" customHeight="1" x14ac:dyDescent="0.2">
      <c r="A590" s="4">
        <v>589</v>
      </c>
      <c r="B590" s="4">
        <v>148</v>
      </c>
      <c r="C590" s="4" t="s">
        <v>239</v>
      </c>
      <c r="D590" s="4" t="s">
        <v>916</v>
      </c>
      <c r="E590" s="4">
        <v>75</v>
      </c>
      <c r="F590" s="4" t="s">
        <v>917</v>
      </c>
      <c r="G590" s="4">
        <f>E590*VLOOKUP(B590,alimentos_master!$A:$M,13,FALSE())/100</f>
        <v>126</v>
      </c>
      <c r="H590" s="4">
        <f>E590*VLOOKUP(B590,alimentos_master!$A:$N,14,FALSE())/100</f>
        <v>1.05</v>
      </c>
      <c r="I590" s="4">
        <f>E590*VLOOKUP(B590,alimentos_master!$A:$O,15,FALSE())/100</f>
        <v>28.5</v>
      </c>
      <c r="J590" s="4">
        <f>E590*VLOOKUP(B590,alimentos_master!$A:$R,18,FALSE())/100</f>
        <v>0.22500000000000001</v>
      </c>
    </row>
    <row r="591" spans="1:10" ht="15" customHeight="1" x14ac:dyDescent="0.2">
      <c r="A591" s="4">
        <v>590</v>
      </c>
      <c r="B591" s="4">
        <v>148</v>
      </c>
      <c r="C591" s="4" t="s">
        <v>239</v>
      </c>
      <c r="D591" s="4" t="s">
        <v>918</v>
      </c>
      <c r="E591" s="4">
        <v>100</v>
      </c>
      <c r="F591" s="4" t="s">
        <v>917</v>
      </c>
      <c r="G591" s="4">
        <f>E591*VLOOKUP(B591,alimentos_master!$A:$M,13,FALSE())/100</f>
        <v>168</v>
      </c>
      <c r="H591" s="4">
        <f>E591*VLOOKUP(B591,alimentos_master!$A:$N,14,FALSE())/100</f>
        <v>1.4</v>
      </c>
      <c r="I591" s="4">
        <f>E591*VLOOKUP(B591,alimentos_master!$A:$O,15,FALSE())/100</f>
        <v>38</v>
      </c>
      <c r="J591" s="4">
        <f>E591*VLOOKUP(B591,alimentos_master!$A:$R,18,FALSE())/100</f>
        <v>0.3</v>
      </c>
    </row>
    <row r="592" spans="1:10" ht="15" customHeight="1" x14ac:dyDescent="0.2">
      <c r="A592" s="4">
        <v>591</v>
      </c>
      <c r="B592" s="4">
        <v>148</v>
      </c>
      <c r="C592" s="4" t="s">
        <v>239</v>
      </c>
      <c r="D592" s="4" t="s">
        <v>919</v>
      </c>
      <c r="E592" s="4">
        <v>150</v>
      </c>
      <c r="F592" s="4" t="s">
        <v>917</v>
      </c>
      <c r="G592" s="4">
        <f>E592*VLOOKUP(B592,alimentos_master!$A:$M,13,FALSE())/100</f>
        <v>252</v>
      </c>
      <c r="H592" s="4">
        <f>E592*VLOOKUP(B592,alimentos_master!$A:$N,14,FALSE())/100</f>
        <v>2.1</v>
      </c>
      <c r="I592" s="4">
        <f>E592*VLOOKUP(B592,alimentos_master!$A:$O,15,FALSE())/100</f>
        <v>57</v>
      </c>
      <c r="J592" s="4">
        <f>E592*VLOOKUP(B592,alimentos_master!$A:$R,18,FALSE())/100</f>
        <v>0.45</v>
      </c>
    </row>
    <row r="593" spans="1:10" ht="15" customHeight="1" x14ac:dyDescent="0.2">
      <c r="A593" s="4">
        <v>592</v>
      </c>
      <c r="B593" s="4">
        <v>148</v>
      </c>
      <c r="C593" s="4" t="s">
        <v>239</v>
      </c>
      <c r="D593" s="4" t="s">
        <v>920</v>
      </c>
      <c r="E593" s="4">
        <v>200</v>
      </c>
      <c r="F593" s="4" t="s">
        <v>917</v>
      </c>
      <c r="G593" s="4">
        <f>E593*VLOOKUP(B593,alimentos_master!$A:$M,13,FALSE())/100</f>
        <v>336</v>
      </c>
      <c r="H593" s="4">
        <f>E593*VLOOKUP(B593,alimentos_master!$A:$N,14,FALSE())/100</f>
        <v>2.8</v>
      </c>
      <c r="I593" s="4">
        <f>E593*VLOOKUP(B593,alimentos_master!$A:$O,15,FALSE())/100</f>
        <v>76</v>
      </c>
      <c r="J593" s="4">
        <f>E593*VLOOKUP(B593,alimentos_master!$A:$R,18,FALSE())/100</f>
        <v>0.6</v>
      </c>
    </row>
    <row r="594" spans="1:10" ht="15" customHeight="1" x14ac:dyDescent="0.2">
      <c r="A594" s="4">
        <v>593</v>
      </c>
      <c r="B594" s="4">
        <v>149</v>
      </c>
      <c r="C594" s="4" t="s">
        <v>240</v>
      </c>
      <c r="D594" s="4" t="s">
        <v>916</v>
      </c>
      <c r="E594" s="4">
        <v>75</v>
      </c>
      <c r="F594" s="4" t="s">
        <v>917</v>
      </c>
      <c r="G594" s="4" t="e">
        <f>E594*VLOOKUP(B594,alimentos_master!$A:$M,13,FALSE())/100</f>
        <v>#N/A</v>
      </c>
      <c r="H594" s="4" t="e">
        <f>E594*VLOOKUP(B594,alimentos_master!$A:$N,14,FALSE())/100</f>
        <v>#N/A</v>
      </c>
      <c r="I594" s="4" t="e">
        <f>E594*VLOOKUP(B594,alimentos_master!$A:$O,15,FALSE())/100</f>
        <v>#N/A</v>
      </c>
      <c r="J594" s="4" t="e">
        <f>E594*VLOOKUP(B594,alimentos_master!$A:$R,18,FALSE())/100</f>
        <v>#N/A</v>
      </c>
    </row>
    <row r="595" spans="1:10" ht="15" customHeight="1" x14ac:dyDescent="0.2">
      <c r="A595" s="4">
        <v>594</v>
      </c>
      <c r="B595" s="4">
        <v>149</v>
      </c>
      <c r="C595" s="4" t="s">
        <v>240</v>
      </c>
      <c r="D595" s="4" t="s">
        <v>918</v>
      </c>
      <c r="E595" s="4">
        <v>100</v>
      </c>
      <c r="F595" s="4" t="s">
        <v>917</v>
      </c>
      <c r="G595" s="4" t="e">
        <f>E595*VLOOKUP(B595,alimentos_master!$A:$M,13,FALSE())/100</f>
        <v>#N/A</v>
      </c>
      <c r="H595" s="4" t="e">
        <f>E595*VLOOKUP(B595,alimentos_master!$A:$N,14,FALSE())/100</f>
        <v>#N/A</v>
      </c>
      <c r="I595" s="4" t="e">
        <f>E595*VLOOKUP(B595,alimentos_master!$A:$O,15,FALSE())/100</f>
        <v>#N/A</v>
      </c>
      <c r="J595" s="4" t="e">
        <f>E595*VLOOKUP(B595,alimentos_master!$A:$R,18,FALSE())/100</f>
        <v>#N/A</v>
      </c>
    </row>
    <row r="596" spans="1:10" ht="15" customHeight="1" x14ac:dyDescent="0.2">
      <c r="A596" s="4">
        <v>595</v>
      </c>
      <c r="B596" s="4">
        <v>149</v>
      </c>
      <c r="C596" s="4" t="s">
        <v>240</v>
      </c>
      <c r="D596" s="4" t="s">
        <v>919</v>
      </c>
      <c r="E596" s="4">
        <v>150</v>
      </c>
      <c r="F596" s="4" t="s">
        <v>917</v>
      </c>
      <c r="G596" s="4" t="e">
        <f>E596*VLOOKUP(B596,alimentos_master!$A:$M,13,FALSE())/100</f>
        <v>#N/A</v>
      </c>
      <c r="H596" s="4" t="e">
        <f>E596*VLOOKUP(B596,alimentos_master!$A:$N,14,FALSE())/100</f>
        <v>#N/A</v>
      </c>
      <c r="I596" s="4" t="e">
        <f>E596*VLOOKUP(B596,alimentos_master!$A:$O,15,FALSE())/100</f>
        <v>#N/A</v>
      </c>
      <c r="J596" s="4" t="e">
        <f>E596*VLOOKUP(B596,alimentos_master!$A:$R,18,FALSE())/100</f>
        <v>#N/A</v>
      </c>
    </row>
    <row r="597" spans="1:10" ht="15" customHeight="1" x14ac:dyDescent="0.2">
      <c r="A597" s="4">
        <v>596</v>
      </c>
      <c r="B597" s="4">
        <v>149</v>
      </c>
      <c r="C597" s="4" t="s">
        <v>240</v>
      </c>
      <c r="D597" s="4" t="s">
        <v>920</v>
      </c>
      <c r="E597" s="4">
        <v>200</v>
      </c>
      <c r="F597" s="4" t="s">
        <v>917</v>
      </c>
      <c r="G597" s="4" t="e">
        <f>E597*VLOOKUP(B597,alimentos_master!$A:$M,13,FALSE())/100</f>
        <v>#N/A</v>
      </c>
      <c r="H597" s="4" t="e">
        <f>E597*VLOOKUP(B597,alimentos_master!$A:$N,14,FALSE())/100</f>
        <v>#N/A</v>
      </c>
      <c r="I597" s="4" t="e">
        <f>E597*VLOOKUP(B597,alimentos_master!$A:$O,15,FALSE())/100</f>
        <v>#N/A</v>
      </c>
      <c r="J597" s="4" t="e">
        <f>E597*VLOOKUP(B597,alimentos_master!$A:$R,18,FALSE())/100</f>
        <v>#N/A</v>
      </c>
    </row>
    <row r="598" spans="1:10" ht="15" customHeight="1" x14ac:dyDescent="0.2">
      <c r="A598" s="4">
        <v>597</v>
      </c>
      <c r="B598" s="4">
        <v>150</v>
      </c>
      <c r="C598" s="4" t="s">
        <v>241</v>
      </c>
      <c r="D598" s="4" t="s">
        <v>916</v>
      </c>
      <c r="E598" s="4">
        <v>75</v>
      </c>
      <c r="F598" s="4" t="s">
        <v>917</v>
      </c>
      <c r="G598" s="4" t="e">
        <f>E598*VLOOKUP(B598,alimentos_master!$A:$M,13,FALSE())/100</f>
        <v>#N/A</v>
      </c>
      <c r="H598" s="4" t="e">
        <f>E598*VLOOKUP(B598,alimentos_master!$A:$N,14,FALSE())/100</f>
        <v>#N/A</v>
      </c>
      <c r="I598" s="4" t="e">
        <f>E598*VLOOKUP(B598,alimentos_master!$A:$O,15,FALSE())/100</f>
        <v>#N/A</v>
      </c>
      <c r="J598" s="4" t="e">
        <f>E598*VLOOKUP(B598,alimentos_master!$A:$R,18,FALSE())/100</f>
        <v>#N/A</v>
      </c>
    </row>
    <row r="599" spans="1:10" ht="15" customHeight="1" x14ac:dyDescent="0.2">
      <c r="A599" s="4">
        <v>598</v>
      </c>
      <c r="B599" s="4">
        <v>150</v>
      </c>
      <c r="C599" s="4" t="s">
        <v>241</v>
      </c>
      <c r="D599" s="4" t="s">
        <v>918</v>
      </c>
      <c r="E599" s="4">
        <v>100</v>
      </c>
      <c r="F599" s="4" t="s">
        <v>917</v>
      </c>
      <c r="G599" s="4" t="e">
        <f>E599*VLOOKUP(B599,alimentos_master!$A:$M,13,FALSE())/100</f>
        <v>#N/A</v>
      </c>
      <c r="H599" s="4" t="e">
        <f>E599*VLOOKUP(B599,alimentos_master!$A:$N,14,FALSE())/100</f>
        <v>#N/A</v>
      </c>
      <c r="I599" s="4" t="e">
        <f>E599*VLOOKUP(B599,alimentos_master!$A:$O,15,FALSE())/100</f>
        <v>#N/A</v>
      </c>
      <c r="J599" s="4" t="e">
        <f>E599*VLOOKUP(B599,alimentos_master!$A:$R,18,FALSE())/100</f>
        <v>#N/A</v>
      </c>
    </row>
    <row r="600" spans="1:10" ht="15" customHeight="1" x14ac:dyDescent="0.2">
      <c r="A600" s="4">
        <v>599</v>
      </c>
      <c r="B600" s="4">
        <v>150</v>
      </c>
      <c r="C600" s="4" t="s">
        <v>241</v>
      </c>
      <c r="D600" s="4" t="s">
        <v>919</v>
      </c>
      <c r="E600" s="4">
        <v>150</v>
      </c>
      <c r="F600" s="4" t="s">
        <v>917</v>
      </c>
      <c r="G600" s="4" t="e">
        <f>E600*VLOOKUP(B600,alimentos_master!$A:$M,13,FALSE())/100</f>
        <v>#N/A</v>
      </c>
      <c r="H600" s="4" t="e">
        <f>E600*VLOOKUP(B600,alimentos_master!$A:$N,14,FALSE())/100</f>
        <v>#N/A</v>
      </c>
      <c r="I600" s="4" t="e">
        <f>E600*VLOOKUP(B600,alimentos_master!$A:$O,15,FALSE())/100</f>
        <v>#N/A</v>
      </c>
      <c r="J600" s="4" t="e">
        <f>E600*VLOOKUP(B600,alimentos_master!$A:$R,18,FALSE())/100</f>
        <v>#N/A</v>
      </c>
    </row>
    <row r="601" spans="1:10" ht="15" customHeight="1" x14ac:dyDescent="0.2">
      <c r="A601" s="4">
        <v>600</v>
      </c>
      <c r="B601" s="4">
        <v>150</v>
      </c>
      <c r="C601" s="4" t="s">
        <v>241</v>
      </c>
      <c r="D601" s="4" t="s">
        <v>920</v>
      </c>
      <c r="E601" s="4">
        <v>200</v>
      </c>
      <c r="F601" s="4" t="s">
        <v>917</v>
      </c>
      <c r="G601" s="4" t="e">
        <f>E601*VLOOKUP(B601,alimentos_master!$A:$M,13,FALSE())/100</f>
        <v>#N/A</v>
      </c>
      <c r="H601" s="4" t="e">
        <f>E601*VLOOKUP(B601,alimentos_master!$A:$N,14,FALSE())/100</f>
        <v>#N/A</v>
      </c>
      <c r="I601" s="4" t="e">
        <f>E601*VLOOKUP(B601,alimentos_master!$A:$O,15,FALSE())/100</f>
        <v>#N/A</v>
      </c>
      <c r="J601" s="4" t="e">
        <f>E601*VLOOKUP(B601,alimentos_master!$A:$R,18,FALSE())/100</f>
        <v>#N/A</v>
      </c>
    </row>
    <row r="602" spans="1:10" ht="15" customHeight="1" x14ac:dyDescent="0.2">
      <c r="A602" s="4">
        <v>601</v>
      </c>
      <c r="B602" s="4">
        <v>151</v>
      </c>
      <c r="C602" s="4" t="s">
        <v>242</v>
      </c>
      <c r="D602" s="4" t="s">
        <v>916</v>
      </c>
      <c r="E602" s="4">
        <v>75</v>
      </c>
      <c r="F602" s="4" t="s">
        <v>917</v>
      </c>
      <c r="G602" s="4">
        <f>E602*VLOOKUP(B602,alimentos_master!$A:$M,13,FALSE())/100</f>
        <v>141.6</v>
      </c>
      <c r="H602" s="4">
        <f>E602*VLOOKUP(B602,alimentos_master!$A:$N,14,FALSE())/100</f>
        <v>1.1025</v>
      </c>
      <c r="I602" s="4">
        <f>E602*VLOOKUP(B602,alimentos_master!$A:$O,15,FALSE())/100</f>
        <v>29.925000000000001</v>
      </c>
      <c r="J602" s="4">
        <f>E602*VLOOKUP(B602,alimentos_master!$A:$R,18,FALSE())/100</f>
        <v>0.24</v>
      </c>
    </row>
    <row r="603" spans="1:10" ht="15" customHeight="1" x14ac:dyDescent="0.2">
      <c r="A603" s="4">
        <v>602</v>
      </c>
      <c r="B603" s="4">
        <v>151</v>
      </c>
      <c r="C603" s="4" t="s">
        <v>242</v>
      </c>
      <c r="D603" s="4" t="s">
        <v>918</v>
      </c>
      <c r="E603" s="4">
        <v>100</v>
      </c>
      <c r="F603" s="4" t="s">
        <v>917</v>
      </c>
      <c r="G603" s="4">
        <f>E603*VLOOKUP(B603,alimentos_master!$A:$M,13,FALSE())/100</f>
        <v>188.8</v>
      </c>
      <c r="H603" s="4">
        <f>E603*VLOOKUP(B603,alimentos_master!$A:$N,14,FALSE())/100</f>
        <v>1.47</v>
      </c>
      <c r="I603" s="4">
        <f>E603*VLOOKUP(B603,alimentos_master!$A:$O,15,FALSE())/100</f>
        <v>39.9</v>
      </c>
      <c r="J603" s="4">
        <f>E603*VLOOKUP(B603,alimentos_master!$A:$R,18,FALSE())/100</f>
        <v>0.32</v>
      </c>
    </row>
    <row r="604" spans="1:10" ht="15" customHeight="1" x14ac:dyDescent="0.2">
      <c r="A604" s="4">
        <v>603</v>
      </c>
      <c r="B604" s="4">
        <v>151</v>
      </c>
      <c r="C604" s="4" t="s">
        <v>242</v>
      </c>
      <c r="D604" s="4" t="s">
        <v>919</v>
      </c>
      <c r="E604" s="4">
        <v>150</v>
      </c>
      <c r="F604" s="4" t="s">
        <v>917</v>
      </c>
      <c r="G604" s="4">
        <f>E604*VLOOKUP(B604,alimentos_master!$A:$M,13,FALSE())/100</f>
        <v>283.2</v>
      </c>
      <c r="H604" s="4">
        <f>E604*VLOOKUP(B604,alimentos_master!$A:$N,14,FALSE())/100</f>
        <v>2.2050000000000001</v>
      </c>
      <c r="I604" s="4">
        <f>E604*VLOOKUP(B604,alimentos_master!$A:$O,15,FALSE())/100</f>
        <v>59.85</v>
      </c>
      <c r="J604" s="4">
        <f>E604*VLOOKUP(B604,alimentos_master!$A:$R,18,FALSE())/100</f>
        <v>0.48</v>
      </c>
    </row>
    <row r="605" spans="1:10" ht="15" customHeight="1" x14ac:dyDescent="0.2">
      <c r="A605" s="4">
        <v>604</v>
      </c>
      <c r="B605" s="4">
        <v>151</v>
      </c>
      <c r="C605" s="4" t="s">
        <v>242</v>
      </c>
      <c r="D605" s="4" t="s">
        <v>920</v>
      </c>
      <c r="E605" s="4">
        <v>200</v>
      </c>
      <c r="F605" s="4" t="s">
        <v>917</v>
      </c>
      <c r="G605" s="4">
        <f>E605*VLOOKUP(B605,alimentos_master!$A:$M,13,FALSE())/100</f>
        <v>377.6</v>
      </c>
      <c r="H605" s="4">
        <f>E605*VLOOKUP(B605,alimentos_master!$A:$N,14,FALSE())/100</f>
        <v>2.94</v>
      </c>
      <c r="I605" s="4">
        <f>E605*VLOOKUP(B605,alimentos_master!$A:$O,15,FALSE())/100</f>
        <v>79.8</v>
      </c>
      <c r="J605" s="4">
        <f>E605*VLOOKUP(B605,alimentos_master!$A:$R,18,FALSE())/100</f>
        <v>0.64</v>
      </c>
    </row>
    <row r="606" spans="1:10" ht="15" customHeight="1" x14ac:dyDescent="0.2">
      <c r="A606" s="4">
        <v>605</v>
      </c>
      <c r="B606" s="4">
        <v>152</v>
      </c>
      <c r="C606" s="4" t="s">
        <v>243</v>
      </c>
      <c r="D606" s="4" t="s">
        <v>916</v>
      </c>
      <c r="E606" s="4">
        <v>75</v>
      </c>
      <c r="F606" s="4" t="s">
        <v>917</v>
      </c>
      <c r="G606" s="4" t="e">
        <f>E606*VLOOKUP(B606,alimentos_master!$A:$M,13,FALSE())/100</f>
        <v>#N/A</v>
      </c>
      <c r="H606" s="4" t="e">
        <f>E606*VLOOKUP(B606,alimentos_master!$A:$N,14,FALSE())/100</f>
        <v>#N/A</v>
      </c>
      <c r="I606" s="4" t="e">
        <f>E606*VLOOKUP(B606,alimentos_master!$A:$O,15,FALSE())/100</f>
        <v>#N/A</v>
      </c>
      <c r="J606" s="4" t="e">
        <f>E606*VLOOKUP(B606,alimentos_master!$A:$R,18,FALSE())/100</f>
        <v>#N/A</v>
      </c>
    </row>
    <row r="607" spans="1:10" ht="15" customHeight="1" x14ac:dyDescent="0.2">
      <c r="A607" s="4">
        <v>606</v>
      </c>
      <c r="B607" s="4">
        <v>152</v>
      </c>
      <c r="C607" s="4" t="s">
        <v>243</v>
      </c>
      <c r="D607" s="4" t="s">
        <v>918</v>
      </c>
      <c r="E607" s="4">
        <v>100</v>
      </c>
      <c r="F607" s="4" t="s">
        <v>917</v>
      </c>
      <c r="G607" s="4" t="e">
        <f>E607*VLOOKUP(B607,alimentos_master!$A:$M,13,FALSE())/100</f>
        <v>#N/A</v>
      </c>
      <c r="H607" s="4" t="e">
        <f>E607*VLOOKUP(B607,alimentos_master!$A:$N,14,FALSE())/100</f>
        <v>#N/A</v>
      </c>
      <c r="I607" s="4" t="e">
        <f>E607*VLOOKUP(B607,alimentos_master!$A:$O,15,FALSE())/100</f>
        <v>#N/A</v>
      </c>
      <c r="J607" s="4" t="e">
        <f>E607*VLOOKUP(B607,alimentos_master!$A:$R,18,FALSE())/100</f>
        <v>#N/A</v>
      </c>
    </row>
    <row r="608" spans="1:10" ht="15" customHeight="1" x14ac:dyDescent="0.2">
      <c r="A608" s="4">
        <v>607</v>
      </c>
      <c r="B608" s="4">
        <v>152</v>
      </c>
      <c r="C608" s="4" t="s">
        <v>243</v>
      </c>
      <c r="D608" s="4" t="s">
        <v>919</v>
      </c>
      <c r="E608" s="4">
        <v>150</v>
      </c>
      <c r="F608" s="4" t="s">
        <v>917</v>
      </c>
      <c r="G608" s="4" t="e">
        <f>E608*VLOOKUP(B608,alimentos_master!$A:$M,13,FALSE())/100</f>
        <v>#N/A</v>
      </c>
      <c r="H608" s="4" t="e">
        <f>E608*VLOOKUP(B608,alimentos_master!$A:$N,14,FALSE())/100</f>
        <v>#N/A</v>
      </c>
      <c r="I608" s="4" t="e">
        <f>E608*VLOOKUP(B608,alimentos_master!$A:$O,15,FALSE())/100</f>
        <v>#N/A</v>
      </c>
      <c r="J608" s="4" t="e">
        <f>E608*VLOOKUP(B608,alimentos_master!$A:$R,18,FALSE())/100</f>
        <v>#N/A</v>
      </c>
    </row>
    <row r="609" spans="1:10" ht="15" customHeight="1" x14ac:dyDescent="0.2">
      <c r="A609" s="4">
        <v>608</v>
      </c>
      <c r="B609" s="4">
        <v>152</v>
      </c>
      <c r="C609" s="4" t="s">
        <v>243</v>
      </c>
      <c r="D609" s="4" t="s">
        <v>920</v>
      </c>
      <c r="E609" s="4">
        <v>200</v>
      </c>
      <c r="F609" s="4" t="s">
        <v>917</v>
      </c>
      <c r="G609" s="4" t="e">
        <f>E609*VLOOKUP(B609,alimentos_master!$A:$M,13,FALSE())/100</f>
        <v>#N/A</v>
      </c>
      <c r="H609" s="4" t="e">
        <f>E609*VLOOKUP(B609,alimentos_master!$A:$N,14,FALSE())/100</f>
        <v>#N/A</v>
      </c>
      <c r="I609" s="4" t="e">
        <f>E609*VLOOKUP(B609,alimentos_master!$A:$O,15,FALSE())/100</f>
        <v>#N/A</v>
      </c>
      <c r="J609" s="4" t="e">
        <f>E609*VLOOKUP(B609,alimentos_master!$A:$R,18,FALSE())/100</f>
        <v>#N/A</v>
      </c>
    </row>
    <row r="610" spans="1:10" ht="15" customHeight="1" x14ac:dyDescent="0.2">
      <c r="A610" s="4">
        <v>609</v>
      </c>
      <c r="B610" s="4">
        <v>153</v>
      </c>
      <c r="C610" s="4" t="s">
        <v>244</v>
      </c>
      <c r="D610" s="4" t="s">
        <v>916</v>
      </c>
      <c r="E610" s="4">
        <v>75</v>
      </c>
      <c r="F610" s="4" t="s">
        <v>917</v>
      </c>
      <c r="G610" s="4" t="e">
        <f>E610*VLOOKUP(B610,alimentos_master!$A:$M,13,FALSE())/100</f>
        <v>#N/A</v>
      </c>
      <c r="H610" s="4" t="e">
        <f>E610*VLOOKUP(B610,alimentos_master!$A:$N,14,FALSE())/100</f>
        <v>#N/A</v>
      </c>
      <c r="I610" s="4" t="e">
        <f>E610*VLOOKUP(B610,alimentos_master!$A:$O,15,FALSE())/100</f>
        <v>#N/A</v>
      </c>
      <c r="J610" s="4" t="e">
        <f>E610*VLOOKUP(B610,alimentos_master!$A:$R,18,FALSE())/100</f>
        <v>#N/A</v>
      </c>
    </row>
    <row r="611" spans="1:10" ht="15" customHeight="1" x14ac:dyDescent="0.2">
      <c r="A611" s="4">
        <v>610</v>
      </c>
      <c r="B611" s="4">
        <v>153</v>
      </c>
      <c r="C611" s="4" t="s">
        <v>244</v>
      </c>
      <c r="D611" s="4" t="s">
        <v>918</v>
      </c>
      <c r="E611" s="4">
        <v>100</v>
      </c>
      <c r="F611" s="4" t="s">
        <v>917</v>
      </c>
      <c r="G611" s="4" t="e">
        <f>E611*VLOOKUP(B611,alimentos_master!$A:$M,13,FALSE())/100</f>
        <v>#N/A</v>
      </c>
      <c r="H611" s="4" t="e">
        <f>E611*VLOOKUP(B611,alimentos_master!$A:$N,14,FALSE())/100</f>
        <v>#N/A</v>
      </c>
      <c r="I611" s="4" t="e">
        <f>E611*VLOOKUP(B611,alimentos_master!$A:$O,15,FALSE())/100</f>
        <v>#N/A</v>
      </c>
      <c r="J611" s="4" t="e">
        <f>E611*VLOOKUP(B611,alimentos_master!$A:$R,18,FALSE())/100</f>
        <v>#N/A</v>
      </c>
    </row>
    <row r="612" spans="1:10" ht="15" customHeight="1" x14ac:dyDescent="0.2">
      <c r="A612" s="4">
        <v>611</v>
      </c>
      <c r="B612" s="4">
        <v>153</v>
      </c>
      <c r="C612" s="4" t="s">
        <v>244</v>
      </c>
      <c r="D612" s="4" t="s">
        <v>919</v>
      </c>
      <c r="E612" s="4">
        <v>150</v>
      </c>
      <c r="F612" s="4" t="s">
        <v>917</v>
      </c>
      <c r="G612" s="4" t="e">
        <f>E612*VLOOKUP(B612,alimentos_master!$A:$M,13,FALSE())/100</f>
        <v>#N/A</v>
      </c>
      <c r="H612" s="4" t="e">
        <f>E612*VLOOKUP(B612,alimentos_master!$A:$N,14,FALSE())/100</f>
        <v>#N/A</v>
      </c>
      <c r="I612" s="4" t="e">
        <f>E612*VLOOKUP(B612,alimentos_master!$A:$O,15,FALSE())/100</f>
        <v>#N/A</v>
      </c>
      <c r="J612" s="4" t="e">
        <f>E612*VLOOKUP(B612,alimentos_master!$A:$R,18,FALSE())/100</f>
        <v>#N/A</v>
      </c>
    </row>
    <row r="613" spans="1:10" ht="15" customHeight="1" x14ac:dyDescent="0.2">
      <c r="A613" s="4">
        <v>612</v>
      </c>
      <c r="B613" s="4">
        <v>153</v>
      </c>
      <c r="C613" s="4" t="s">
        <v>244</v>
      </c>
      <c r="D613" s="4" t="s">
        <v>920</v>
      </c>
      <c r="E613" s="4">
        <v>200</v>
      </c>
      <c r="F613" s="4" t="s">
        <v>917</v>
      </c>
      <c r="G613" s="4" t="e">
        <f>E613*VLOOKUP(B613,alimentos_master!$A:$M,13,FALSE())/100</f>
        <v>#N/A</v>
      </c>
      <c r="H613" s="4" t="e">
        <f>E613*VLOOKUP(B613,alimentos_master!$A:$N,14,FALSE())/100</f>
        <v>#N/A</v>
      </c>
      <c r="I613" s="4" t="e">
        <f>E613*VLOOKUP(B613,alimentos_master!$A:$O,15,FALSE())/100</f>
        <v>#N/A</v>
      </c>
      <c r="J613" s="4" t="e">
        <f>E613*VLOOKUP(B613,alimentos_master!$A:$R,18,FALSE())/100</f>
        <v>#N/A</v>
      </c>
    </row>
    <row r="614" spans="1:10" ht="15" customHeight="1" x14ac:dyDescent="0.2">
      <c r="A614" s="4">
        <v>613</v>
      </c>
      <c r="B614" s="4">
        <v>154</v>
      </c>
      <c r="C614" s="4" t="s">
        <v>245</v>
      </c>
      <c r="D614" s="4" t="s">
        <v>916</v>
      </c>
      <c r="E614" s="4">
        <v>75</v>
      </c>
      <c r="F614" s="4" t="s">
        <v>917</v>
      </c>
      <c r="G614" s="4">
        <f>E614*VLOOKUP(B614,alimentos_master!$A:$M,13,FALSE())/100</f>
        <v>132</v>
      </c>
      <c r="H614" s="4">
        <f>E614*VLOOKUP(B614,alimentos_master!$A:$N,14,FALSE())/100</f>
        <v>1.0725</v>
      </c>
      <c r="I614" s="4">
        <f>E614*VLOOKUP(B614,alimentos_master!$A:$O,15,FALSE())/100</f>
        <v>29.07</v>
      </c>
      <c r="J614" s="4">
        <f>E614*VLOOKUP(B614,alimentos_master!$A:$R,18,FALSE())/100</f>
        <v>0.23250000000000001</v>
      </c>
    </row>
    <row r="615" spans="1:10" ht="15" customHeight="1" x14ac:dyDescent="0.2">
      <c r="A615" s="4">
        <v>614</v>
      </c>
      <c r="B615" s="4">
        <v>154</v>
      </c>
      <c r="C615" s="4" t="s">
        <v>245</v>
      </c>
      <c r="D615" s="4" t="s">
        <v>918</v>
      </c>
      <c r="E615" s="4">
        <v>100</v>
      </c>
      <c r="F615" s="4" t="s">
        <v>917</v>
      </c>
      <c r="G615" s="4">
        <f>E615*VLOOKUP(B615,alimentos_master!$A:$M,13,FALSE())/100</f>
        <v>176</v>
      </c>
      <c r="H615" s="4">
        <f>E615*VLOOKUP(B615,alimentos_master!$A:$N,14,FALSE())/100</f>
        <v>1.43</v>
      </c>
      <c r="I615" s="4">
        <f>E615*VLOOKUP(B615,alimentos_master!$A:$O,15,FALSE())/100</f>
        <v>38.76</v>
      </c>
      <c r="J615" s="4">
        <f>E615*VLOOKUP(B615,alimentos_master!$A:$R,18,FALSE())/100</f>
        <v>0.31</v>
      </c>
    </row>
    <row r="616" spans="1:10" ht="15" customHeight="1" x14ac:dyDescent="0.2">
      <c r="A616" s="4">
        <v>615</v>
      </c>
      <c r="B616" s="4">
        <v>154</v>
      </c>
      <c r="C616" s="4" t="s">
        <v>245</v>
      </c>
      <c r="D616" s="4" t="s">
        <v>919</v>
      </c>
      <c r="E616" s="4">
        <v>150</v>
      </c>
      <c r="F616" s="4" t="s">
        <v>917</v>
      </c>
      <c r="G616" s="4">
        <f>E616*VLOOKUP(B616,alimentos_master!$A:$M,13,FALSE())/100</f>
        <v>264</v>
      </c>
      <c r="H616" s="4">
        <f>E616*VLOOKUP(B616,alimentos_master!$A:$N,14,FALSE())/100</f>
        <v>2.145</v>
      </c>
      <c r="I616" s="4">
        <f>E616*VLOOKUP(B616,alimentos_master!$A:$O,15,FALSE())/100</f>
        <v>58.14</v>
      </c>
      <c r="J616" s="4">
        <f>E616*VLOOKUP(B616,alimentos_master!$A:$R,18,FALSE())/100</f>
        <v>0.46500000000000002</v>
      </c>
    </row>
    <row r="617" spans="1:10" ht="15" customHeight="1" x14ac:dyDescent="0.2">
      <c r="A617" s="4">
        <v>616</v>
      </c>
      <c r="B617" s="4">
        <v>154</v>
      </c>
      <c r="C617" s="4" t="s">
        <v>245</v>
      </c>
      <c r="D617" s="4" t="s">
        <v>920</v>
      </c>
      <c r="E617" s="4">
        <v>200</v>
      </c>
      <c r="F617" s="4" t="s">
        <v>917</v>
      </c>
      <c r="G617" s="4">
        <f>E617*VLOOKUP(B617,alimentos_master!$A:$M,13,FALSE())/100</f>
        <v>352</v>
      </c>
      <c r="H617" s="4">
        <f>E617*VLOOKUP(B617,alimentos_master!$A:$N,14,FALSE())/100</f>
        <v>2.86</v>
      </c>
      <c r="I617" s="4">
        <f>E617*VLOOKUP(B617,alimentos_master!$A:$O,15,FALSE())/100</f>
        <v>77.52</v>
      </c>
      <c r="J617" s="4">
        <f>E617*VLOOKUP(B617,alimentos_master!$A:$R,18,FALSE())/100</f>
        <v>0.62</v>
      </c>
    </row>
    <row r="618" spans="1:10" ht="15" customHeight="1" x14ac:dyDescent="0.2">
      <c r="A618" s="4">
        <v>617</v>
      </c>
      <c r="B618" s="4">
        <v>155</v>
      </c>
      <c r="C618" s="4" t="s">
        <v>246</v>
      </c>
      <c r="D618" s="4" t="s">
        <v>916</v>
      </c>
      <c r="E618" s="4">
        <v>75</v>
      </c>
      <c r="F618" s="4" t="s">
        <v>917</v>
      </c>
      <c r="G618" s="4">
        <f>E618*VLOOKUP(B618,alimentos_master!$A:$M,13,FALSE())/100</f>
        <v>132</v>
      </c>
      <c r="H618" s="4">
        <f>E618*VLOOKUP(B618,alimentos_master!$A:$N,14,FALSE())/100</f>
        <v>1.0725</v>
      </c>
      <c r="I618" s="4">
        <f>E618*VLOOKUP(B618,alimentos_master!$A:$O,15,FALSE())/100</f>
        <v>29.07</v>
      </c>
      <c r="J618" s="4">
        <f>E618*VLOOKUP(B618,alimentos_master!$A:$R,18,FALSE())/100</f>
        <v>0.23250000000000001</v>
      </c>
    </row>
    <row r="619" spans="1:10" ht="15" customHeight="1" x14ac:dyDescent="0.2">
      <c r="A619" s="4">
        <v>618</v>
      </c>
      <c r="B619" s="4">
        <v>155</v>
      </c>
      <c r="C619" s="4" t="s">
        <v>246</v>
      </c>
      <c r="D619" s="4" t="s">
        <v>918</v>
      </c>
      <c r="E619" s="4">
        <v>100</v>
      </c>
      <c r="F619" s="4" t="s">
        <v>917</v>
      </c>
      <c r="G619" s="4">
        <f>E619*VLOOKUP(B619,alimentos_master!$A:$M,13,FALSE())/100</f>
        <v>176</v>
      </c>
      <c r="H619" s="4">
        <f>E619*VLOOKUP(B619,alimentos_master!$A:$N,14,FALSE())/100</f>
        <v>1.43</v>
      </c>
      <c r="I619" s="4">
        <f>E619*VLOOKUP(B619,alimentos_master!$A:$O,15,FALSE())/100</f>
        <v>38.76</v>
      </c>
      <c r="J619" s="4">
        <f>E619*VLOOKUP(B619,alimentos_master!$A:$R,18,FALSE())/100</f>
        <v>0.31</v>
      </c>
    </row>
    <row r="620" spans="1:10" ht="15" customHeight="1" x14ac:dyDescent="0.2">
      <c r="A620" s="4">
        <v>619</v>
      </c>
      <c r="B620" s="4">
        <v>155</v>
      </c>
      <c r="C620" s="4" t="s">
        <v>246</v>
      </c>
      <c r="D620" s="4" t="s">
        <v>919</v>
      </c>
      <c r="E620" s="4">
        <v>150</v>
      </c>
      <c r="F620" s="4" t="s">
        <v>917</v>
      </c>
      <c r="G620" s="4">
        <f>E620*VLOOKUP(B620,alimentos_master!$A:$M,13,FALSE())/100</f>
        <v>264</v>
      </c>
      <c r="H620" s="4">
        <f>E620*VLOOKUP(B620,alimentos_master!$A:$N,14,FALSE())/100</f>
        <v>2.145</v>
      </c>
      <c r="I620" s="4">
        <f>E620*VLOOKUP(B620,alimentos_master!$A:$O,15,FALSE())/100</f>
        <v>58.14</v>
      </c>
      <c r="J620" s="4">
        <f>E620*VLOOKUP(B620,alimentos_master!$A:$R,18,FALSE())/100</f>
        <v>0.46500000000000002</v>
      </c>
    </row>
    <row r="621" spans="1:10" ht="15" customHeight="1" x14ac:dyDescent="0.2">
      <c r="A621" s="4">
        <v>620</v>
      </c>
      <c r="B621" s="4">
        <v>155</v>
      </c>
      <c r="C621" s="4" t="s">
        <v>246</v>
      </c>
      <c r="D621" s="4" t="s">
        <v>920</v>
      </c>
      <c r="E621" s="4">
        <v>200</v>
      </c>
      <c r="F621" s="4" t="s">
        <v>917</v>
      </c>
      <c r="G621" s="4">
        <f>E621*VLOOKUP(B621,alimentos_master!$A:$M,13,FALSE())/100</f>
        <v>352</v>
      </c>
      <c r="H621" s="4">
        <f>E621*VLOOKUP(B621,alimentos_master!$A:$N,14,FALSE())/100</f>
        <v>2.86</v>
      </c>
      <c r="I621" s="4">
        <f>E621*VLOOKUP(B621,alimentos_master!$A:$O,15,FALSE())/100</f>
        <v>77.52</v>
      </c>
      <c r="J621" s="4">
        <f>E621*VLOOKUP(B621,alimentos_master!$A:$R,18,FALSE())/100</f>
        <v>0.62</v>
      </c>
    </row>
    <row r="622" spans="1:10" ht="15" customHeight="1" x14ac:dyDescent="0.2">
      <c r="A622" s="4">
        <v>621</v>
      </c>
      <c r="B622" s="4">
        <v>156</v>
      </c>
      <c r="C622" s="4" t="s">
        <v>247</v>
      </c>
      <c r="D622" s="4" t="s">
        <v>916</v>
      </c>
      <c r="E622" s="4">
        <v>75</v>
      </c>
      <c r="F622" s="4" t="s">
        <v>917</v>
      </c>
      <c r="G622" s="4" t="e">
        <f>E622*VLOOKUP(B622,alimentos_master!$A:$M,13,FALSE())/100</f>
        <v>#N/A</v>
      </c>
      <c r="H622" s="4" t="e">
        <f>E622*VLOOKUP(B622,alimentos_master!$A:$N,14,FALSE())/100</f>
        <v>#N/A</v>
      </c>
      <c r="I622" s="4" t="e">
        <f>E622*VLOOKUP(B622,alimentos_master!$A:$O,15,FALSE())/100</f>
        <v>#N/A</v>
      </c>
      <c r="J622" s="4" t="e">
        <f>E622*VLOOKUP(B622,alimentos_master!$A:$R,18,FALSE())/100</f>
        <v>#N/A</v>
      </c>
    </row>
    <row r="623" spans="1:10" ht="15" customHeight="1" x14ac:dyDescent="0.2">
      <c r="A623" s="4">
        <v>622</v>
      </c>
      <c r="B623" s="4">
        <v>156</v>
      </c>
      <c r="C623" s="4" t="s">
        <v>247</v>
      </c>
      <c r="D623" s="4" t="s">
        <v>918</v>
      </c>
      <c r="E623" s="4">
        <v>100</v>
      </c>
      <c r="F623" s="4" t="s">
        <v>917</v>
      </c>
      <c r="G623" s="4" t="e">
        <f>E623*VLOOKUP(B623,alimentos_master!$A:$M,13,FALSE())/100</f>
        <v>#N/A</v>
      </c>
      <c r="H623" s="4" t="e">
        <f>E623*VLOOKUP(B623,alimentos_master!$A:$N,14,FALSE())/100</f>
        <v>#N/A</v>
      </c>
      <c r="I623" s="4" t="e">
        <f>E623*VLOOKUP(B623,alimentos_master!$A:$O,15,FALSE())/100</f>
        <v>#N/A</v>
      </c>
      <c r="J623" s="4" t="e">
        <f>E623*VLOOKUP(B623,alimentos_master!$A:$R,18,FALSE())/100</f>
        <v>#N/A</v>
      </c>
    </row>
    <row r="624" spans="1:10" ht="15" customHeight="1" x14ac:dyDescent="0.2">
      <c r="A624" s="4">
        <v>623</v>
      </c>
      <c r="B624" s="4">
        <v>156</v>
      </c>
      <c r="C624" s="4" t="s">
        <v>247</v>
      </c>
      <c r="D624" s="4" t="s">
        <v>919</v>
      </c>
      <c r="E624" s="4">
        <v>150</v>
      </c>
      <c r="F624" s="4" t="s">
        <v>917</v>
      </c>
      <c r="G624" s="4" t="e">
        <f>E624*VLOOKUP(B624,alimentos_master!$A:$M,13,FALSE())/100</f>
        <v>#N/A</v>
      </c>
      <c r="H624" s="4" t="e">
        <f>E624*VLOOKUP(B624,alimentos_master!$A:$N,14,FALSE())/100</f>
        <v>#N/A</v>
      </c>
      <c r="I624" s="4" t="e">
        <f>E624*VLOOKUP(B624,alimentos_master!$A:$O,15,FALSE())/100</f>
        <v>#N/A</v>
      </c>
      <c r="J624" s="4" t="e">
        <f>E624*VLOOKUP(B624,alimentos_master!$A:$R,18,FALSE())/100</f>
        <v>#N/A</v>
      </c>
    </row>
    <row r="625" spans="1:10" ht="15" customHeight="1" x14ac:dyDescent="0.2">
      <c r="A625" s="4">
        <v>624</v>
      </c>
      <c r="B625" s="4">
        <v>156</v>
      </c>
      <c r="C625" s="4" t="s">
        <v>247</v>
      </c>
      <c r="D625" s="4" t="s">
        <v>920</v>
      </c>
      <c r="E625" s="4">
        <v>200</v>
      </c>
      <c r="F625" s="4" t="s">
        <v>917</v>
      </c>
      <c r="G625" s="4" t="e">
        <f>E625*VLOOKUP(B625,alimentos_master!$A:$M,13,FALSE())/100</f>
        <v>#N/A</v>
      </c>
      <c r="H625" s="4" t="e">
        <f>E625*VLOOKUP(B625,alimentos_master!$A:$N,14,FALSE())/100</f>
        <v>#N/A</v>
      </c>
      <c r="I625" s="4" t="e">
        <f>E625*VLOOKUP(B625,alimentos_master!$A:$O,15,FALSE())/100</f>
        <v>#N/A</v>
      </c>
      <c r="J625" s="4" t="e">
        <f>E625*VLOOKUP(B625,alimentos_master!$A:$R,18,FALSE())/100</f>
        <v>#N/A</v>
      </c>
    </row>
    <row r="626" spans="1:10" ht="15" customHeight="1" x14ac:dyDescent="0.2">
      <c r="A626" s="4">
        <v>625</v>
      </c>
      <c r="B626" s="4">
        <v>157</v>
      </c>
      <c r="C626" s="4" t="s">
        <v>248</v>
      </c>
      <c r="D626" s="4" t="s">
        <v>916</v>
      </c>
      <c r="E626" s="4">
        <v>75</v>
      </c>
      <c r="F626" s="4" t="s">
        <v>917</v>
      </c>
      <c r="G626" s="4">
        <f>E626*VLOOKUP(B626,alimentos_master!$A:$M,13,FALSE())/100</f>
        <v>348</v>
      </c>
      <c r="H626" s="4">
        <f>E626*VLOOKUP(B626,alimentos_master!$A:$N,14,FALSE())/100</f>
        <v>1.155</v>
      </c>
      <c r="I626" s="4">
        <f>E626*VLOOKUP(B626,alimentos_master!$A:$O,15,FALSE())/100</f>
        <v>31.35</v>
      </c>
      <c r="J626" s="4">
        <f>E626*VLOOKUP(B626,alimentos_master!$A:$R,18,FALSE())/100</f>
        <v>0.2475</v>
      </c>
    </row>
    <row r="627" spans="1:10" ht="15" customHeight="1" x14ac:dyDescent="0.2">
      <c r="A627" s="4">
        <v>626</v>
      </c>
      <c r="B627" s="4">
        <v>157</v>
      </c>
      <c r="C627" s="4" t="s">
        <v>248</v>
      </c>
      <c r="D627" s="4" t="s">
        <v>918</v>
      </c>
      <c r="E627" s="4">
        <v>100</v>
      </c>
      <c r="F627" s="4" t="s">
        <v>917</v>
      </c>
      <c r="G627" s="4">
        <f>E627*VLOOKUP(B627,alimentos_master!$A:$M,13,FALSE())/100</f>
        <v>464</v>
      </c>
      <c r="H627" s="4">
        <f>E627*VLOOKUP(B627,alimentos_master!$A:$N,14,FALSE())/100</f>
        <v>1.54</v>
      </c>
      <c r="I627" s="4">
        <f>E627*VLOOKUP(B627,alimentos_master!$A:$O,15,FALSE())/100</f>
        <v>41.8</v>
      </c>
      <c r="J627" s="4">
        <f>E627*VLOOKUP(B627,alimentos_master!$A:$R,18,FALSE())/100</f>
        <v>0.33</v>
      </c>
    </row>
    <row r="628" spans="1:10" ht="15" customHeight="1" x14ac:dyDescent="0.2">
      <c r="A628" s="4">
        <v>627</v>
      </c>
      <c r="B628" s="4">
        <v>157</v>
      </c>
      <c r="C628" s="4" t="s">
        <v>248</v>
      </c>
      <c r="D628" s="4" t="s">
        <v>919</v>
      </c>
      <c r="E628" s="4">
        <v>150</v>
      </c>
      <c r="F628" s="4" t="s">
        <v>917</v>
      </c>
      <c r="G628" s="4">
        <f>E628*VLOOKUP(B628,alimentos_master!$A:$M,13,FALSE())/100</f>
        <v>696</v>
      </c>
      <c r="H628" s="4">
        <f>E628*VLOOKUP(B628,alimentos_master!$A:$N,14,FALSE())/100</f>
        <v>2.31</v>
      </c>
      <c r="I628" s="4">
        <f>E628*VLOOKUP(B628,alimentos_master!$A:$O,15,FALSE())/100</f>
        <v>62.7</v>
      </c>
      <c r="J628" s="4">
        <f>E628*VLOOKUP(B628,alimentos_master!$A:$R,18,FALSE())/100</f>
        <v>0.495</v>
      </c>
    </row>
    <row r="629" spans="1:10" ht="15" customHeight="1" x14ac:dyDescent="0.2">
      <c r="A629" s="4">
        <v>628</v>
      </c>
      <c r="B629" s="4">
        <v>157</v>
      </c>
      <c r="C629" s="4" t="s">
        <v>248</v>
      </c>
      <c r="D629" s="4" t="s">
        <v>920</v>
      </c>
      <c r="E629" s="4">
        <v>200</v>
      </c>
      <c r="F629" s="4" t="s">
        <v>917</v>
      </c>
      <c r="G629" s="4">
        <f>E629*VLOOKUP(B629,alimentos_master!$A:$M,13,FALSE())/100</f>
        <v>928</v>
      </c>
      <c r="H629" s="4">
        <f>E629*VLOOKUP(B629,alimentos_master!$A:$N,14,FALSE())/100</f>
        <v>3.08</v>
      </c>
      <c r="I629" s="4">
        <f>E629*VLOOKUP(B629,alimentos_master!$A:$O,15,FALSE())/100</f>
        <v>83.6</v>
      </c>
      <c r="J629" s="4">
        <f>E629*VLOOKUP(B629,alimentos_master!$A:$R,18,FALSE())/100</f>
        <v>0.66</v>
      </c>
    </row>
    <row r="630" spans="1:10" ht="15" customHeight="1" x14ac:dyDescent="0.2">
      <c r="A630" s="4">
        <v>629</v>
      </c>
      <c r="B630" s="4">
        <v>158</v>
      </c>
      <c r="C630" s="4" t="s">
        <v>249</v>
      </c>
      <c r="D630" s="4" t="s">
        <v>916</v>
      </c>
      <c r="E630" s="4">
        <v>75</v>
      </c>
      <c r="F630" s="4" t="s">
        <v>917</v>
      </c>
      <c r="G630" s="4" t="e">
        <f>E630*VLOOKUP(B630,alimentos_master!$A:$M,13,FALSE())/100</f>
        <v>#N/A</v>
      </c>
      <c r="H630" s="4" t="e">
        <f>E630*VLOOKUP(B630,alimentos_master!$A:$N,14,FALSE())/100</f>
        <v>#N/A</v>
      </c>
      <c r="I630" s="4" t="e">
        <f>E630*VLOOKUP(B630,alimentos_master!$A:$O,15,FALSE())/100</f>
        <v>#N/A</v>
      </c>
      <c r="J630" s="4" t="e">
        <f>E630*VLOOKUP(B630,alimentos_master!$A:$R,18,FALSE())/100</f>
        <v>#N/A</v>
      </c>
    </row>
    <row r="631" spans="1:10" ht="15" customHeight="1" x14ac:dyDescent="0.2">
      <c r="A631" s="4">
        <v>630</v>
      </c>
      <c r="B631" s="4">
        <v>158</v>
      </c>
      <c r="C631" s="4" t="s">
        <v>249</v>
      </c>
      <c r="D631" s="4" t="s">
        <v>918</v>
      </c>
      <c r="E631" s="4">
        <v>100</v>
      </c>
      <c r="F631" s="4" t="s">
        <v>917</v>
      </c>
      <c r="G631" s="4" t="e">
        <f>E631*VLOOKUP(B631,alimentos_master!$A:$M,13,FALSE())/100</f>
        <v>#N/A</v>
      </c>
      <c r="H631" s="4" t="e">
        <f>E631*VLOOKUP(B631,alimentos_master!$A:$N,14,FALSE())/100</f>
        <v>#N/A</v>
      </c>
      <c r="I631" s="4" t="e">
        <f>E631*VLOOKUP(B631,alimentos_master!$A:$O,15,FALSE())/100</f>
        <v>#N/A</v>
      </c>
      <c r="J631" s="4" t="e">
        <f>E631*VLOOKUP(B631,alimentos_master!$A:$R,18,FALSE())/100</f>
        <v>#N/A</v>
      </c>
    </row>
    <row r="632" spans="1:10" ht="15" customHeight="1" x14ac:dyDescent="0.2">
      <c r="A632" s="4">
        <v>631</v>
      </c>
      <c r="B632" s="4">
        <v>158</v>
      </c>
      <c r="C632" s="4" t="s">
        <v>249</v>
      </c>
      <c r="D632" s="4" t="s">
        <v>919</v>
      </c>
      <c r="E632" s="4">
        <v>150</v>
      </c>
      <c r="F632" s="4" t="s">
        <v>917</v>
      </c>
      <c r="G632" s="4" t="e">
        <f>E632*VLOOKUP(B632,alimentos_master!$A:$M,13,FALSE())/100</f>
        <v>#N/A</v>
      </c>
      <c r="H632" s="4" t="e">
        <f>E632*VLOOKUP(B632,alimentos_master!$A:$N,14,FALSE())/100</f>
        <v>#N/A</v>
      </c>
      <c r="I632" s="4" t="e">
        <f>E632*VLOOKUP(B632,alimentos_master!$A:$O,15,FALSE())/100</f>
        <v>#N/A</v>
      </c>
      <c r="J632" s="4" t="e">
        <f>E632*VLOOKUP(B632,alimentos_master!$A:$R,18,FALSE())/100</f>
        <v>#N/A</v>
      </c>
    </row>
    <row r="633" spans="1:10" ht="15" customHeight="1" x14ac:dyDescent="0.2">
      <c r="A633" s="4">
        <v>632</v>
      </c>
      <c r="B633" s="4">
        <v>158</v>
      </c>
      <c r="C633" s="4" t="s">
        <v>249</v>
      </c>
      <c r="D633" s="4" t="s">
        <v>920</v>
      </c>
      <c r="E633" s="4">
        <v>200</v>
      </c>
      <c r="F633" s="4" t="s">
        <v>917</v>
      </c>
      <c r="G633" s="4" t="e">
        <f>E633*VLOOKUP(B633,alimentos_master!$A:$M,13,FALSE())/100</f>
        <v>#N/A</v>
      </c>
      <c r="H633" s="4" t="e">
        <f>E633*VLOOKUP(B633,alimentos_master!$A:$N,14,FALSE())/100</f>
        <v>#N/A</v>
      </c>
      <c r="I633" s="4" t="e">
        <f>E633*VLOOKUP(B633,alimentos_master!$A:$O,15,FALSE())/100</f>
        <v>#N/A</v>
      </c>
      <c r="J633" s="4" t="e">
        <f>E633*VLOOKUP(B633,alimentos_master!$A:$R,18,FALSE())/100</f>
        <v>#N/A</v>
      </c>
    </row>
    <row r="634" spans="1:10" ht="15" customHeight="1" x14ac:dyDescent="0.2">
      <c r="A634" s="4">
        <v>633</v>
      </c>
      <c r="B634" s="4">
        <v>159</v>
      </c>
      <c r="C634" s="4" t="s">
        <v>250</v>
      </c>
      <c r="D634" s="4" t="s">
        <v>916</v>
      </c>
      <c r="E634" s="4">
        <v>75</v>
      </c>
      <c r="F634" s="4" t="s">
        <v>917</v>
      </c>
      <c r="G634" s="4" t="e">
        <f>E634*VLOOKUP(B634,alimentos_master!$A:$M,13,FALSE())/100</f>
        <v>#N/A</v>
      </c>
      <c r="H634" s="4" t="e">
        <f>E634*VLOOKUP(B634,alimentos_master!$A:$N,14,FALSE())/100</f>
        <v>#N/A</v>
      </c>
      <c r="I634" s="4" t="e">
        <f>E634*VLOOKUP(B634,alimentos_master!$A:$O,15,FALSE())/100</f>
        <v>#N/A</v>
      </c>
      <c r="J634" s="4" t="e">
        <f>E634*VLOOKUP(B634,alimentos_master!$A:$R,18,FALSE())/100</f>
        <v>#N/A</v>
      </c>
    </row>
    <row r="635" spans="1:10" ht="15" customHeight="1" x14ac:dyDescent="0.2">
      <c r="A635" s="4">
        <v>634</v>
      </c>
      <c r="B635" s="4">
        <v>159</v>
      </c>
      <c r="C635" s="4" t="s">
        <v>250</v>
      </c>
      <c r="D635" s="4" t="s">
        <v>918</v>
      </c>
      <c r="E635" s="4">
        <v>100</v>
      </c>
      <c r="F635" s="4" t="s">
        <v>917</v>
      </c>
      <c r="G635" s="4" t="e">
        <f>E635*VLOOKUP(B635,alimentos_master!$A:$M,13,FALSE())/100</f>
        <v>#N/A</v>
      </c>
      <c r="H635" s="4" t="e">
        <f>E635*VLOOKUP(B635,alimentos_master!$A:$N,14,FALSE())/100</f>
        <v>#N/A</v>
      </c>
      <c r="I635" s="4" t="e">
        <f>E635*VLOOKUP(B635,alimentos_master!$A:$O,15,FALSE())/100</f>
        <v>#N/A</v>
      </c>
      <c r="J635" s="4" t="e">
        <f>E635*VLOOKUP(B635,alimentos_master!$A:$R,18,FALSE())/100</f>
        <v>#N/A</v>
      </c>
    </row>
    <row r="636" spans="1:10" ht="15" customHeight="1" x14ac:dyDescent="0.2">
      <c r="A636" s="4">
        <v>635</v>
      </c>
      <c r="B636" s="4">
        <v>159</v>
      </c>
      <c r="C636" s="4" t="s">
        <v>250</v>
      </c>
      <c r="D636" s="4" t="s">
        <v>919</v>
      </c>
      <c r="E636" s="4">
        <v>150</v>
      </c>
      <c r="F636" s="4" t="s">
        <v>917</v>
      </c>
      <c r="G636" s="4" t="e">
        <f>E636*VLOOKUP(B636,alimentos_master!$A:$M,13,FALSE())/100</f>
        <v>#N/A</v>
      </c>
      <c r="H636" s="4" t="e">
        <f>E636*VLOOKUP(B636,alimentos_master!$A:$N,14,FALSE())/100</f>
        <v>#N/A</v>
      </c>
      <c r="I636" s="4" t="e">
        <f>E636*VLOOKUP(B636,alimentos_master!$A:$O,15,FALSE())/100</f>
        <v>#N/A</v>
      </c>
      <c r="J636" s="4" t="e">
        <f>E636*VLOOKUP(B636,alimentos_master!$A:$R,18,FALSE())/100</f>
        <v>#N/A</v>
      </c>
    </row>
    <row r="637" spans="1:10" ht="15" customHeight="1" x14ac:dyDescent="0.2">
      <c r="A637" s="4">
        <v>636</v>
      </c>
      <c r="B637" s="4">
        <v>159</v>
      </c>
      <c r="C637" s="4" t="s">
        <v>250</v>
      </c>
      <c r="D637" s="4" t="s">
        <v>920</v>
      </c>
      <c r="E637" s="4">
        <v>200</v>
      </c>
      <c r="F637" s="4" t="s">
        <v>917</v>
      </c>
      <c r="G637" s="4" t="e">
        <f>E637*VLOOKUP(B637,alimentos_master!$A:$M,13,FALSE())/100</f>
        <v>#N/A</v>
      </c>
      <c r="H637" s="4" t="e">
        <f>E637*VLOOKUP(B637,alimentos_master!$A:$N,14,FALSE())/100</f>
        <v>#N/A</v>
      </c>
      <c r="I637" s="4" t="e">
        <f>E637*VLOOKUP(B637,alimentos_master!$A:$O,15,FALSE())/100</f>
        <v>#N/A</v>
      </c>
      <c r="J637" s="4" t="e">
        <f>E637*VLOOKUP(B637,alimentos_master!$A:$R,18,FALSE())/100</f>
        <v>#N/A</v>
      </c>
    </row>
    <row r="638" spans="1:10" ht="15" customHeight="1" x14ac:dyDescent="0.2">
      <c r="A638" s="4">
        <v>637</v>
      </c>
      <c r="B638" s="4">
        <v>160</v>
      </c>
      <c r="C638" s="4" t="s">
        <v>251</v>
      </c>
      <c r="D638" s="4" t="s">
        <v>916</v>
      </c>
      <c r="E638" s="4">
        <v>75</v>
      </c>
      <c r="F638" s="4" t="s">
        <v>917</v>
      </c>
      <c r="G638" s="4">
        <f>E638*VLOOKUP(B638,alimentos_master!$A:$M,13,FALSE())/100</f>
        <v>264.75</v>
      </c>
      <c r="H638" s="4">
        <f>E638*VLOOKUP(B638,alimentos_master!$A:$N,14,FALSE())/100</f>
        <v>18.75</v>
      </c>
      <c r="I638" s="4">
        <f>E638*VLOOKUP(B638,alimentos_master!$A:$O,15,FALSE())/100</f>
        <v>45</v>
      </c>
      <c r="J638" s="4">
        <f>E638*VLOOKUP(B638,alimentos_master!$A:$R,18,FALSE())/100</f>
        <v>0.82499999999999996</v>
      </c>
    </row>
    <row r="639" spans="1:10" ht="15" customHeight="1" x14ac:dyDescent="0.2">
      <c r="A639" s="4">
        <v>638</v>
      </c>
      <c r="B639" s="4">
        <v>160</v>
      </c>
      <c r="C639" s="4" t="s">
        <v>251</v>
      </c>
      <c r="D639" s="4" t="s">
        <v>918</v>
      </c>
      <c r="E639" s="4">
        <v>100</v>
      </c>
      <c r="F639" s="4" t="s">
        <v>917</v>
      </c>
      <c r="G639" s="4">
        <f>E639*VLOOKUP(B639,alimentos_master!$A:$M,13,FALSE())/100</f>
        <v>353</v>
      </c>
      <c r="H639" s="4">
        <f>E639*VLOOKUP(B639,alimentos_master!$A:$N,14,FALSE())/100</f>
        <v>25</v>
      </c>
      <c r="I639" s="4">
        <f>E639*VLOOKUP(B639,alimentos_master!$A:$O,15,FALSE())/100</f>
        <v>60</v>
      </c>
      <c r="J639" s="4">
        <f>E639*VLOOKUP(B639,alimentos_master!$A:$R,18,FALSE())/100</f>
        <v>1.1000000000000001</v>
      </c>
    </row>
    <row r="640" spans="1:10" ht="15" customHeight="1" x14ac:dyDescent="0.2">
      <c r="A640" s="4">
        <v>639</v>
      </c>
      <c r="B640" s="4">
        <v>160</v>
      </c>
      <c r="C640" s="4" t="s">
        <v>251</v>
      </c>
      <c r="D640" s="4" t="s">
        <v>919</v>
      </c>
      <c r="E640" s="4">
        <v>150</v>
      </c>
      <c r="F640" s="4" t="s">
        <v>917</v>
      </c>
      <c r="G640" s="4">
        <f>E640*VLOOKUP(B640,alimentos_master!$A:$M,13,FALSE())/100</f>
        <v>529.5</v>
      </c>
      <c r="H640" s="4">
        <f>E640*VLOOKUP(B640,alimentos_master!$A:$N,14,FALSE())/100</f>
        <v>37.5</v>
      </c>
      <c r="I640" s="4">
        <f>E640*VLOOKUP(B640,alimentos_master!$A:$O,15,FALSE())/100</f>
        <v>90</v>
      </c>
      <c r="J640" s="4">
        <f>E640*VLOOKUP(B640,alimentos_master!$A:$R,18,FALSE())/100</f>
        <v>1.65</v>
      </c>
    </row>
    <row r="641" spans="1:10" ht="15" customHeight="1" x14ac:dyDescent="0.2">
      <c r="A641" s="4">
        <v>640</v>
      </c>
      <c r="B641" s="4">
        <v>160</v>
      </c>
      <c r="C641" s="4" t="s">
        <v>251</v>
      </c>
      <c r="D641" s="4" t="s">
        <v>920</v>
      </c>
      <c r="E641" s="4">
        <v>200</v>
      </c>
      <c r="F641" s="4" t="s">
        <v>917</v>
      </c>
      <c r="G641" s="4">
        <f>E641*VLOOKUP(B641,alimentos_master!$A:$M,13,FALSE())/100</f>
        <v>706</v>
      </c>
      <c r="H641" s="4">
        <f>E641*VLOOKUP(B641,alimentos_master!$A:$N,14,FALSE())/100</f>
        <v>50</v>
      </c>
      <c r="I641" s="4">
        <f>E641*VLOOKUP(B641,alimentos_master!$A:$O,15,FALSE())/100</f>
        <v>120</v>
      </c>
      <c r="J641" s="4">
        <f>E641*VLOOKUP(B641,alimentos_master!$A:$R,18,FALSE())/100</f>
        <v>2.2000000000000002</v>
      </c>
    </row>
    <row r="642" spans="1:10" ht="15" customHeight="1" x14ac:dyDescent="0.2">
      <c r="A642" s="4">
        <v>641</v>
      </c>
      <c r="B642" s="4">
        <v>161</v>
      </c>
      <c r="C642" s="4" t="s">
        <v>255</v>
      </c>
      <c r="D642" s="4" t="s">
        <v>916</v>
      </c>
      <c r="E642" s="4">
        <v>75</v>
      </c>
      <c r="F642" s="4" t="s">
        <v>917</v>
      </c>
      <c r="G642" s="4" t="e">
        <f>E642*VLOOKUP(B642,alimentos_master!$A:$M,13,FALSE())/100</f>
        <v>#N/A</v>
      </c>
      <c r="H642" s="4" t="e">
        <f>E642*VLOOKUP(B642,alimentos_master!$A:$N,14,FALSE())/100</f>
        <v>#N/A</v>
      </c>
      <c r="I642" s="4" t="e">
        <f>E642*VLOOKUP(B642,alimentos_master!$A:$O,15,FALSE())/100</f>
        <v>#N/A</v>
      </c>
      <c r="J642" s="4" t="e">
        <f>E642*VLOOKUP(B642,alimentos_master!$A:$R,18,FALSE())/100</f>
        <v>#N/A</v>
      </c>
    </row>
    <row r="643" spans="1:10" ht="15" customHeight="1" x14ac:dyDescent="0.2">
      <c r="A643" s="4">
        <v>642</v>
      </c>
      <c r="B643" s="4">
        <v>161</v>
      </c>
      <c r="C643" s="4" t="s">
        <v>255</v>
      </c>
      <c r="D643" s="4" t="s">
        <v>918</v>
      </c>
      <c r="E643" s="4">
        <v>100</v>
      </c>
      <c r="F643" s="4" t="s">
        <v>917</v>
      </c>
      <c r="G643" s="4" t="e">
        <f>E643*VLOOKUP(B643,alimentos_master!$A:$M,13,FALSE())/100</f>
        <v>#N/A</v>
      </c>
      <c r="H643" s="4" t="e">
        <f>E643*VLOOKUP(B643,alimentos_master!$A:$N,14,FALSE())/100</f>
        <v>#N/A</v>
      </c>
      <c r="I643" s="4" t="e">
        <f>E643*VLOOKUP(B643,alimentos_master!$A:$O,15,FALSE())/100</f>
        <v>#N/A</v>
      </c>
      <c r="J643" s="4" t="e">
        <f>E643*VLOOKUP(B643,alimentos_master!$A:$R,18,FALSE())/100</f>
        <v>#N/A</v>
      </c>
    </row>
    <row r="644" spans="1:10" ht="15" customHeight="1" x14ac:dyDescent="0.2">
      <c r="A644" s="4">
        <v>643</v>
      </c>
      <c r="B644" s="4">
        <v>161</v>
      </c>
      <c r="C644" s="4" t="s">
        <v>255</v>
      </c>
      <c r="D644" s="4" t="s">
        <v>919</v>
      </c>
      <c r="E644" s="4">
        <v>150</v>
      </c>
      <c r="F644" s="4" t="s">
        <v>917</v>
      </c>
      <c r="G644" s="4" t="e">
        <f>E644*VLOOKUP(B644,alimentos_master!$A:$M,13,FALSE())/100</f>
        <v>#N/A</v>
      </c>
      <c r="H644" s="4" t="e">
        <f>E644*VLOOKUP(B644,alimentos_master!$A:$N,14,FALSE())/100</f>
        <v>#N/A</v>
      </c>
      <c r="I644" s="4" t="e">
        <f>E644*VLOOKUP(B644,alimentos_master!$A:$O,15,FALSE())/100</f>
        <v>#N/A</v>
      </c>
      <c r="J644" s="4" t="e">
        <f>E644*VLOOKUP(B644,alimentos_master!$A:$R,18,FALSE())/100</f>
        <v>#N/A</v>
      </c>
    </row>
    <row r="645" spans="1:10" ht="15" customHeight="1" x14ac:dyDescent="0.2">
      <c r="A645" s="4">
        <v>644</v>
      </c>
      <c r="B645" s="4">
        <v>161</v>
      </c>
      <c r="C645" s="4" t="s">
        <v>255</v>
      </c>
      <c r="D645" s="4" t="s">
        <v>920</v>
      </c>
      <c r="E645" s="4">
        <v>200</v>
      </c>
      <c r="F645" s="4" t="s">
        <v>917</v>
      </c>
      <c r="G645" s="4" t="e">
        <f>E645*VLOOKUP(B645,alimentos_master!$A:$M,13,FALSE())/100</f>
        <v>#N/A</v>
      </c>
      <c r="H645" s="4" t="e">
        <f>E645*VLOOKUP(B645,alimentos_master!$A:$N,14,FALSE())/100</f>
        <v>#N/A</v>
      </c>
      <c r="I645" s="4" t="e">
        <f>E645*VLOOKUP(B645,alimentos_master!$A:$O,15,FALSE())/100</f>
        <v>#N/A</v>
      </c>
      <c r="J645" s="4" t="e">
        <f>E645*VLOOKUP(B645,alimentos_master!$A:$R,18,FALSE())/100</f>
        <v>#N/A</v>
      </c>
    </row>
    <row r="646" spans="1:10" ht="15" customHeight="1" x14ac:dyDescent="0.2">
      <c r="A646" s="4">
        <v>645</v>
      </c>
      <c r="B646" s="4">
        <v>162</v>
      </c>
      <c r="C646" s="4" t="s">
        <v>256</v>
      </c>
      <c r="D646" s="4" t="s">
        <v>916</v>
      </c>
      <c r="E646" s="4">
        <v>75</v>
      </c>
      <c r="F646" s="4" t="s">
        <v>917</v>
      </c>
      <c r="G646" s="4" t="e">
        <f>E646*VLOOKUP(B646,alimentos_master!$A:$M,13,FALSE())/100</f>
        <v>#N/A</v>
      </c>
      <c r="H646" s="4" t="e">
        <f>E646*VLOOKUP(B646,alimentos_master!$A:$N,14,FALSE())/100</f>
        <v>#N/A</v>
      </c>
      <c r="I646" s="4" t="e">
        <f>E646*VLOOKUP(B646,alimentos_master!$A:$O,15,FALSE())/100</f>
        <v>#N/A</v>
      </c>
      <c r="J646" s="4" t="e">
        <f>E646*VLOOKUP(B646,alimentos_master!$A:$R,18,FALSE())/100</f>
        <v>#N/A</v>
      </c>
    </row>
    <row r="647" spans="1:10" ht="15" customHeight="1" x14ac:dyDescent="0.2">
      <c r="A647" s="4">
        <v>646</v>
      </c>
      <c r="B647" s="4">
        <v>162</v>
      </c>
      <c r="C647" s="4" t="s">
        <v>256</v>
      </c>
      <c r="D647" s="4" t="s">
        <v>918</v>
      </c>
      <c r="E647" s="4">
        <v>100</v>
      </c>
      <c r="F647" s="4" t="s">
        <v>917</v>
      </c>
      <c r="G647" s="4" t="e">
        <f>E647*VLOOKUP(B647,alimentos_master!$A:$M,13,FALSE())/100</f>
        <v>#N/A</v>
      </c>
      <c r="H647" s="4" t="e">
        <f>E647*VLOOKUP(B647,alimentos_master!$A:$N,14,FALSE())/100</f>
        <v>#N/A</v>
      </c>
      <c r="I647" s="4" t="e">
        <f>E647*VLOOKUP(B647,alimentos_master!$A:$O,15,FALSE())/100</f>
        <v>#N/A</v>
      </c>
      <c r="J647" s="4" t="e">
        <f>E647*VLOOKUP(B647,alimentos_master!$A:$R,18,FALSE())/100</f>
        <v>#N/A</v>
      </c>
    </row>
    <row r="648" spans="1:10" ht="15" customHeight="1" x14ac:dyDescent="0.2">
      <c r="A648" s="4">
        <v>647</v>
      </c>
      <c r="B648" s="4">
        <v>162</v>
      </c>
      <c r="C648" s="4" t="s">
        <v>256</v>
      </c>
      <c r="D648" s="4" t="s">
        <v>919</v>
      </c>
      <c r="E648" s="4">
        <v>150</v>
      </c>
      <c r="F648" s="4" t="s">
        <v>917</v>
      </c>
      <c r="G648" s="4" t="e">
        <f>E648*VLOOKUP(B648,alimentos_master!$A:$M,13,FALSE())/100</f>
        <v>#N/A</v>
      </c>
      <c r="H648" s="4" t="e">
        <f>E648*VLOOKUP(B648,alimentos_master!$A:$N,14,FALSE())/100</f>
        <v>#N/A</v>
      </c>
      <c r="I648" s="4" t="e">
        <f>E648*VLOOKUP(B648,alimentos_master!$A:$O,15,FALSE())/100</f>
        <v>#N/A</v>
      </c>
      <c r="J648" s="4" t="e">
        <f>E648*VLOOKUP(B648,alimentos_master!$A:$R,18,FALSE())/100</f>
        <v>#N/A</v>
      </c>
    </row>
    <row r="649" spans="1:10" ht="15" customHeight="1" x14ac:dyDescent="0.2">
      <c r="A649" s="4">
        <v>648</v>
      </c>
      <c r="B649" s="4">
        <v>162</v>
      </c>
      <c r="C649" s="4" t="s">
        <v>256</v>
      </c>
      <c r="D649" s="4" t="s">
        <v>920</v>
      </c>
      <c r="E649" s="4">
        <v>200</v>
      </c>
      <c r="F649" s="4" t="s">
        <v>917</v>
      </c>
      <c r="G649" s="4" t="e">
        <f>E649*VLOOKUP(B649,alimentos_master!$A:$M,13,FALSE())/100</f>
        <v>#N/A</v>
      </c>
      <c r="H649" s="4" t="e">
        <f>E649*VLOOKUP(B649,alimentos_master!$A:$N,14,FALSE())/100</f>
        <v>#N/A</v>
      </c>
      <c r="I649" s="4" t="e">
        <f>E649*VLOOKUP(B649,alimentos_master!$A:$O,15,FALSE())/100</f>
        <v>#N/A</v>
      </c>
      <c r="J649" s="4" t="e">
        <f>E649*VLOOKUP(B649,alimentos_master!$A:$R,18,FALSE())/100</f>
        <v>#N/A</v>
      </c>
    </row>
    <row r="650" spans="1:10" ht="15" customHeight="1" x14ac:dyDescent="0.2">
      <c r="A650" s="4">
        <v>649</v>
      </c>
      <c r="B650" s="4">
        <v>163</v>
      </c>
      <c r="C650" s="4" t="s">
        <v>257</v>
      </c>
      <c r="D650" s="4" t="s">
        <v>916</v>
      </c>
      <c r="E650" s="4">
        <v>75</v>
      </c>
      <c r="F650" s="4" t="s">
        <v>917</v>
      </c>
      <c r="G650" s="4">
        <f>E650*VLOOKUP(B650,alimentos_master!$A:$M,13,FALSE())/100</f>
        <v>84.75</v>
      </c>
      <c r="H650" s="4">
        <f>E650*VLOOKUP(B650,alimentos_master!$A:$N,14,FALSE())/100</f>
        <v>6.375</v>
      </c>
      <c r="I650" s="4">
        <f>E650*VLOOKUP(B650,alimentos_master!$A:$O,15,FALSE())/100</f>
        <v>15.3</v>
      </c>
      <c r="J650" s="4">
        <f>E650*VLOOKUP(B650,alimentos_master!$A:$R,18,FALSE())/100</f>
        <v>0.27750000000000002</v>
      </c>
    </row>
    <row r="651" spans="1:10" ht="15" customHeight="1" x14ac:dyDescent="0.2">
      <c r="A651" s="4">
        <v>650</v>
      </c>
      <c r="B651" s="4">
        <v>163</v>
      </c>
      <c r="C651" s="4" t="s">
        <v>257</v>
      </c>
      <c r="D651" s="4" t="s">
        <v>918</v>
      </c>
      <c r="E651" s="4">
        <v>100</v>
      </c>
      <c r="F651" s="4" t="s">
        <v>917</v>
      </c>
      <c r="G651" s="4">
        <f>E651*VLOOKUP(B651,alimentos_master!$A:$M,13,FALSE())/100</f>
        <v>113</v>
      </c>
      <c r="H651" s="4">
        <f>E651*VLOOKUP(B651,alimentos_master!$A:$N,14,FALSE())/100</f>
        <v>8.5</v>
      </c>
      <c r="I651" s="4">
        <f>E651*VLOOKUP(B651,alimentos_master!$A:$O,15,FALSE())/100</f>
        <v>20.399999999999999</v>
      </c>
      <c r="J651" s="4">
        <f>E651*VLOOKUP(B651,alimentos_master!$A:$R,18,FALSE())/100</f>
        <v>0.37</v>
      </c>
    </row>
    <row r="652" spans="1:10" ht="15" customHeight="1" x14ac:dyDescent="0.2">
      <c r="A652" s="4">
        <v>651</v>
      </c>
      <c r="B652" s="4">
        <v>163</v>
      </c>
      <c r="C652" s="4" t="s">
        <v>257</v>
      </c>
      <c r="D652" s="4" t="s">
        <v>919</v>
      </c>
      <c r="E652" s="4">
        <v>150</v>
      </c>
      <c r="F652" s="4" t="s">
        <v>917</v>
      </c>
      <c r="G652" s="4">
        <f>E652*VLOOKUP(B652,alimentos_master!$A:$M,13,FALSE())/100</f>
        <v>169.5</v>
      </c>
      <c r="H652" s="4">
        <f>E652*VLOOKUP(B652,alimentos_master!$A:$N,14,FALSE())/100</f>
        <v>12.75</v>
      </c>
      <c r="I652" s="4">
        <f>E652*VLOOKUP(B652,alimentos_master!$A:$O,15,FALSE())/100</f>
        <v>30.6</v>
      </c>
      <c r="J652" s="4">
        <f>E652*VLOOKUP(B652,alimentos_master!$A:$R,18,FALSE())/100</f>
        <v>0.55500000000000005</v>
      </c>
    </row>
    <row r="653" spans="1:10" ht="15" customHeight="1" x14ac:dyDescent="0.2">
      <c r="A653" s="4">
        <v>652</v>
      </c>
      <c r="B653" s="4">
        <v>163</v>
      </c>
      <c r="C653" s="4" t="s">
        <v>257</v>
      </c>
      <c r="D653" s="4" t="s">
        <v>920</v>
      </c>
      <c r="E653" s="4">
        <v>200</v>
      </c>
      <c r="F653" s="4" t="s">
        <v>917</v>
      </c>
      <c r="G653" s="4">
        <f>E653*VLOOKUP(B653,alimentos_master!$A:$M,13,FALSE())/100</f>
        <v>226</v>
      </c>
      <c r="H653" s="4">
        <f>E653*VLOOKUP(B653,alimentos_master!$A:$N,14,FALSE())/100</f>
        <v>17</v>
      </c>
      <c r="I653" s="4">
        <f>E653*VLOOKUP(B653,alimentos_master!$A:$O,15,FALSE())/100</f>
        <v>40.799999999999997</v>
      </c>
      <c r="J653" s="4">
        <f>E653*VLOOKUP(B653,alimentos_master!$A:$R,18,FALSE())/100</f>
        <v>0.74</v>
      </c>
    </row>
    <row r="654" spans="1:10" ht="15" customHeight="1" x14ac:dyDescent="0.2">
      <c r="A654" s="4">
        <v>653</v>
      </c>
      <c r="B654" s="4">
        <v>164</v>
      </c>
      <c r="C654" s="4" t="s">
        <v>259</v>
      </c>
      <c r="D654" s="4" t="s">
        <v>916</v>
      </c>
      <c r="E654" s="4">
        <v>75</v>
      </c>
      <c r="F654" s="4" t="s">
        <v>917</v>
      </c>
      <c r="G654" s="4" t="e">
        <f>E654*VLOOKUP(B654,alimentos_master!$A:$M,13,FALSE())/100</f>
        <v>#N/A</v>
      </c>
      <c r="H654" s="4" t="e">
        <f>E654*VLOOKUP(B654,alimentos_master!$A:$N,14,FALSE())/100</f>
        <v>#N/A</v>
      </c>
      <c r="I654" s="4" t="e">
        <f>E654*VLOOKUP(B654,alimentos_master!$A:$O,15,FALSE())/100</f>
        <v>#N/A</v>
      </c>
      <c r="J654" s="4" t="e">
        <f>E654*VLOOKUP(B654,alimentos_master!$A:$R,18,FALSE())/100</f>
        <v>#N/A</v>
      </c>
    </row>
    <row r="655" spans="1:10" ht="15" customHeight="1" x14ac:dyDescent="0.2">
      <c r="A655" s="4">
        <v>654</v>
      </c>
      <c r="B655" s="4">
        <v>164</v>
      </c>
      <c r="C655" s="4" t="s">
        <v>259</v>
      </c>
      <c r="D655" s="4" t="s">
        <v>918</v>
      </c>
      <c r="E655" s="4">
        <v>100</v>
      </c>
      <c r="F655" s="4" t="s">
        <v>917</v>
      </c>
      <c r="G655" s="4" t="e">
        <f>E655*VLOOKUP(B655,alimentos_master!$A:$M,13,FALSE())/100</f>
        <v>#N/A</v>
      </c>
      <c r="H655" s="4" t="e">
        <f>E655*VLOOKUP(B655,alimentos_master!$A:$N,14,FALSE())/100</f>
        <v>#N/A</v>
      </c>
      <c r="I655" s="4" t="e">
        <f>E655*VLOOKUP(B655,alimentos_master!$A:$O,15,FALSE())/100</f>
        <v>#N/A</v>
      </c>
      <c r="J655" s="4" t="e">
        <f>E655*VLOOKUP(B655,alimentos_master!$A:$R,18,FALSE())/100</f>
        <v>#N/A</v>
      </c>
    </row>
    <row r="656" spans="1:10" ht="15" customHeight="1" x14ac:dyDescent="0.2">
      <c r="A656" s="4">
        <v>655</v>
      </c>
      <c r="B656" s="4">
        <v>164</v>
      </c>
      <c r="C656" s="4" t="s">
        <v>259</v>
      </c>
      <c r="D656" s="4" t="s">
        <v>919</v>
      </c>
      <c r="E656" s="4">
        <v>150</v>
      </c>
      <c r="F656" s="4" t="s">
        <v>917</v>
      </c>
      <c r="G656" s="4" t="e">
        <f>E656*VLOOKUP(B656,alimentos_master!$A:$M,13,FALSE())/100</f>
        <v>#N/A</v>
      </c>
      <c r="H656" s="4" t="e">
        <f>E656*VLOOKUP(B656,alimentos_master!$A:$N,14,FALSE())/100</f>
        <v>#N/A</v>
      </c>
      <c r="I656" s="4" t="e">
        <f>E656*VLOOKUP(B656,alimentos_master!$A:$O,15,FALSE())/100</f>
        <v>#N/A</v>
      </c>
      <c r="J656" s="4" t="e">
        <f>E656*VLOOKUP(B656,alimentos_master!$A:$R,18,FALSE())/100</f>
        <v>#N/A</v>
      </c>
    </row>
    <row r="657" spans="1:10" ht="15" customHeight="1" x14ac:dyDescent="0.2">
      <c r="A657" s="4">
        <v>656</v>
      </c>
      <c r="B657" s="4">
        <v>164</v>
      </c>
      <c r="C657" s="4" t="s">
        <v>259</v>
      </c>
      <c r="D657" s="4" t="s">
        <v>920</v>
      </c>
      <c r="E657" s="4">
        <v>200</v>
      </c>
      <c r="F657" s="4" t="s">
        <v>917</v>
      </c>
      <c r="G657" s="4" t="e">
        <f>E657*VLOOKUP(B657,alimentos_master!$A:$M,13,FALSE())/100</f>
        <v>#N/A</v>
      </c>
      <c r="H657" s="4" t="e">
        <f>E657*VLOOKUP(B657,alimentos_master!$A:$N,14,FALSE())/100</f>
        <v>#N/A</v>
      </c>
      <c r="I657" s="4" t="e">
        <f>E657*VLOOKUP(B657,alimentos_master!$A:$O,15,FALSE())/100</f>
        <v>#N/A</v>
      </c>
      <c r="J657" s="4" t="e">
        <f>E657*VLOOKUP(B657,alimentos_master!$A:$R,18,FALSE())/100</f>
        <v>#N/A</v>
      </c>
    </row>
    <row r="658" spans="1:10" ht="15" customHeight="1" x14ac:dyDescent="0.2">
      <c r="A658" s="4">
        <v>657</v>
      </c>
      <c r="B658" s="4">
        <v>165</v>
      </c>
      <c r="C658" s="4" t="s">
        <v>260</v>
      </c>
      <c r="D658" s="4" t="s">
        <v>916</v>
      </c>
      <c r="E658" s="4">
        <v>75</v>
      </c>
      <c r="F658" s="4" t="s">
        <v>917</v>
      </c>
      <c r="G658" s="4" t="e">
        <f>E658*VLOOKUP(B658,alimentos_master!$A:$M,13,FALSE())/100</f>
        <v>#N/A</v>
      </c>
      <c r="H658" s="4" t="e">
        <f>E658*VLOOKUP(B658,alimentos_master!$A:$N,14,FALSE())/100</f>
        <v>#N/A</v>
      </c>
      <c r="I658" s="4" t="e">
        <f>E658*VLOOKUP(B658,alimentos_master!$A:$O,15,FALSE())/100</f>
        <v>#N/A</v>
      </c>
      <c r="J658" s="4" t="e">
        <f>E658*VLOOKUP(B658,alimentos_master!$A:$R,18,FALSE())/100</f>
        <v>#N/A</v>
      </c>
    </row>
    <row r="659" spans="1:10" ht="15" customHeight="1" x14ac:dyDescent="0.2">
      <c r="A659" s="4">
        <v>658</v>
      </c>
      <c r="B659" s="4">
        <v>165</v>
      </c>
      <c r="C659" s="4" t="s">
        <v>260</v>
      </c>
      <c r="D659" s="4" t="s">
        <v>918</v>
      </c>
      <c r="E659" s="4">
        <v>100</v>
      </c>
      <c r="F659" s="4" t="s">
        <v>917</v>
      </c>
      <c r="G659" s="4" t="e">
        <f>E659*VLOOKUP(B659,alimentos_master!$A:$M,13,FALSE())/100</f>
        <v>#N/A</v>
      </c>
      <c r="H659" s="4" t="e">
        <f>E659*VLOOKUP(B659,alimentos_master!$A:$N,14,FALSE())/100</f>
        <v>#N/A</v>
      </c>
      <c r="I659" s="4" t="e">
        <f>E659*VLOOKUP(B659,alimentos_master!$A:$O,15,FALSE())/100</f>
        <v>#N/A</v>
      </c>
      <c r="J659" s="4" t="e">
        <f>E659*VLOOKUP(B659,alimentos_master!$A:$R,18,FALSE())/100</f>
        <v>#N/A</v>
      </c>
    </row>
    <row r="660" spans="1:10" ht="15" customHeight="1" x14ac:dyDescent="0.2">
      <c r="A660" s="4">
        <v>659</v>
      </c>
      <c r="B660" s="4">
        <v>165</v>
      </c>
      <c r="C660" s="4" t="s">
        <v>260</v>
      </c>
      <c r="D660" s="4" t="s">
        <v>919</v>
      </c>
      <c r="E660" s="4">
        <v>150</v>
      </c>
      <c r="F660" s="4" t="s">
        <v>917</v>
      </c>
      <c r="G660" s="4" t="e">
        <f>E660*VLOOKUP(B660,alimentos_master!$A:$M,13,FALSE())/100</f>
        <v>#N/A</v>
      </c>
      <c r="H660" s="4" t="e">
        <f>E660*VLOOKUP(B660,alimentos_master!$A:$N,14,FALSE())/100</f>
        <v>#N/A</v>
      </c>
      <c r="I660" s="4" t="e">
        <f>E660*VLOOKUP(B660,alimentos_master!$A:$O,15,FALSE())/100</f>
        <v>#N/A</v>
      </c>
      <c r="J660" s="4" t="e">
        <f>E660*VLOOKUP(B660,alimentos_master!$A:$R,18,FALSE())/100</f>
        <v>#N/A</v>
      </c>
    </row>
    <row r="661" spans="1:10" ht="15" customHeight="1" x14ac:dyDescent="0.2">
      <c r="A661" s="4">
        <v>660</v>
      </c>
      <c r="B661" s="4">
        <v>165</v>
      </c>
      <c r="C661" s="4" t="s">
        <v>260</v>
      </c>
      <c r="D661" s="4" t="s">
        <v>920</v>
      </c>
      <c r="E661" s="4">
        <v>200</v>
      </c>
      <c r="F661" s="4" t="s">
        <v>917</v>
      </c>
      <c r="G661" s="4" t="e">
        <f>E661*VLOOKUP(B661,alimentos_master!$A:$M,13,FALSE())/100</f>
        <v>#N/A</v>
      </c>
      <c r="H661" s="4" t="e">
        <f>E661*VLOOKUP(B661,alimentos_master!$A:$N,14,FALSE())/100</f>
        <v>#N/A</v>
      </c>
      <c r="I661" s="4" t="e">
        <f>E661*VLOOKUP(B661,alimentos_master!$A:$O,15,FALSE())/100</f>
        <v>#N/A</v>
      </c>
      <c r="J661" s="4" t="e">
        <f>E661*VLOOKUP(B661,alimentos_master!$A:$R,18,FALSE())/100</f>
        <v>#N/A</v>
      </c>
    </row>
    <row r="662" spans="1:10" ht="15" customHeight="1" x14ac:dyDescent="0.2">
      <c r="A662" s="4">
        <v>661</v>
      </c>
      <c r="B662" s="4">
        <v>166</v>
      </c>
      <c r="C662" s="4" t="s">
        <v>261</v>
      </c>
      <c r="D662" s="4" t="s">
        <v>916</v>
      </c>
      <c r="E662" s="4">
        <v>75</v>
      </c>
      <c r="F662" s="4" t="s">
        <v>917</v>
      </c>
      <c r="G662" s="4">
        <f>E662*VLOOKUP(B662,alimentos_master!$A:$M,13,FALSE())/100</f>
        <v>119.1</v>
      </c>
      <c r="H662" s="4">
        <f>E662*VLOOKUP(B662,alimentos_master!$A:$N,14,FALSE())/100</f>
        <v>7.125</v>
      </c>
      <c r="I662" s="4">
        <f>E662*VLOOKUP(B662,alimentos_master!$A:$O,15,FALSE())/100</f>
        <v>17.100000000000001</v>
      </c>
      <c r="J662" s="4">
        <f>E662*VLOOKUP(B662,alimentos_master!$A:$R,18,FALSE())/100</f>
        <v>0.315</v>
      </c>
    </row>
    <row r="663" spans="1:10" ht="15" customHeight="1" x14ac:dyDescent="0.2">
      <c r="A663" s="4">
        <v>662</v>
      </c>
      <c r="B663" s="4">
        <v>166</v>
      </c>
      <c r="C663" s="4" t="s">
        <v>261</v>
      </c>
      <c r="D663" s="4" t="s">
        <v>918</v>
      </c>
      <c r="E663" s="4">
        <v>100</v>
      </c>
      <c r="F663" s="4" t="s">
        <v>917</v>
      </c>
      <c r="G663" s="4">
        <f>E663*VLOOKUP(B663,alimentos_master!$A:$M,13,FALSE())/100</f>
        <v>158.80000000000001</v>
      </c>
      <c r="H663" s="4">
        <f>E663*VLOOKUP(B663,alimentos_master!$A:$N,14,FALSE())/100</f>
        <v>9.5</v>
      </c>
      <c r="I663" s="4">
        <f>E663*VLOOKUP(B663,alimentos_master!$A:$O,15,FALSE())/100</f>
        <v>22.8</v>
      </c>
      <c r="J663" s="4">
        <f>E663*VLOOKUP(B663,alimentos_master!$A:$R,18,FALSE())/100</f>
        <v>0.42</v>
      </c>
    </row>
    <row r="664" spans="1:10" ht="15" customHeight="1" x14ac:dyDescent="0.2">
      <c r="A664" s="4">
        <v>663</v>
      </c>
      <c r="B664" s="4">
        <v>166</v>
      </c>
      <c r="C664" s="4" t="s">
        <v>261</v>
      </c>
      <c r="D664" s="4" t="s">
        <v>919</v>
      </c>
      <c r="E664" s="4">
        <v>150</v>
      </c>
      <c r="F664" s="4" t="s">
        <v>917</v>
      </c>
      <c r="G664" s="4">
        <f>E664*VLOOKUP(B664,alimentos_master!$A:$M,13,FALSE())/100</f>
        <v>238.2</v>
      </c>
      <c r="H664" s="4">
        <f>E664*VLOOKUP(B664,alimentos_master!$A:$N,14,FALSE())/100</f>
        <v>14.25</v>
      </c>
      <c r="I664" s="4">
        <f>E664*VLOOKUP(B664,alimentos_master!$A:$O,15,FALSE())/100</f>
        <v>34.200000000000003</v>
      </c>
      <c r="J664" s="4">
        <f>E664*VLOOKUP(B664,alimentos_master!$A:$R,18,FALSE())/100</f>
        <v>0.63</v>
      </c>
    </row>
    <row r="665" spans="1:10" ht="15" customHeight="1" x14ac:dyDescent="0.2">
      <c r="A665" s="4">
        <v>664</v>
      </c>
      <c r="B665" s="4">
        <v>166</v>
      </c>
      <c r="C665" s="4" t="s">
        <v>261</v>
      </c>
      <c r="D665" s="4" t="s">
        <v>920</v>
      </c>
      <c r="E665" s="4">
        <v>200</v>
      </c>
      <c r="F665" s="4" t="s">
        <v>917</v>
      </c>
      <c r="G665" s="4">
        <f>E665*VLOOKUP(B665,alimentos_master!$A:$M,13,FALSE())/100</f>
        <v>317.60000000000002</v>
      </c>
      <c r="H665" s="4">
        <f>E665*VLOOKUP(B665,alimentos_master!$A:$N,14,FALSE())/100</f>
        <v>19</v>
      </c>
      <c r="I665" s="4">
        <f>E665*VLOOKUP(B665,alimentos_master!$A:$O,15,FALSE())/100</f>
        <v>45.6</v>
      </c>
      <c r="J665" s="4">
        <f>E665*VLOOKUP(B665,alimentos_master!$A:$R,18,FALSE())/100</f>
        <v>0.84</v>
      </c>
    </row>
    <row r="666" spans="1:10" ht="15" customHeight="1" x14ac:dyDescent="0.2">
      <c r="A666" s="4">
        <v>665</v>
      </c>
      <c r="B666" s="4">
        <v>167</v>
      </c>
      <c r="C666" s="4" t="s">
        <v>263</v>
      </c>
      <c r="D666" s="4" t="s">
        <v>916</v>
      </c>
      <c r="E666" s="4">
        <v>75</v>
      </c>
      <c r="F666" s="4" t="s">
        <v>917</v>
      </c>
      <c r="G666" s="4" t="e">
        <f>E666*VLOOKUP(B666,alimentos_master!$A:$M,13,FALSE())/100</f>
        <v>#N/A</v>
      </c>
      <c r="H666" s="4" t="e">
        <f>E666*VLOOKUP(B666,alimentos_master!$A:$N,14,FALSE())/100</f>
        <v>#N/A</v>
      </c>
      <c r="I666" s="4" t="e">
        <f>E666*VLOOKUP(B666,alimentos_master!$A:$O,15,FALSE())/100</f>
        <v>#N/A</v>
      </c>
      <c r="J666" s="4" t="e">
        <f>E666*VLOOKUP(B666,alimentos_master!$A:$R,18,FALSE())/100</f>
        <v>#N/A</v>
      </c>
    </row>
    <row r="667" spans="1:10" ht="15" customHeight="1" x14ac:dyDescent="0.2">
      <c r="A667" s="4">
        <v>666</v>
      </c>
      <c r="B667" s="4">
        <v>167</v>
      </c>
      <c r="C667" s="4" t="s">
        <v>263</v>
      </c>
      <c r="D667" s="4" t="s">
        <v>918</v>
      </c>
      <c r="E667" s="4">
        <v>100</v>
      </c>
      <c r="F667" s="4" t="s">
        <v>917</v>
      </c>
      <c r="G667" s="4" t="e">
        <f>E667*VLOOKUP(B667,alimentos_master!$A:$M,13,FALSE())/100</f>
        <v>#N/A</v>
      </c>
      <c r="H667" s="4" t="e">
        <f>E667*VLOOKUP(B667,alimentos_master!$A:$N,14,FALSE())/100</f>
        <v>#N/A</v>
      </c>
      <c r="I667" s="4" t="e">
        <f>E667*VLOOKUP(B667,alimentos_master!$A:$O,15,FALSE())/100</f>
        <v>#N/A</v>
      </c>
      <c r="J667" s="4" t="e">
        <f>E667*VLOOKUP(B667,alimentos_master!$A:$R,18,FALSE())/100</f>
        <v>#N/A</v>
      </c>
    </row>
    <row r="668" spans="1:10" ht="15" customHeight="1" x14ac:dyDescent="0.2">
      <c r="A668" s="4">
        <v>667</v>
      </c>
      <c r="B668" s="4">
        <v>167</v>
      </c>
      <c r="C668" s="4" t="s">
        <v>263</v>
      </c>
      <c r="D668" s="4" t="s">
        <v>919</v>
      </c>
      <c r="E668" s="4">
        <v>150</v>
      </c>
      <c r="F668" s="4" t="s">
        <v>917</v>
      </c>
      <c r="G668" s="4" t="e">
        <f>E668*VLOOKUP(B668,alimentos_master!$A:$M,13,FALSE())/100</f>
        <v>#N/A</v>
      </c>
      <c r="H668" s="4" t="e">
        <f>E668*VLOOKUP(B668,alimentos_master!$A:$N,14,FALSE())/100</f>
        <v>#N/A</v>
      </c>
      <c r="I668" s="4" t="e">
        <f>E668*VLOOKUP(B668,alimentos_master!$A:$O,15,FALSE())/100</f>
        <v>#N/A</v>
      </c>
      <c r="J668" s="4" t="e">
        <f>E668*VLOOKUP(B668,alimentos_master!$A:$R,18,FALSE())/100</f>
        <v>#N/A</v>
      </c>
    </row>
    <row r="669" spans="1:10" ht="15" customHeight="1" x14ac:dyDescent="0.2">
      <c r="A669" s="4">
        <v>668</v>
      </c>
      <c r="B669" s="4">
        <v>167</v>
      </c>
      <c r="C669" s="4" t="s">
        <v>263</v>
      </c>
      <c r="D669" s="4" t="s">
        <v>920</v>
      </c>
      <c r="E669" s="4">
        <v>200</v>
      </c>
      <c r="F669" s="4" t="s">
        <v>917</v>
      </c>
      <c r="G669" s="4" t="e">
        <f>E669*VLOOKUP(B669,alimentos_master!$A:$M,13,FALSE())/100</f>
        <v>#N/A</v>
      </c>
      <c r="H669" s="4" t="e">
        <f>E669*VLOOKUP(B669,alimentos_master!$A:$N,14,FALSE())/100</f>
        <v>#N/A</v>
      </c>
      <c r="I669" s="4" t="e">
        <f>E669*VLOOKUP(B669,alimentos_master!$A:$O,15,FALSE())/100</f>
        <v>#N/A</v>
      </c>
      <c r="J669" s="4" t="e">
        <f>E669*VLOOKUP(B669,alimentos_master!$A:$R,18,FALSE())/100</f>
        <v>#N/A</v>
      </c>
    </row>
    <row r="670" spans="1:10" ht="15" customHeight="1" x14ac:dyDescent="0.2">
      <c r="A670" s="4">
        <v>669</v>
      </c>
      <c r="B670" s="4">
        <v>168</v>
      </c>
      <c r="C670" s="4" t="s">
        <v>264</v>
      </c>
      <c r="D670" s="4" t="s">
        <v>916</v>
      </c>
      <c r="E670" s="4">
        <v>75</v>
      </c>
      <c r="F670" s="4" t="s">
        <v>917</v>
      </c>
      <c r="G670" s="4" t="e">
        <f>E670*VLOOKUP(B670,alimentos_master!$A:$M,13,FALSE())/100</f>
        <v>#N/A</v>
      </c>
      <c r="H670" s="4" t="e">
        <f>E670*VLOOKUP(B670,alimentos_master!$A:$N,14,FALSE())/100</f>
        <v>#N/A</v>
      </c>
      <c r="I670" s="4" t="e">
        <f>E670*VLOOKUP(B670,alimentos_master!$A:$O,15,FALSE())/100</f>
        <v>#N/A</v>
      </c>
      <c r="J670" s="4" t="e">
        <f>E670*VLOOKUP(B670,alimentos_master!$A:$R,18,FALSE())/100</f>
        <v>#N/A</v>
      </c>
    </row>
    <row r="671" spans="1:10" ht="15" customHeight="1" x14ac:dyDescent="0.2">
      <c r="A671" s="4">
        <v>670</v>
      </c>
      <c r="B671" s="4">
        <v>168</v>
      </c>
      <c r="C671" s="4" t="s">
        <v>264</v>
      </c>
      <c r="D671" s="4" t="s">
        <v>918</v>
      </c>
      <c r="E671" s="4">
        <v>100</v>
      </c>
      <c r="F671" s="4" t="s">
        <v>917</v>
      </c>
      <c r="G671" s="4" t="e">
        <f>E671*VLOOKUP(B671,alimentos_master!$A:$M,13,FALSE())/100</f>
        <v>#N/A</v>
      </c>
      <c r="H671" s="4" t="e">
        <f>E671*VLOOKUP(B671,alimentos_master!$A:$N,14,FALSE())/100</f>
        <v>#N/A</v>
      </c>
      <c r="I671" s="4" t="e">
        <f>E671*VLOOKUP(B671,alimentos_master!$A:$O,15,FALSE())/100</f>
        <v>#N/A</v>
      </c>
      <c r="J671" s="4" t="e">
        <f>E671*VLOOKUP(B671,alimentos_master!$A:$R,18,FALSE())/100</f>
        <v>#N/A</v>
      </c>
    </row>
    <row r="672" spans="1:10" ht="15" customHeight="1" x14ac:dyDescent="0.2">
      <c r="A672" s="4">
        <v>671</v>
      </c>
      <c r="B672" s="4">
        <v>168</v>
      </c>
      <c r="C672" s="4" t="s">
        <v>264</v>
      </c>
      <c r="D672" s="4" t="s">
        <v>919</v>
      </c>
      <c r="E672" s="4">
        <v>150</v>
      </c>
      <c r="F672" s="4" t="s">
        <v>917</v>
      </c>
      <c r="G672" s="4" t="e">
        <f>E672*VLOOKUP(B672,alimentos_master!$A:$M,13,FALSE())/100</f>
        <v>#N/A</v>
      </c>
      <c r="H672" s="4" t="e">
        <f>E672*VLOOKUP(B672,alimentos_master!$A:$N,14,FALSE())/100</f>
        <v>#N/A</v>
      </c>
      <c r="I672" s="4" t="e">
        <f>E672*VLOOKUP(B672,alimentos_master!$A:$O,15,FALSE())/100</f>
        <v>#N/A</v>
      </c>
      <c r="J672" s="4" t="e">
        <f>E672*VLOOKUP(B672,alimentos_master!$A:$R,18,FALSE())/100</f>
        <v>#N/A</v>
      </c>
    </row>
    <row r="673" spans="1:10" ht="15" customHeight="1" x14ac:dyDescent="0.2">
      <c r="A673" s="4">
        <v>672</v>
      </c>
      <c r="B673" s="4">
        <v>168</v>
      </c>
      <c r="C673" s="4" t="s">
        <v>264</v>
      </c>
      <c r="D673" s="4" t="s">
        <v>920</v>
      </c>
      <c r="E673" s="4">
        <v>200</v>
      </c>
      <c r="F673" s="4" t="s">
        <v>917</v>
      </c>
      <c r="G673" s="4" t="e">
        <f>E673*VLOOKUP(B673,alimentos_master!$A:$M,13,FALSE())/100</f>
        <v>#N/A</v>
      </c>
      <c r="H673" s="4" t="e">
        <f>E673*VLOOKUP(B673,alimentos_master!$A:$N,14,FALSE())/100</f>
        <v>#N/A</v>
      </c>
      <c r="I673" s="4" t="e">
        <f>E673*VLOOKUP(B673,alimentos_master!$A:$O,15,FALSE())/100</f>
        <v>#N/A</v>
      </c>
      <c r="J673" s="4" t="e">
        <f>E673*VLOOKUP(B673,alimentos_master!$A:$R,18,FALSE())/100</f>
        <v>#N/A</v>
      </c>
    </row>
    <row r="674" spans="1:10" ht="15" customHeight="1" x14ac:dyDescent="0.2">
      <c r="A674" s="4">
        <v>673</v>
      </c>
      <c r="B674" s="4">
        <v>169</v>
      </c>
      <c r="C674" s="4" t="s">
        <v>265</v>
      </c>
      <c r="D674" s="4" t="s">
        <v>916</v>
      </c>
      <c r="E674" s="4">
        <v>75</v>
      </c>
      <c r="F674" s="4" t="s">
        <v>917</v>
      </c>
      <c r="G674" s="4" t="e">
        <f>E674*VLOOKUP(B674,alimentos_master!$A:$M,13,FALSE())/100</f>
        <v>#N/A</v>
      </c>
      <c r="H674" s="4" t="e">
        <f>E674*VLOOKUP(B674,alimentos_master!$A:$N,14,FALSE())/100</f>
        <v>#N/A</v>
      </c>
      <c r="I674" s="4" t="e">
        <f>E674*VLOOKUP(B674,alimentos_master!$A:$O,15,FALSE())/100</f>
        <v>#N/A</v>
      </c>
      <c r="J674" s="4" t="e">
        <f>E674*VLOOKUP(B674,alimentos_master!$A:$R,18,FALSE())/100</f>
        <v>#N/A</v>
      </c>
    </row>
    <row r="675" spans="1:10" ht="15" customHeight="1" x14ac:dyDescent="0.2">
      <c r="A675" s="4">
        <v>674</v>
      </c>
      <c r="B675" s="4">
        <v>169</v>
      </c>
      <c r="C675" s="4" t="s">
        <v>265</v>
      </c>
      <c r="D675" s="4" t="s">
        <v>918</v>
      </c>
      <c r="E675" s="4">
        <v>100</v>
      </c>
      <c r="F675" s="4" t="s">
        <v>917</v>
      </c>
      <c r="G675" s="4" t="e">
        <f>E675*VLOOKUP(B675,alimentos_master!$A:$M,13,FALSE())/100</f>
        <v>#N/A</v>
      </c>
      <c r="H675" s="4" t="e">
        <f>E675*VLOOKUP(B675,alimentos_master!$A:$N,14,FALSE())/100</f>
        <v>#N/A</v>
      </c>
      <c r="I675" s="4" t="e">
        <f>E675*VLOOKUP(B675,alimentos_master!$A:$O,15,FALSE())/100</f>
        <v>#N/A</v>
      </c>
      <c r="J675" s="4" t="e">
        <f>E675*VLOOKUP(B675,alimentos_master!$A:$R,18,FALSE())/100</f>
        <v>#N/A</v>
      </c>
    </row>
    <row r="676" spans="1:10" ht="15" customHeight="1" x14ac:dyDescent="0.2">
      <c r="A676" s="4">
        <v>675</v>
      </c>
      <c r="B676" s="4">
        <v>169</v>
      </c>
      <c r="C676" s="4" t="s">
        <v>265</v>
      </c>
      <c r="D676" s="4" t="s">
        <v>919</v>
      </c>
      <c r="E676" s="4">
        <v>150</v>
      </c>
      <c r="F676" s="4" t="s">
        <v>917</v>
      </c>
      <c r="G676" s="4" t="e">
        <f>E676*VLOOKUP(B676,alimentos_master!$A:$M,13,FALSE())/100</f>
        <v>#N/A</v>
      </c>
      <c r="H676" s="4" t="e">
        <f>E676*VLOOKUP(B676,alimentos_master!$A:$N,14,FALSE())/100</f>
        <v>#N/A</v>
      </c>
      <c r="I676" s="4" t="e">
        <f>E676*VLOOKUP(B676,alimentos_master!$A:$O,15,FALSE())/100</f>
        <v>#N/A</v>
      </c>
      <c r="J676" s="4" t="e">
        <f>E676*VLOOKUP(B676,alimentos_master!$A:$R,18,FALSE())/100</f>
        <v>#N/A</v>
      </c>
    </row>
    <row r="677" spans="1:10" ht="15" customHeight="1" x14ac:dyDescent="0.2">
      <c r="A677" s="4">
        <v>676</v>
      </c>
      <c r="B677" s="4">
        <v>169</v>
      </c>
      <c r="C677" s="4" t="s">
        <v>265</v>
      </c>
      <c r="D677" s="4" t="s">
        <v>920</v>
      </c>
      <c r="E677" s="4">
        <v>200</v>
      </c>
      <c r="F677" s="4" t="s">
        <v>917</v>
      </c>
      <c r="G677" s="4" t="e">
        <f>E677*VLOOKUP(B677,alimentos_master!$A:$M,13,FALSE())/100</f>
        <v>#N/A</v>
      </c>
      <c r="H677" s="4" t="e">
        <f>E677*VLOOKUP(B677,alimentos_master!$A:$N,14,FALSE())/100</f>
        <v>#N/A</v>
      </c>
      <c r="I677" s="4" t="e">
        <f>E677*VLOOKUP(B677,alimentos_master!$A:$O,15,FALSE())/100</f>
        <v>#N/A</v>
      </c>
      <c r="J677" s="4" t="e">
        <f>E677*VLOOKUP(B677,alimentos_master!$A:$R,18,FALSE())/100</f>
        <v>#N/A</v>
      </c>
    </row>
    <row r="678" spans="1:10" ht="15" customHeight="1" x14ac:dyDescent="0.2">
      <c r="A678" s="4">
        <v>677</v>
      </c>
      <c r="B678" s="4">
        <v>170</v>
      </c>
      <c r="C678" s="4" t="s">
        <v>266</v>
      </c>
      <c r="D678" s="4" t="s">
        <v>916</v>
      </c>
      <c r="E678" s="4">
        <v>75</v>
      </c>
      <c r="F678" s="4" t="s">
        <v>917</v>
      </c>
      <c r="G678" s="4" t="e">
        <f>E678*VLOOKUP(B678,alimentos_master!$A:$M,13,FALSE())/100</f>
        <v>#N/A</v>
      </c>
      <c r="H678" s="4" t="e">
        <f>E678*VLOOKUP(B678,alimentos_master!$A:$N,14,FALSE())/100</f>
        <v>#N/A</v>
      </c>
      <c r="I678" s="4" t="e">
        <f>E678*VLOOKUP(B678,alimentos_master!$A:$O,15,FALSE())/100</f>
        <v>#N/A</v>
      </c>
      <c r="J678" s="4" t="e">
        <f>E678*VLOOKUP(B678,alimentos_master!$A:$R,18,FALSE())/100</f>
        <v>#N/A</v>
      </c>
    </row>
    <row r="679" spans="1:10" ht="15" customHeight="1" x14ac:dyDescent="0.2">
      <c r="A679" s="4">
        <v>678</v>
      </c>
      <c r="B679" s="4">
        <v>170</v>
      </c>
      <c r="C679" s="4" t="s">
        <v>266</v>
      </c>
      <c r="D679" s="4" t="s">
        <v>918</v>
      </c>
      <c r="E679" s="4">
        <v>100</v>
      </c>
      <c r="F679" s="4" t="s">
        <v>917</v>
      </c>
      <c r="G679" s="4" t="e">
        <f>E679*VLOOKUP(B679,alimentos_master!$A:$M,13,FALSE())/100</f>
        <v>#N/A</v>
      </c>
      <c r="H679" s="4" t="e">
        <f>E679*VLOOKUP(B679,alimentos_master!$A:$N,14,FALSE())/100</f>
        <v>#N/A</v>
      </c>
      <c r="I679" s="4" t="e">
        <f>E679*VLOOKUP(B679,alimentos_master!$A:$O,15,FALSE())/100</f>
        <v>#N/A</v>
      </c>
      <c r="J679" s="4" t="e">
        <f>E679*VLOOKUP(B679,alimentos_master!$A:$R,18,FALSE())/100</f>
        <v>#N/A</v>
      </c>
    </row>
    <row r="680" spans="1:10" ht="15" customHeight="1" x14ac:dyDescent="0.2">
      <c r="A680" s="4">
        <v>679</v>
      </c>
      <c r="B680" s="4">
        <v>170</v>
      </c>
      <c r="C680" s="4" t="s">
        <v>266</v>
      </c>
      <c r="D680" s="4" t="s">
        <v>919</v>
      </c>
      <c r="E680" s="4">
        <v>150</v>
      </c>
      <c r="F680" s="4" t="s">
        <v>917</v>
      </c>
      <c r="G680" s="4" t="e">
        <f>E680*VLOOKUP(B680,alimentos_master!$A:$M,13,FALSE())/100</f>
        <v>#N/A</v>
      </c>
      <c r="H680" s="4" t="e">
        <f>E680*VLOOKUP(B680,alimentos_master!$A:$N,14,FALSE())/100</f>
        <v>#N/A</v>
      </c>
      <c r="I680" s="4" t="e">
        <f>E680*VLOOKUP(B680,alimentos_master!$A:$O,15,FALSE())/100</f>
        <v>#N/A</v>
      </c>
      <c r="J680" s="4" t="e">
        <f>E680*VLOOKUP(B680,alimentos_master!$A:$R,18,FALSE())/100</f>
        <v>#N/A</v>
      </c>
    </row>
    <row r="681" spans="1:10" ht="15" customHeight="1" x14ac:dyDescent="0.2">
      <c r="A681" s="4">
        <v>680</v>
      </c>
      <c r="B681" s="4">
        <v>170</v>
      </c>
      <c r="C681" s="4" t="s">
        <v>266</v>
      </c>
      <c r="D681" s="4" t="s">
        <v>920</v>
      </c>
      <c r="E681" s="4">
        <v>200</v>
      </c>
      <c r="F681" s="4" t="s">
        <v>917</v>
      </c>
      <c r="G681" s="4" t="e">
        <f>E681*VLOOKUP(B681,alimentos_master!$A:$M,13,FALSE())/100</f>
        <v>#N/A</v>
      </c>
      <c r="H681" s="4" t="e">
        <f>E681*VLOOKUP(B681,alimentos_master!$A:$N,14,FALSE())/100</f>
        <v>#N/A</v>
      </c>
      <c r="I681" s="4" t="e">
        <f>E681*VLOOKUP(B681,alimentos_master!$A:$O,15,FALSE())/100</f>
        <v>#N/A</v>
      </c>
      <c r="J681" s="4" t="e">
        <f>E681*VLOOKUP(B681,alimentos_master!$A:$R,18,FALSE())/100</f>
        <v>#N/A</v>
      </c>
    </row>
    <row r="682" spans="1:10" ht="15" customHeight="1" x14ac:dyDescent="0.2">
      <c r="A682" s="4">
        <v>681</v>
      </c>
      <c r="B682" s="4">
        <v>171</v>
      </c>
      <c r="C682" s="4" t="s">
        <v>267</v>
      </c>
      <c r="D682" s="4" t="s">
        <v>916</v>
      </c>
      <c r="E682" s="4">
        <v>75</v>
      </c>
      <c r="F682" s="4" t="s">
        <v>917</v>
      </c>
      <c r="G682" s="4" t="e">
        <f>E682*VLOOKUP(B682,alimentos_master!$A:$M,13,FALSE())/100</f>
        <v>#N/A</v>
      </c>
      <c r="H682" s="4" t="e">
        <f>E682*VLOOKUP(B682,alimentos_master!$A:$N,14,FALSE())/100</f>
        <v>#N/A</v>
      </c>
      <c r="I682" s="4" t="e">
        <f>E682*VLOOKUP(B682,alimentos_master!$A:$O,15,FALSE())/100</f>
        <v>#N/A</v>
      </c>
      <c r="J682" s="4" t="e">
        <f>E682*VLOOKUP(B682,alimentos_master!$A:$R,18,FALSE())/100</f>
        <v>#N/A</v>
      </c>
    </row>
    <row r="683" spans="1:10" ht="15" customHeight="1" x14ac:dyDescent="0.2">
      <c r="A683" s="4">
        <v>682</v>
      </c>
      <c r="B683" s="4">
        <v>171</v>
      </c>
      <c r="C683" s="4" t="s">
        <v>267</v>
      </c>
      <c r="D683" s="4" t="s">
        <v>918</v>
      </c>
      <c r="E683" s="4">
        <v>100</v>
      </c>
      <c r="F683" s="4" t="s">
        <v>917</v>
      </c>
      <c r="G683" s="4" t="e">
        <f>E683*VLOOKUP(B683,alimentos_master!$A:$M,13,FALSE())/100</f>
        <v>#N/A</v>
      </c>
      <c r="H683" s="4" t="e">
        <f>E683*VLOOKUP(B683,alimentos_master!$A:$N,14,FALSE())/100</f>
        <v>#N/A</v>
      </c>
      <c r="I683" s="4" t="e">
        <f>E683*VLOOKUP(B683,alimentos_master!$A:$O,15,FALSE())/100</f>
        <v>#N/A</v>
      </c>
      <c r="J683" s="4" t="e">
        <f>E683*VLOOKUP(B683,alimentos_master!$A:$R,18,FALSE())/100</f>
        <v>#N/A</v>
      </c>
    </row>
    <row r="684" spans="1:10" ht="15" customHeight="1" x14ac:dyDescent="0.2">
      <c r="A684" s="4">
        <v>683</v>
      </c>
      <c r="B684" s="4">
        <v>171</v>
      </c>
      <c r="C684" s="4" t="s">
        <v>267</v>
      </c>
      <c r="D684" s="4" t="s">
        <v>919</v>
      </c>
      <c r="E684" s="4">
        <v>150</v>
      </c>
      <c r="F684" s="4" t="s">
        <v>917</v>
      </c>
      <c r="G684" s="4" t="e">
        <f>E684*VLOOKUP(B684,alimentos_master!$A:$M,13,FALSE())/100</f>
        <v>#N/A</v>
      </c>
      <c r="H684" s="4" t="e">
        <f>E684*VLOOKUP(B684,alimentos_master!$A:$N,14,FALSE())/100</f>
        <v>#N/A</v>
      </c>
      <c r="I684" s="4" t="e">
        <f>E684*VLOOKUP(B684,alimentos_master!$A:$O,15,FALSE())/100</f>
        <v>#N/A</v>
      </c>
      <c r="J684" s="4" t="e">
        <f>E684*VLOOKUP(B684,alimentos_master!$A:$R,18,FALSE())/100</f>
        <v>#N/A</v>
      </c>
    </row>
    <row r="685" spans="1:10" ht="15" customHeight="1" x14ac:dyDescent="0.2">
      <c r="A685" s="4">
        <v>684</v>
      </c>
      <c r="B685" s="4">
        <v>171</v>
      </c>
      <c r="C685" s="4" t="s">
        <v>267</v>
      </c>
      <c r="D685" s="4" t="s">
        <v>920</v>
      </c>
      <c r="E685" s="4">
        <v>200</v>
      </c>
      <c r="F685" s="4" t="s">
        <v>917</v>
      </c>
      <c r="G685" s="4" t="e">
        <f>E685*VLOOKUP(B685,alimentos_master!$A:$M,13,FALSE())/100</f>
        <v>#N/A</v>
      </c>
      <c r="H685" s="4" t="e">
        <f>E685*VLOOKUP(B685,alimentos_master!$A:$N,14,FALSE())/100</f>
        <v>#N/A</v>
      </c>
      <c r="I685" s="4" t="e">
        <f>E685*VLOOKUP(B685,alimentos_master!$A:$O,15,FALSE())/100</f>
        <v>#N/A</v>
      </c>
      <c r="J685" s="4" t="e">
        <f>E685*VLOOKUP(B685,alimentos_master!$A:$R,18,FALSE())/100</f>
        <v>#N/A</v>
      </c>
    </row>
    <row r="686" spans="1:10" ht="15" customHeight="1" x14ac:dyDescent="0.2">
      <c r="A686" s="4">
        <v>685</v>
      </c>
      <c r="B686" s="4">
        <v>172</v>
      </c>
      <c r="C686" s="4" t="s">
        <v>268</v>
      </c>
      <c r="D686" s="4" t="s">
        <v>916</v>
      </c>
      <c r="E686" s="4">
        <v>75</v>
      </c>
      <c r="F686" s="4" t="s">
        <v>917</v>
      </c>
      <c r="G686" s="4">
        <f>E686*VLOOKUP(B686,alimentos_master!$A:$M,13,FALSE())/100</f>
        <v>273</v>
      </c>
      <c r="H686" s="4">
        <f>E686*VLOOKUP(B686,alimentos_master!$A:$N,14,FALSE())/100</f>
        <v>14.25</v>
      </c>
      <c r="I686" s="4">
        <f>E686*VLOOKUP(B686,alimentos_master!$A:$O,15,FALSE())/100</f>
        <v>45.75</v>
      </c>
      <c r="J686" s="4">
        <f>E686*VLOOKUP(B686,alimentos_master!$A:$R,18,FALSE())/100</f>
        <v>4.5</v>
      </c>
    </row>
    <row r="687" spans="1:10" ht="15" customHeight="1" x14ac:dyDescent="0.2">
      <c r="A687" s="4">
        <v>686</v>
      </c>
      <c r="B687" s="4">
        <v>172</v>
      </c>
      <c r="C687" s="4" t="s">
        <v>268</v>
      </c>
      <c r="D687" s="4" t="s">
        <v>918</v>
      </c>
      <c r="E687" s="4">
        <v>100</v>
      </c>
      <c r="F687" s="4" t="s">
        <v>917</v>
      </c>
      <c r="G687" s="4">
        <f>E687*VLOOKUP(B687,alimentos_master!$A:$M,13,FALSE())/100</f>
        <v>364</v>
      </c>
      <c r="H687" s="4">
        <f>E687*VLOOKUP(B687,alimentos_master!$A:$N,14,FALSE())/100</f>
        <v>19</v>
      </c>
      <c r="I687" s="4">
        <f>E687*VLOOKUP(B687,alimentos_master!$A:$O,15,FALSE())/100</f>
        <v>61</v>
      </c>
      <c r="J687" s="4">
        <f>E687*VLOOKUP(B687,alimentos_master!$A:$R,18,FALSE())/100</f>
        <v>6</v>
      </c>
    </row>
    <row r="688" spans="1:10" ht="15" customHeight="1" x14ac:dyDescent="0.2">
      <c r="A688" s="4">
        <v>687</v>
      </c>
      <c r="B688" s="4">
        <v>172</v>
      </c>
      <c r="C688" s="4" t="s">
        <v>268</v>
      </c>
      <c r="D688" s="4" t="s">
        <v>919</v>
      </c>
      <c r="E688" s="4">
        <v>150</v>
      </c>
      <c r="F688" s="4" t="s">
        <v>917</v>
      </c>
      <c r="G688" s="4">
        <f>E688*VLOOKUP(B688,alimentos_master!$A:$M,13,FALSE())/100</f>
        <v>546</v>
      </c>
      <c r="H688" s="4">
        <f>E688*VLOOKUP(B688,alimentos_master!$A:$N,14,FALSE())/100</f>
        <v>28.5</v>
      </c>
      <c r="I688" s="4">
        <f>E688*VLOOKUP(B688,alimentos_master!$A:$O,15,FALSE())/100</f>
        <v>91.5</v>
      </c>
      <c r="J688" s="4">
        <f>E688*VLOOKUP(B688,alimentos_master!$A:$R,18,FALSE())/100</f>
        <v>9</v>
      </c>
    </row>
    <row r="689" spans="1:10" ht="15" customHeight="1" x14ac:dyDescent="0.2">
      <c r="A689" s="4">
        <v>688</v>
      </c>
      <c r="B689" s="4">
        <v>172</v>
      </c>
      <c r="C689" s="4" t="s">
        <v>268</v>
      </c>
      <c r="D689" s="4" t="s">
        <v>920</v>
      </c>
      <c r="E689" s="4">
        <v>200</v>
      </c>
      <c r="F689" s="4" t="s">
        <v>917</v>
      </c>
      <c r="G689" s="4">
        <f>E689*VLOOKUP(B689,alimentos_master!$A:$M,13,FALSE())/100</f>
        <v>728</v>
      </c>
      <c r="H689" s="4">
        <f>E689*VLOOKUP(B689,alimentos_master!$A:$N,14,FALSE())/100</f>
        <v>38</v>
      </c>
      <c r="I689" s="4">
        <f>E689*VLOOKUP(B689,alimentos_master!$A:$O,15,FALSE())/100</f>
        <v>122</v>
      </c>
      <c r="J689" s="4">
        <f>E689*VLOOKUP(B689,alimentos_master!$A:$R,18,FALSE())/100</f>
        <v>12</v>
      </c>
    </row>
    <row r="690" spans="1:10" ht="15" customHeight="1" x14ac:dyDescent="0.2">
      <c r="A690" s="4">
        <v>689</v>
      </c>
      <c r="B690" s="4">
        <v>173</v>
      </c>
      <c r="C690" s="4" t="s">
        <v>270</v>
      </c>
      <c r="D690" s="4" t="s">
        <v>916</v>
      </c>
      <c r="E690" s="4">
        <v>75</v>
      </c>
      <c r="F690" s="4" t="s">
        <v>917</v>
      </c>
      <c r="G690" s="4" t="e">
        <f>E690*VLOOKUP(B690,alimentos_master!$A:$M,13,FALSE())/100</f>
        <v>#N/A</v>
      </c>
      <c r="H690" s="4" t="e">
        <f>E690*VLOOKUP(B690,alimentos_master!$A:$N,14,FALSE())/100</f>
        <v>#N/A</v>
      </c>
      <c r="I690" s="4" t="e">
        <f>E690*VLOOKUP(B690,alimentos_master!$A:$O,15,FALSE())/100</f>
        <v>#N/A</v>
      </c>
      <c r="J690" s="4" t="e">
        <f>E690*VLOOKUP(B690,alimentos_master!$A:$R,18,FALSE())/100</f>
        <v>#N/A</v>
      </c>
    </row>
    <row r="691" spans="1:10" ht="15" customHeight="1" x14ac:dyDescent="0.2">
      <c r="A691" s="4">
        <v>690</v>
      </c>
      <c r="B691" s="4">
        <v>173</v>
      </c>
      <c r="C691" s="4" t="s">
        <v>270</v>
      </c>
      <c r="D691" s="4" t="s">
        <v>918</v>
      </c>
      <c r="E691" s="4">
        <v>100</v>
      </c>
      <c r="F691" s="4" t="s">
        <v>917</v>
      </c>
      <c r="G691" s="4" t="e">
        <f>E691*VLOOKUP(B691,alimentos_master!$A:$M,13,FALSE())/100</f>
        <v>#N/A</v>
      </c>
      <c r="H691" s="4" t="e">
        <f>E691*VLOOKUP(B691,alimentos_master!$A:$N,14,FALSE())/100</f>
        <v>#N/A</v>
      </c>
      <c r="I691" s="4" t="e">
        <f>E691*VLOOKUP(B691,alimentos_master!$A:$O,15,FALSE())/100</f>
        <v>#N/A</v>
      </c>
      <c r="J691" s="4" t="e">
        <f>E691*VLOOKUP(B691,alimentos_master!$A:$R,18,FALSE())/100</f>
        <v>#N/A</v>
      </c>
    </row>
    <row r="692" spans="1:10" ht="15" customHeight="1" x14ac:dyDescent="0.2">
      <c r="A692" s="4">
        <v>691</v>
      </c>
      <c r="B692" s="4">
        <v>173</v>
      </c>
      <c r="C692" s="4" t="s">
        <v>270</v>
      </c>
      <c r="D692" s="4" t="s">
        <v>919</v>
      </c>
      <c r="E692" s="4">
        <v>150</v>
      </c>
      <c r="F692" s="4" t="s">
        <v>917</v>
      </c>
      <c r="G692" s="4" t="e">
        <f>E692*VLOOKUP(B692,alimentos_master!$A:$M,13,FALSE())/100</f>
        <v>#N/A</v>
      </c>
      <c r="H692" s="4" t="e">
        <f>E692*VLOOKUP(B692,alimentos_master!$A:$N,14,FALSE())/100</f>
        <v>#N/A</v>
      </c>
      <c r="I692" s="4" t="e">
        <f>E692*VLOOKUP(B692,alimentos_master!$A:$O,15,FALSE())/100</f>
        <v>#N/A</v>
      </c>
      <c r="J692" s="4" t="e">
        <f>E692*VLOOKUP(B692,alimentos_master!$A:$R,18,FALSE())/100</f>
        <v>#N/A</v>
      </c>
    </row>
    <row r="693" spans="1:10" ht="15" customHeight="1" x14ac:dyDescent="0.2">
      <c r="A693" s="4">
        <v>692</v>
      </c>
      <c r="B693" s="4">
        <v>173</v>
      </c>
      <c r="C693" s="4" t="s">
        <v>270</v>
      </c>
      <c r="D693" s="4" t="s">
        <v>920</v>
      </c>
      <c r="E693" s="4">
        <v>200</v>
      </c>
      <c r="F693" s="4" t="s">
        <v>917</v>
      </c>
      <c r="G693" s="4" t="e">
        <f>E693*VLOOKUP(B693,alimentos_master!$A:$M,13,FALSE())/100</f>
        <v>#N/A</v>
      </c>
      <c r="H693" s="4" t="e">
        <f>E693*VLOOKUP(B693,alimentos_master!$A:$N,14,FALSE())/100</f>
        <v>#N/A</v>
      </c>
      <c r="I693" s="4" t="e">
        <f>E693*VLOOKUP(B693,alimentos_master!$A:$O,15,FALSE())/100</f>
        <v>#N/A</v>
      </c>
      <c r="J693" s="4" t="e">
        <f>E693*VLOOKUP(B693,alimentos_master!$A:$R,18,FALSE())/100</f>
        <v>#N/A</v>
      </c>
    </row>
    <row r="694" spans="1:10" ht="15" customHeight="1" x14ac:dyDescent="0.2">
      <c r="A694" s="4">
        <v>693</v>
      </c>
      <c r="B694" s="4">
        <v>174</v>
      </c>
      <c r="C694" s="4" t="s">
        <v>271</v>
      </c>
      <c r="D694" s="4" t="s">
        <v>916</v>
      </c>
      <c r="E694" s="4">
        <v>75</v>
      </c>
      <c r="F694" s="4" t="s">
        <v>917</v>
      </c>
      <c r="G694" s="4" t="e">
        <f>E694*VLOOKUP(B694,alimentos_master!$A:$M,13,FALSE())/100</f>
        <v>#N/A</v>
      </c>
      <c r="H694" s="4" t="e">
        <f>E694*VLOOKUP(B694,alimentos_master!$A:$N,14,FALSE())/100</f>
        <v>#N/A</v>
      </c>
      <c r="I694" s="4" t="e">
        <f>E694*VLOOKUP(B694,alimentos_master!$A:$O,15,FALSE())/100</f>
        <v>#N/A</v>
      </c>
      <c r="J694" s="4" t="e">
        <f>E694*VLOOKUP(B694,alimentos_master!$A:$R,18,FALSE())/100</f>
        <v>#N/A</v>
      </c>
    </row>
    <row r="695" spans="1:10" ht="15" customHeight="1" x14ac:dyDescent="0.2">
      <c r="A695" s="4">
        <v>694</v>
      </c>
      <c r="B695" s="4">
        <v>174</v>
      </c>
      <c r="C695" s="4" t="s">
        <v>271</v>
      </c>
      <c r="D695" s="4" t="s">
        <v>918</v>
      </c>
      <c r="E695" s="4">
        <v>100</v>
      </c>
      <c r="F695" s="4" t="s">
        <v>917</v>
      </c>
      <c r="G695" s="4" t="e">
        <f>E695*VLOOKUP(B695,alimentos_master!$A:$M,13,FALSE())/100</f>
        <v>#N/A</v>
      </c>
      <c r="H695" s="4" t="e">
        <f>E695*VLOOKUP(B695,alimentos_master!$A:$N,14,FALSE())/100</f>
        <v>#N/A</v>
      </c>
      <c r="I695" s="4" t="e">
        <f>E695*VLOOKUP(B695,alimentos_master!$A:$O,15,FALSE())/100</f>
        <v>#N/A</v>
      </c>
      <c r="J695" s="4" t="e">
        <f>E695*VLOOKUP(B695,alimentos_master!$A:$R,18,FALSE())/100</f>
        <v>#N/A</v>
      </c>
    </row>
    <row r="696" spans="1:10" ht="15" customHeight="1" x14ac:dyDescent="0.2">
      <c r="A696" s="4">
        <v>695</v>
      </c>
      <c r="B696" s="4">
        <v>174</v>
      </c>
      <c r="C696" s="4" t="s">
        <v>271</v>
      </c>
      <c r="D696" s="4" t="s">
        <v>919</v>
      </c>
      <c r="E696" s="4">
        <v>150</v>
      </c>
      <c r="F696" s="4" t="s">
        <v>917</v>
      </c>
      <c r="G696" s="4" t="e">
        <f>E696*VLOOKUP(B696,alimentos_master!$A:$M,13,FALSE())/100</f>
        <v>#N/A</v>
      </c>
      <c r="H696" s="4" t="e">
        <f>E696*VLOOKUP(B696,alimentos_master!$A:$N,14,FALSE())/100</f>
        <v>#N/A</v>
      </c>
      <c r="I696" s="4" t="e">
        <f>E696*VLOOKUP(B696,alimentos_master!$A:$O,15,FALSE())/100</f>
        <v>#N/A</v>
      </c>
      <c r="J696" s="4" t="e">
        <f>E696*VLOOKUP(B696,alimentos_master!$A:$R,18,FALSE())/100</f>
        <v>#N/A</v>
      </c>
    </row>
    <row r="697" spans="1:10" ht="15" customHeight="1" x14ac:dyDescent="0.2">
      <c r="A697" s="4">
        <v>696</v>
      </c>
      <c r="B697" s="4">
        <v>174</v>
      </c>
      <c r="C697" s="4" t="s">
        <v>271</v>
      </c>
      <c r="D697" s="4" t="s">
        <v>920</v>
      </c>
      <c r="E697" s="4">
        <v>200</v>
      </c>
      <c r="F697" s="4" t="s">
        <v>917</v>
      </c>
      <c r="G697" s="4" t="e">
        <f>E697*VLOOKUP(B697,alimentos_master!$A:$M,13,FALSE())/100</f>
        <v>#N/A</v>
      </c>
      <c r="H697" s="4" t="e">
        <f>E697*VLOOKUP(B697,alimentos_master!$A:$N,14,FALSE())/100</f>
        <v>#N/A</v>
      </c>
      <c r="I697" s="4" t="e">
        <f>E697*VLOOKUP(B697,alimentos_master!$A:$O,15,FALSE())/100</f>
        <v>#N/A</v>
      </c>
      <c r="J697" s="4" t="e">
        <f>E697*VLOOKUP(B697,alimentos_master!$A:$R,18,FALSE())/100</f>
        <v>#N/A</v>
      </c>
    </row>
    <row r="698" spans="1:10" ht="15" customHeight="1" x14ac:dyDescent="0.2">
      <c r="A698" s="4">
        <v>697</v>
      </c>
      <c r="B698" s="4">
        <v>175</v>
      </c>
      <c r="C698" s="4" t="s">
        <v>272</v>
      </c>
      <c r="D698" s="4" t="s">
        <v>916</v>
      </c>
      <c r="E698" s="4">
        <v>75</v>
      </c>
      <c r="F698" s="4" t="s">
        <v>917</v>
      </c>
      <c r="G698" s="4">
        <f>E698*VLOOKUP(B698,alimentos_master!$A:$M,13,FALSE())/100</f>
        <v>87.375</v>
      </c>
      <c r="H698" s="4">
        <f>E698*VLOOKUP(B698,alimentos_master!$A:$N,14,FALSE())/100</f>
        <v>4.8449999999999998</v>
      </c>
      <c r="I698" s="4">
        <f>E698*VLOOKUP(B698,alimentos_master!$A:$O,15,FALSE())/100</f>
        <v>15.554999999999998</v>
      </c>
      <c r="J698" s="4">
        <f>E698*VLOOKUP(B698,alimentos_master!$A:$R,18,FALSE())/100</f>
        <v>1.44</v>
      </c>
    </row>
    <row r="699" spans="1:10" ht="15" customHeight="1" x14ac:dyDescent="0.2">
      <c r="A699" s="4">
        <v>698</v>
      </c>
      <c r="B699" s="4">
        <v>175</v>
      </c>
      <c r="C699" s="4" t="s">
        <v>272</v>
      </c>
      <c r="D699" s="4" t="s">
        <v>918</v>
      </c>
      <c r="E699" s="4">
        <v>100</v>
      </c>
      <c r="F699" s="4" t="s">
        <v>917</v>
      </c>
      <c r="G699" s="4">
        <f>E699*VLOOKUP(B699,alimentos_master!$A:$M,13,FALSE())/100</f>
        <v>116.5</v>
      </c>
      <c r="H699" s="4">
        <f>E699*VLOOKUP(B699,alimentos_master!$A:$N,14,FALSE())/100</f>
        <v>6.46</v>
      </c>
      <c r="I699" s="4">
        <f>E699*VLOOKUP(B699,alimentos_master!$A:$O,15,FALSE())/100</f>
        <v>20.74</v>
      </c>
      <c r="J699" s="4">
        <f>E699*VLOOKUP(B699,alimentos_master!$A:$R,18,FALSE())/100</f>
        <v>1.92</v>
      </c>
    </row>
    <row r="700" spans="1:10" ht="15" customHeight="1" x14ac:dyDescent="0.2">
      <c r="A700" s="4">
        <v>699</v>
      </c>
      <c r="B700" s="4">
        <v>175</v>
      </c>
      <c r="C700" s="4" t="s">
        <v>272</v>
      </c>
      <c r="D700" s="4" t="s">
        <v>919</v>
      </c>
      <c r="E700" s="4">
        <v>150</v>
      </c>
      <c r="F700" s="4" t="s">
        <v>917</v>
      </c>
      <c r="G700" s="4">
        <f>E700*VLOOKUP(B700,alimentos_master!$A:$M,13,FALSE())/100</f>
        <v>174.75</v>
      </c>
      <c r="H700" s="4">
        <f>E700*VLOOKUP(B700,alimentos_master!$A:$N,14,FALSE())/100</f>
        <v>9.69</v>
      </c>
      <c r="I700" s="4">
        <f>E700*VLOOKUP(B700,alimentos_master!$A:$O,15,FALSE())/100</f>
        <v>31.109999999999996</v>
      </c>
      <c r="J700" s="4">
        <f>E700*VLOOKUP(B700,alimentos_master!$A:$R,18,FALSE())/100</f>
        <v>2.88</v>
      </c>
    </row>
    <row r="701" spans="1:10" ht="15" customHeight="1" x14ac:dyDescent="0.2">
      <c r="A701" s="4">
        <v>700</v>
      </c>
      <c r="B701" s="4">
        <v>175</v>
      </c>
      <c r="C701" s="4" t="s">
        <v>272</v>
      </c>
      <c r="D701" s="4" t="s">
        <v>920</v>
      </c>
      <c r="E701" s="4">
        <v>200</v>
      </c>
      <c r="F701" s="4" t="s">
        <v>917</v>
      </c>
      <c r="G701" s="4">
        <f>E701*VLOOKUP(B701,alimentos_master!$A:$M,13,FALSE())/100</f>
        <v>233</v>
      </c>
      <c r="H701" s="4">
        <f>E701*VLOOKUP(B701,alimentos_master!$A:$N,14,FALSE())/100</f>
        <v>12.92</v>
      </c>
      <c r="I701" s="4">
        <f>E701*VLOOKUP(B701,alimentos_master!$A:$O,15,FALSE())/100</f>
        <v>41.48</v>
      </c>
      <c r="J701" s="4">
        <f>E701*VLOOKUP(B701,alimentos_master!$A:$R,18,FALSE())/100</f>
        <v>3.84</v>
      </c>
    </row>
    <row r="702" spans="1:10" ht="15" customHeight="1" x14ac:dyDescent="0.2">
      <c r="A702" s="4">
        <v>701</v>
      </c>
      <c r="B702" s="4">
        <v>176</v>
      </c>
      <c r="C702" s="4" t="s">
        <v>273</v>
      </c>
      <c r="D702" s="4" t="s">
        <v>916</v>
      </c>
      <c r="E702" s="4">
        <v>75</v>
      </c>
      <c r="F702" s="4" t="s">
        <v>917</v>
      </c>
      <c r="G702" s="4" t="e">
        <f>E702*VLOOKUP(B702,alimentos_master!$A:$M,13,FALSE())/100</f>
        <v>#N/A</v>
      </c>
      <c r="H702" s="4" t="e">
        <f>E702*VLOOKUP(B702,alimentos_master!$A:$N,14,FALSE())/100</f>
        <v>#N/A</v>
      </c>
      <c r="I702" s="4" t="e">
        <f>E702*VLOOKUP(B702,alimentos_master!$A:$O,15,FALSE())/100</f>
        <v>#N/A</v>
      </c>
      <c r="J702" s="4" t="e">
        <f>E702*VLOOKUP(B702,alimentos_master!$A:$R,18,FALSE())/100</f>
        <v>#N/A</v>
      </c>
    </row>
    <row r="703" spans="1:10" ht="15" customHeight="1" x14ac:dyDescent="0.2">
      <c r="A703" s="4">
        <v>702</v>
      </c>
      <c r="B703" s="4">
        <v>176</v>
      </c>
      <c r="C703" s="4" t="s">
        <v>273</v>
      </c>
      <c r="D703" s="4" t="s">
        <v>918</v>
      </c>
      <c r="E703" s="4">
        <v>100</v>
      </c>
      <c r="F703" s="4" t="s">
        <v>917</v>
      </c>
      <c r="G703" s="4" t="e">
        <f>E703*VLOOKUP(B703,alimentos_master!$A:$M,13,FALSE())/100</f>
        <v>#N/A</v>
      </c>
      <c r="H703" s="4" t="e">
        <f>E703*VLOOKUP(B703,alimentos_master!$A:$N,14,FALSE())/100</f>
        <v>#N/A</v>
      </c>
      <c r="I703" s="4" t="e">
        <f>E703*VLOOKUP(B703,alimentos_master!$A:$O,15,FALSE())/100</f>
        <v>#N/A</v>
      </c>
      <c r="J703" s="4" t="e">
        <f>E703*VLOOKUP(B703,alimentos_master!$A:$R,18,FALSE())/100</f>
        <v>#N/A</v>
      </c>
    </row>
    <row r="704" spans="1:10" ht="15" customHeight="1" x14ac:dyDescent="0.2">
      <c r="A704" s="4">
        <v>703</v>
      </c>
      <c r="B704" s="4">
        <v>176</v>
      </c>
      <c r="C704" s="4" t="s">
        <v>273</v>
      </c>
      <c r="D704" s="4" t="s">
        <v>919</v>
      </c>
      <c r="E704" s="4">
        <v>150</v>
      </c>
      <c r="F704" s="4" t="s">
        <v>917</v>
      </c>
      <c r="G704" s="4" t="e">
        <f>E704*VLOOKUP(B704,alimentos_master!$A:$M,13,FALSE())/100</f>
        <v>#N/A</v>
      </c>
      <c r="H704" s="4" t="e">
        <f>E704*VLOOKUP(B704,alimentos_master!$A:$N,14,FALSE())/100</f>
        <v>#N/A</v>
      </c>
      <c r="I704" s="4" t="e">
        <f>E704*VLOOKUP(B704,alimentos_master!$A:$O,15,FALSE())/100</f>
        <v>#N/A</v>
      </c>
      <c r="J704" s="4" t="e">
        <f>E704*VLOOKUP(B704,alimentos_master!$A:$R,18,FALSE())/100</f>
        <v>#N/A</v>
      </c>
    </row>
    <row r="705" spans="1:10" ht="15" customHeight="1" x14ac:dyDescent="0.2">
      <c r="A705" s="4">
        <v>704</v>
      </c>
      <c r="B705" s="4">
        <v>176</v>
      </c>
      <c r="C705" s="4" t="s">
        <v>273</v>
      </c>
      <c r="D705" s="4" t="s">
        <v>920</v>
      </c>
      <c r="E705" s="4">
        <v>200</v>
      </c>
      <c r="F705" s="4" t="s">
        <v>917</v>
      </c>
      <c r="G705" s="4" t="e">
        <f>E705*VLOOKUP(B705,alimentos_master!$A:$M,13,FALSE())/100</f>
        <v>#N/A</v>
      </c>
      <c r="H705" s="4" t="e">
        <f>E705*VLOOKUP(B705,alimentos_master!$A:$N,14,FALSE())/100</f>
        <v>#N/A</v>
      </c>
      <c r="I705" s="4" t="e">
        <f>E705*VLOOKUP(B705,alimentos_master!$A:$O,15,FALSE())/100</f>
        <v>#N/A</v>
      </c>
      <c r="J705" s="4" t="e">
        <f>E705*VLOOKUP(B705,alimentos_master!$A:$R,18,FALSE())/100</f>
        <v>#N/A</v>
      </c>
    </row>
    <row r="706" spans="1:10" ht="15" customHeight="1" x14ac:dyDescent="0.2">
      <c r="A706" s="4">
        <v>705</v>
      </c>
      <c r="B706" s="4">
        <v>177</v>
      </c>
      <c r="C706" s="4" t="s">
        <v>274</v>
      </c>
      <c r="D706" s="4" t="s">
        <v>916</v>
      </c>
      <c r="E706" s="4">
        <v>75</v>
      </c>
      <c r="F706" s="4" t="s">
        <v>917</v>
      </c>
      <c r="G706" s="4" t="e">
        <f>E706*VLOOKUP(B706,alimentos_master!$A:$M,13,FALSE())/100</f>
        <v>#N/A</v>
      </c>
      <c r="H706" s="4" t="e">
        <f>E706*VLOOKUP(B706,alimentos_master!$A:$N,14,FALSE())/100</f>
        <v>#N/A</v>
      </c>
      <c r="I706" s="4" t="e">
        <f>E706*VLOOKUP(B706,alimentos_master!$A:$O,15,FALSE())/100</f>
        <v>#N/A</v>
      </c>
      <c r="J706" s="4" t="e">
        <f>E706*VLOOKUP(B706,alimentos_master!$A:$R,18,FALSE())/100</f>
        <v>#N/A</v>
      </c>
    </row>
    <row r="707" spans="1:10" ht="15" customHeight="1" x14ac:dyDescent="0.2">
      <c r="A707" s="4">
        <v>706</v>
      </c>
      <c r="B707" s="4">
        <v>177</v>
      </c>
      <c r="C707" s="4" t="s">
        <v>274</v>
      </c>
      <c r="D707" s="4" t="s">
        <v>918</v>
      </c>
      <c r="E707" s="4">
        <v>100</v>
      </c>
      <c r="F707" s="4" t="s">
        <v>917</v>
      </c>
      <c r="G707" s="4" t="e">
        <f>E707*VLOOKUP(B707,alimentos_master!$A:$M,13,FALSE())/100</f>
        <v>#N/A</v>
      </c>
      <c r="H707" s="4" t="e">
        <f>E707*VLOOKUP(B707,alimentos_master!$A:$N,14,FALSE())/100</f>
        <v>#N/A</v>
      </c>
      <c r="I707" s="4" t="e">
        <f>E707*VLOOKUP(B707,alimentos_master!$A:$O,15,FALSE())/100</f>
        <v>#N/A</v>
      </c>
      <c r="J707" s="4" t="e">
        <f>E707*VLOOKUP(B707,alimentos_master!$A:$R,18,FALSE())/100</f>
        <v>#N/A</v>
      </c>
    </row>
    <row r="708" spans="1:10" ht="15" customHeight="1" x14ac:dyDescent="0.2">
      <c r="A708" s="4">
        <v>707</v>
      </c>
      <c r="B708" s="4">
        <v>177</v>
      </c>
      <c r="C708" s="4" t="s">
        <v>274</v>
      </c>
      <c r="D708" s="4" t="s">
        <v>919</v>
      </c>
      <c r="E708" s="4">
        <v>150</v>
      </c>
      <c r="F708" s="4" t="s">
        <v>917</v>
      </c>
      <c r="G708" s="4" t="e">
        <f>E708*VLOOKUP(B708,alimentos_master!$A:$M,13,FALSE())/100</f>
        <v>#N/A</v>
      </c>
      <c r="H708" s="4" t="e">
        <f>E708*VLOOKUP(B708,alimentos_master!$A:$N,14,FALSE())/100</f>
        <v>#N/A</v>
      </c>
      <c r="I708" s="4" t="e">
        <f>E708*VLOOKUP(B708,alimentos_master!$A:$O,15,FALSE())/100</f>
        <v>#N/A</v>
      </c>
      <c r="J708" s="4" t="e">
        <f>E708*VLOOKUP(B708,alimentos_master!$A:$R,18,FALSE())/100</f>
        <v>#N/A</v>
      </c>
    </row>
    <row r="709" spans="1:10" ht="15" customHeight="1" x14ac:dyDescent="0.2">
      <c r="A709" s="4">
        <v>708</v>
      </c>
      <c r="B709" s="4">
        <v>177</v>
      </c>
      <c r="C709" s="4" t="s">
        <v>274</v>
      </c>
      <c r="D709" s="4" t="s">
        <v>920</v>
      </c>
      <c r="E709" s="4">
        <v>200</v>
      </c>
      <c r="F709" s="4" t="s">
        <v>917</v>
      </c>
      <c r="G709" s="4" t="e">
        <f>E709*VLOOKUP(B709,alimentos_master!$A:$M,13,FALSE())/100</f>
        <v>#N/A</v>
      </c>
      <c r="H709" s="4" t="e">
        <f>E709*VLOOKUP(B709,alimentos_master!$A:$N,14,FALSE())/100</f>
        <v>#N/A</v>
      </c>
      <c r="I709" s="4" t="e">
        <f>E709*VLOOKUP(B709,alimentos_master!$A:$O,15,FALSE())/100</f>
        <v>#N/A</v>
      </c>
      <c r="J709" s="4" t="e">
        <f>E709*VLOOKUP(B709,alimentos_master!$A:$R,18,FALSE())/100</f>
        <v>#N/A</v>
      </c>
    </row>
    <row r="710" spans="1:10" ht="15" customHeight="1" x14ac:dyDescent="0.2">
      <c r="A710" s="4">
        <v>709</v>
      </c>
      <c r="B710" s="4">
        <v>178</v>
      </c>
      <c r="C710" s="4" t="s">
        <v>275</v>
      </c>
      <c r="D710" s="4" t="s">
        <v>916</v>
      </c>
      <c r="E710" s="4">
        <v>75</v>
      </c>
      <c r="F710" s="4" t="s">
        <v>917</v>
      </c>
      <c r="G710" s="4">
        <f>E710*VLOOKUP(B710,alimentos_master!$A:$M,13,FALSE())/100</f>
        <v>122.85</v>
      </c>
      <c r="H710" s="4">
        <f>E710*VLOOKUP(B710,alimentos_master!$A:$N,14,FALSE())/100</f>
        <v>5.415</v>
      </c>
      <c r="I710" s="4">
        <f>E710*VLOOKUP(B710,alimentos_master!$A:$O,15,FALSE())/100</f>
        <v>17.385000000000002</v>
      </c>
      <c r="J710" s="4">
        <f>E710*VLOOKUP(B710,alimentos_master!$A:$R,18,FALSE())/100</f>
        <v>2.0249999999999999</v>
      </c>
    </row>
    <row r="711" spans="1:10" ht="15" customHeight="1" x14ac:dyDescent="0.2">
      <c r="A711" s="4">
        <v>710</v>
      </c>
      <c r="B711" s="4">
        <v>178</v>
      </c>
      <c r="C711" s="4" t="s">
        <v>275</v>
      </c>
      <c r="D711" s="4" t="s">
        <v>918</v>
      </c>
      <c r="E711" s="4">
        <v>100</v>
      </c>
      <c r="F711" s="4" t="s">
        <v>917</v>
      </c>
      <c r="G711" s="4">
        <f>E711*VLOOKUP(B711,alimentos_master!$A:$M,13,FALSE())/100</f>
        <v>163.80000000000001</v>
      </c>
      <c r="H711" s="4">
        <f>E711*VLOOKUP(B711,alimentos_master!$A:$N,14,FALSE())/100</f>
        <v>7.22</v>
      </c>
      <c r="I711" s="4">
        <f>E711*VLOOKUP(B711,alimentos_master!$A:$O,15,FALSE())/100</f>
        <v>23.18</v>
      </c>
      <c r="J711" s="4">
        <f>E711*VLOOKUP(B711,alimentos_master!$A:$R,18,FALSE())/100</f>
        <v>2.7</v>
      </c>
    </row>
    <row r="712" spans="1:10" ht="15" customHeight="1" x14ac:dyDescent="0.2">
      <c r="A712" s="4">
        <v>711</v>
      </c>
      <c r="B712" s="4">
        <v>178</v>
      </c>
      <c r="C712" s="4" t="s">
        <v>275</v>
      </c>
      <c r="D712" s="4" t="s">
        <v>919</v>
      </c>
      <c r="E712" s="4">
        <v>150</v>
      </c>
      <c r="F712" s="4" t="s">
        <v>917</v>
      </c>
      <c r="G712" s="4">
        <f>E712*VLOOKUP(B712,alimentos_master!$A:$M,13,FALSE())/100</f>
        <v>245.7</v>
      </c>
      <c r="H712" s="4">
        <f>E712*VLOOKUP(B712,alimentos_master!$A:$N,14,FALSE())/100</f>
        <v>10.83</v>
      </c>
      <c r="I712" s="4">
        <f>E712*VLOOKUP(B712,alimentos_master!$A:$O,15,FALSE())/100</f>
        <v>34.770000000000003</v>
      </c>
      <c r="J712" s="4">
        <f>E712*VLOOKUP(B712,alimentos_master!$A:$R,18,FALSE())/100</f>
        <v>4.05</v>
      </c>
    </row>
    <row r="713" spans="1:10" ht="15" customHeight="1" x14ac:dyDescent="0.2">
      <c r="A713" s="4">
        <v>712</v>
      </c>
      <c r="B713" s="4">
        <v>178</v>
      </c>
      <c r="C713" s="4" t="s">
        <v>275</v>
      </c>
      <c r="D713" s="4" t="s">
        <v>920</v>
      </c>
      <c r="E713" s="4">
        <v>200</v>
      </c>
      <c r="F713" s="4" t="s">
        <v>917</v>
      </c>
      <c r="G713" s="4">
        <f>E713*VLOOKUP(B713,alimentos_master!$A:$M,13,FALSE())/100</f>
        <v>327.60000000000002</v>
      </c>
      <c r="H713" s="4">
        <f>E713*VLOOKUP(B713,alimentos_master!$A:$N,14,FALSE())/100</f>
        <v>14.44</v>
      </c>
      <c r="I713" s="4">
        <f>E713*VLOOKUP(B713,alimentos_master!$A:$O,15,FALSE())/100</f>
        <v>46.36</v>
      </c>
      <c r="J713" s="4">
        <f>E713*VLOOKUP(B713,alimentos_master!$A:$R,18,FALSE())/100</f>
        <v>5.4</v>
      </c>
    </row>
    <row r="714" spans="1:10" ht="15" customHeight="1" x14ac:dyDescent="0.2">
      <c r="A714" s="4">
        <v>713</v>
      </c>
      <c r="B714" s="4">
        <v>179</v>
      </c>
      <c r="C714" s="4" t="s">
        <v>276</v>
      </c>
      <c r="D714" s="4" t="s">
        <v>916</v>
      </c>
      <c r="E714" s="4">
        <v>75</v>
      </c>
      <c r="F714" s="4" t="s">
        <v>917</v>
      </c>
      <c r="G714" s="4" t="e">
        <f>E714*VLOOKUP(B714,alimentos_master!$A:$M,13,FALSE())/100</f>
        <v>#N/A</v>
      </c>
      <c r="H714" s="4" t="e">
        <f>E714*VLOOKUP(B714,alimentos_master!$A:$N,14,FALSE())/100</f>
        <v>#N/A</v>
      </c>
      <c r="I714" s="4" t="e">
        <f>E714*VLOOKUP(B714,alimentos_master!$A:$O,15,FALSE())/100</f>
        <v>#N/A</v>
      </c>
      <c r="J714" s="4" t="e">
        <f>E714*VLOOKUP(B714,alimentos_master!$A:$R,18,FALSE())/100</f>
        <v>#N/A</v>
      </c>
    </row>
    <row r="715" spans="1:10" ht="15" customHeight="1" x14ac:dyDescent="0.2">
      <c r="A715" s="4">
        <v>714</v>
      </c>
      <c r="B715" s="4">
        <v>179</v>
      </c>
      <c r="C715" s="4" t="s">
        <v>276</v>
      </c>
      <c r="D715" s="4" t="s">
        <v>918</v>
      </c>
      <c r="E715" s="4">
        <v>100</v>
      </c>
      <c r="F715" s="4" t="s">
        <v>917</v>
      </c>
      <c r="G715" s="4" t="e">
        <f>E715*VLOOKUP(B715,alimentos_master!$A:$M,13,FALSE())/100</f>
        <v>#N/A</v>
      </c>
      <c r="H715" s="4" t="e">
        <f>E715*VLOOKUP(B715,alimentos_master!$A:$N,14,FALSE())/100</f>
        <v>#N/A</v>
      </c>
      <c r="I715" s="4" t="e">
        <f>E715*VLOOKUP(B715,alimentos_master!$A:$O,15,FALSE())/100</f>
        <v>#N/A</v>
      </c>
      <c r="J715" s="4" t="e">
        <f>E715*VLOOKUP(B715,alimentos_master!$A:$R,18,FALSE())/100</f>
        <v>#N/A</v>
      </c>
    </row>
    <row r="716" spans="1:10" ht="15" customHeight="1" x14ac:dyDescent="0.2">
      <c r="A716" s="4">
        <v>715</v>
      </c>
      <c r="B716" s="4">
        <v>179</v>
      </c>
      <c r="C716" s="4" t="s">
        <v>276</v>
      </c>
      <c r="D716" s="4" t="s">
        <v>919</v>
      </c>
      <c r="E716" s="4">
        <v>150</v>
      </c>
      <c r="F716" s="4" t="s">
        <v>917</v>
      </c>
      <c r="G716" s="4" t="e">
        <f>E716*VLOOKUP(B716,alimentos_master!$A:$M,13,FALSE())/100</f>
        <v>#N/A</v>
      </c>
      <c r="H716" s="4" t="e">
        <f>E716*VLOOKUP(B716,alimentos_master!$A:$N,14,FALSE())/100</f>
        <v>#N/A</v>
      </c>
      <c r="I716" s="4" t="e">
        <f>E716*VLOOKUP(B716,alimentos_master!$A:$O,15,FALSE())/100</f>
        <v>#N/A</v>
      </c>
      <c r="J716" s="4" t="e">
        <f>E716*VLOOKUP(B716,alimentos_master!$A:$R,18,FALSE())/100</f>
        <v>#N/A</v>
      </c>
    </row>
    <row r="717" spans="1:10" ht="15" customHeight="1" x14ac:dyDescent="0.2">
      <c r="A717" s="4">
        <v>716</v>
      </c>
      <c r="B717" s="4">
        <v>179</v>
      </c>
      <c r="C717" s="4" t="s">
        <v>276</v>
      </c>
      <c r="D717" s="4" t="s">
        <v>920</v>
      </c>
      <c r="E717" s="4">
        <v>200</v>
      </c>
      <c r="F717" s="4" t="s">
        <v>917</v>
      </c>
      <c r="G717" s="4" t="e">
        <f>E717*VLOOKUP(B717,alimentos_master!$A:$M,13,FALSE())/100</f>
        <v>#N/A</v>
      </c>
      <c r="H717" s="4" t="e">
        <f>E717*VLOOKUP(B717,alimentos_master!$A:$N,14,FALSE())/100</f>
        <v>#N/A</v>
      </c>
      <c r="I717" s="4" t="e">
        <f>E717*VLOOKUP(B717,alimentos_master!$A:$O,15,FALSE())/100</f>
        <v>#N/A</v>
      </c>
      <c r="J717" s="4" t="e">
        <f>E717*VLOOKUP(B717,alimentos_master!$A:$R,18,FALSE())/100</f>
        <v>#N/A</v>
      </c>
    </row>
    <row r="718" spans="1:10" ht="15" customHeight="1" x14ac:dyDescent="0.2">
      <c r="A718" s="4">
        <v>717</v>
      </c>
      <c r="B718" s="4">
        <v>180</v>
      </c>
      <c r="C718" s="4" t="s">
        <v>277</v>
      </c>
      <c r="D718" s="4" t="s">
        <v>916</v>
      </c>
      <c r="E718" s="4">
        <v>75</v>
      </c>
      <c r="F718" s="4" t="s">
        <v>917</v>
      </c>
      <c r="G718" s="4" t="e">
        <f>E718*VLOOKUP(B718,alimentos_master!$A:$M,13,FALSE())/100</f>
        <v>#N/A</v>
      </c>
      <c r="H718" s="4" t="e">
        <f>E718*VLOOKUP(B718,alimentos_master!$A:$N,14,FALSE())/100</f>
        <v>#N/A</v>
      </c>
      <c r="I718" s="4" t="e">
        <f>E718*VLOOKUP(B718,alimentos_master!$A:$O,15,FALSE())/100</f>
        <v>#N/A</v>
      </c>
      <c r="J718" s="4" t="e">
        <f>E718*VLOOKUP(B718,alimentos_master!$A:$R,18,FALSE())/100</f>
        <v>#N/A</v>
      </c>
    </row>
    <row r="719" spans="1:10" ht="15" customHeight="1" x14ac:dyDescent="0.2">
      <c r="A719" s="4">
        <v>718</v>
      </c>
      <c r="B719" s="4">
        <v>180</v>
      </c>
      <c r="C719" s="4" t="s">
        <v>277</v>
      </c>
      <c r="D719" s="4" t="s">
        <v>918</v>
      </c>
      <c r="E719" s="4">
        <v>100</v>
      </c>
      <c r="F719" s="4" t="s">
        <v>917</v>
      </c>
      <c r="G719" s="4" t="e">
        <f>E719*VLOOKUP(B719,alimentos_master!$A:$M,13,FALSE())/100</f>
        <v>#N/A</v>
      </c>
      <c r="H719" s="4" t="e">
        <f>E719*VLOOKUP(B719,alimentos_master!$A:$N,14,FALSE())/100</f>
        <v>#N/A</v>
      </c>
      <c r="I719" s="4" t="e">
        <f>E719*VLOOKUP(B719,alimentos_master!$A:$O,15,FALSE())/100</f>
        <v>#N/A</v>
      </c>
      <c r="J719" s="4" t="e">
        <f>E719*VLOOKUP(B719,alimentos_master!$A:$R,18,FALSE())/100</f>
        <v>#N/A</v>
      </c>
    </row>
    <row r="720" spans="1:10" ht="15" customHeight="1" x14ac:dyDescent="0.2">
      <c r="A720" s="4">
        <v>719</v>
      </c>
      <c r="B720" s="4">
        <v>180</v>
      </c>
      <c r="C720" s="4" t="s">
        <v>277</v>
      </c>
      <c r="D720" s="4" t="s">
        <v>919</v>
      </c>
      <c r="E720" s="4">
        <v>150</v>
      </c>
      <c r="F720" s="4" t="s">
        <v>917</v>
      </c>
      <c r="G720" s="4" t="e">
        <f>E720*VLOOKUP(B720,alimentos_master!$A:$M,13,FALSE())/100</f>
        <v>#N/A</v>
      </c>
      <c r="H720" s="4" t="e">
        <f>E720*VLOOKUP(B720,alimentos_master!$A:$N,14,FALSE())/100</f>
        <v>#N/A</v>
      </c>
      <c r="I720" s="4" t="e">
        <f>E720*VLOOKUP(B720,alimentos_master!$A:$O,15,FALSE())/100</f>
        <v>#N/A</v>
      </c>
      <c r="J720" s="4" t="e">
        <f>E720*VLOOKUP(B720,alimentos_master!$A:$R,18,FALSE())/100</f>
        <v>#N/A</v>
      </c>
    </row>
    <row r="721" spans="1:10" ht="15" customHeight="1" x14ac:dyDescent="0.2">
      <c r="A721" s="4">
        <v>720</v>
      </c>
      <c r="B721" s="4">
        <v>180</v>
      </c>
      <c r="C721" s="4" t="s">
        <v>277</v>
      </c>
      <c r="D721" s="4" t="s">
        <v>920</v>
      </c>
      <c r="E721" s="4">
        <v>200</v>
      </c>
      <c r="F721" s="4" t="s">
        <v>917</v>
      </c>
      <c r="G721" s="4" t="e">
        <f>E721*VLOOKUP(B721,alimentos_master!$A:$M,13,FALSE())/100</f>
        <v>#N/A</v>
      </c>
      <c r="H721" s="4" t="e">
        <f>E721*VLOOKUP(B721,alimentos_master!$A:$N,14,FALSE())/100</f>
        <v>#N/A</v>
      </c>
      <c r="I721" s="4" t="e">
        <f>E721*VLOOKUP(B721,alimentos_master!$A:$O,15,FALSE())/100</f>
        <v>#N/A</v>
      </c>
      <c r="J721" s="4" t="e">
        <f>E721*VLOOKUP(B721,alimentos_master!$A:$R,18,FALSE())/100</f>
        <v>#N/A</v>
      </c>
    </row>
    <row r="722" spans="1:10" ht="15" customHeight="1" x14ac:dyDescent="0.2">
      <c r="A722" s="4">
        <v>721</v>
      </c>
      <c r="B722" s="4">
        <v>181</v>
      </c>
      <c r="C722" s="4" t="s">
        <v>278</v>
      </c>
      <c r="D722" s="4" t="s">
        <v>916</v>
      </c>
      <c r="E722" s="4">
        <v>75</v>
      </c>
      <c r="F722" s="4" t="s">
        <v>917</v>
      </c>
      <c r="G722" s="4" t="e">
        <f>E722*VLOOKUP(B722,alimentos_master!$A:$M,13,FALSE())/100</f>
        <v>#N/A</v>
      </c>
      <c r="H722" s="4" t="e">
        <f>E722*VLOOKUP(B722,alimentos_master!$A:$N,14,FALSE())/100</f>
        <v>#N/A</v>
      </c>
      <c r="I722" s="4" t="e">
        <f>E722*VLOOKUP(B722,alimentos_master!$A:$O,15,FALSE())/100</f>
        <v>#N/A</v>
      </c>
      <c r="J722" s="4" t="e">
        <f>E722*VLOOKUP(B722,alimentos_master!$A:$R,18,FALSE())/100</f>
        <v>#N/A</v>
      </c>
    </row>
    <row r="723" spans="1:10" ht="15" customHeight="1" x14ac:dyDescent="0.2">
      <c r="A723" s="4">
        <v>722</v>
      </c>
      <c r="B723" s="4">
        <v>181</v>
      </c>
      <c r="C723" s="4" t="s">
        <v>278</v>
      </c>
      <c r="D723" s="4" t="s">
        <v>918</v>
      </c>
      <c r="E723" s="4">
        <v>100</v>
      </c>
      <c r="F723" s="4" t="s">
        <v>917</v>
      </c>
      <c r="G723" s="4" t="e">
        <f>E723*VLOOKUP(B723,alimentos_master!$A:$M,13,FALSE())/100</f>
        <v>#N/A</v>
      </c>
      <c r="H723" s="4" t="e">
        <f>E723*VLOOKUP(B723,alimentos_master!$A:$N,14,FALSE())/100</f>
        <v>#N/A</v>
      </c>
      <c r="I723" s="4" t="e">
        <f>E723*VLOOKUP(B723,alimentos_master!$A:$O,15,FALSE())/100</f>
        <v>#N/A</v>
      </c>
      <c r="J723" s="4" t="e">
        <f>E723*VLOOKUP(B723,alimentos_master!$A:$R,18,FALSE())/100</f>
        <v>#N/A</v>
      </c>
    </row>
    <row r="724" spans="1:10" ht="15" customHeight="1" x14ac:dyDescent="0.2">
      <c r="A724" s="4">
        <v>723</v>
      </c>
      <c r="B724" s="4">
        <v>181</v>
      </c>
      <c r="C724" s="4" t="s">
        <v>278</v>
      </c>
      <c r="D724" s="4" t="s">
        <v>919</v>
      </c>
      <c r="E724" s="4">
        <v>150</v>
      </c>
      <c r="F724" s="4" t="s">
        <v>917</v>
      </c>
      <c r="G724" s="4" t="e">
        <f>E724*VLOOKUP(B724,alimentos_master!$A:$M,13,FALSE())/100</f>
        <v>#N/A</v>
      </c>
      <c r="H724" s="4" t="e">
        <f>E724*VLOOKUP(B724,alimentos_master!$A:$N,14,FALSE())/100</f>
        <v>#N/A</v>
      </c>
      <c r="I724" s="4" t="e">
        <f>E724*VLOOKUP(B724,alimentos_master!$A:$O,15,FALSE())/100</f>
        <v>#N/A</v>
      </c>
      <c r="J724" s="4" t="e">
        <f>E724*VLOOKUP(B724,alimentos_master!$A:$R,18,FALSE())/100</f>
        <v>#N/A</v>
      </c>
    </row>
    <row r="725" spans="1:10" ht="15" customHeight="1" x14ac:dyDescent="0.2">
      <c r="A725" s="4">
        <v>724</v>
      </c>
      <c r="B725" s="4">
        <v>181</v>
      </c>
      <c r="C725" s="4" t="s">
        <v>278</v>
      </c>
      <c r="D725" s="4" t="s">
        <v>920</v>
      </c>
      <c r="E725" s="4">
        <v>200</v>
      </c>
      <c r="F725" s="4" t="s">
        <v>917</v>
      </c>
      <c r="G725" s="4" t="e">
        <f>E725*VLOOKUP(B725,alimentos_master!$A:$M,13,FALSE())/100</f>
        <v>#N/A</v>
      </c>
      <c r="H725" s="4" t="e">
        <f>E725*VLOOKUP(B725,alimentos_master!$A:$N,14,FALSE())/100</f>
        <v>#N/A</v>
      </c>
      <c r="I725" s="4" t="e">
        <f>E725*VLOOKUP(B725,alimentos_master!$A:$O,15,FALSE())/100</f>
        <v>#N/A</v>
      </c>
      <c r="J725" s="4" t="e">
        <f>E725*VLOOKUP(B725,alimentos_master!$A:$R,18,FALSE())/100</f>
        <v>#N/A</v>
      </c>
    </row>
    <row r="726" spans="1:10" ht="15" customHeight="1" x14ac:dyDescent="0.2">
      <c r="A726" s="4">
        <v>725</v>
      </c>
      <c r="B726" s="4">
        <v>182</v>
      </c>
      <c r="C726" s="4" t="s">
        <v>279</v>
      </c>
      <c r="D726" s="4" t="s">
        <v>916</v>
      </c>
      <c r="E726" s="4">
        <v>75</v>
      </c>
      <c r="F726" s="4" t="s">
        <v>917</v>
      </c>
      <c r="G726" s="4" t="e">
        <f>E726*VLOOKUP(B726,alimentos_master!$A:$M,13,FALSE())/100</f>
        <v>#N/A</v>
      </c>
      <c r="H726" s="4" t="e">
        <f>E726*VLOOKUP(B726,alimentos_master!$A:$N,14,FALSE())/100</f>
        <v>#N/A</v>
      </c>
      <c r="I726" s="4" t="e">
        <f>E726*VLOOKUP(B726,alimentos_master!$A:$O,15,FALSE())/100</f>
        <v>#N/A</v>
      </c>
      <c r="J726" s="4" t="e">
        <f>E726*VLOOKUP(B726,alimentos_master!$A:$R,18,FALSE())/100</f>
        <v>#N/A</v>
      </c>
    </row>
    <row r="727" spans="1:10" ht="15" customHeight="1" x14ac:dyDescent="0.2">
      <c r="A727" s="4">
        <v>726</v>
      </c>
      <c r="B727" s="4">
        <v>182</v>
      </c>
      <c r="C727" s="4" t="s">
        <v>279</v>
      </c>
      <c r="D727" s="4" t="s">
        <v>918</v>
      </c>
      <c r="E727" s="4">
        <v>100</v>
      </c>
      <c r="F727" s="4" t="s">
        <v>917</v>
      </c>
      <c r="G727" s="4" t="e">
        <f>E727*VLOOKUP(B727,alimentos_master!$A:$M,13,FALSE())/100</f>
        <v>#N/A</v>
      </c>
      <c r="H727" s="4" t="e">
        <f>E727*VLOOKUP(B727,alimentos_master!$A:$N,14,FALSE())/100</f>
        <v>#N/A</v>
      </c>
      <c r="I727" s="4" t="e">
        <f>E727*VLOOKUP(B727,alimentos_master!$A:$O,15,FALSE())/100</f>
        <v>#N/A</v>
      </c>
      <c r="J727" s="4" t="e">
        <f>E727*VLOOKUP(B727,alimentos_master!$A:$R,18,FALSE())/100</f>
        <v>#N/A</v>
      </c>
    </row>
    <row r="728" spans="1:10" ht="15" customHeight="1" x14ac:dyDescent="0.2">
      <c r="A728" s="4">
        <v>727</v>
      </c>
      <c r="B728" s="4">
        <v>182</v>
      </c>
      <c r="C728" s="4" t="s">
        <v>279</v>
      </c>
      <c r="D728" s="4" t="s">
        <v>919</v>
      </c>
      <c r="E728" s="4">
        <v>150</v>
      </c>
      <c r="F728" s="4" t="s">
        <v>917</v>
      </c>
      <c r="G728" s="4" t="e">
        <f>E728*VLOOKUP(B728,alimentos_master!$A:$M,13,FALSE())/100</f>
        <v>#N/A</v>
      </c>
      <c r="H728" s="4" t="e">
        <f>E728*VLOOKUP(B728,alimentos_master!$A:$N,14,FALSE())/100</f>
        <v>#N/A</v>
      </c>
      <c r="I728" s="4" t="e">
        <f>E728*VLOOKUP(B728,alimentos_master!$A:$O,15,FALSE())/100</f>
        <v>#N/A</v>
      </c>
      <c r="J728" s="4" t="e">
        <f>E728*VLOOKUP(B728,alimentos_master!$A:$R,18,FALSE())/100</f>
        <v>#N/A</v>
      </c>
    </row>
    <row r="729" spans="1:10" ht="15" customHeight="1" x14ac:dyDescent="0.2">
      <c r="A729" s="4">
        <v>728</v>
      </c>
      <c r="B729" s="4">
        <v>182</v>
      </c>
      <c r="C729" s="4" t="s">
        <v>279</v>
      </c>
      <c r="D729" s="4" t="s">
        <v>920</v>
      </c>
      <c r="E729" s="4">
        <v>200</v>
      </c>
      <c r="F729" s="4" t="s">
        <v>917</v>
      </c>
      <c r="G729" s="4" t="e">
        <f>E729*VLOOKUP(B729,alimentos_master!$A:$M,13,FALSE())/100</f>
        <v>#N/A</v>
      </c>
      <c r="H729" s="4" t="e">
        <f>E729*VLOOKUP(B729,alimentos_master!$A:$N,14,FALSE())/100</f>
        <v>#N/A</v>
      </c>
      <c r="I729" s="4" t="e">
        <f>E729*VLOOKUP(B729,alimentos_master!$A:$O,15,FALSE())/100</f>
        <v>#N/A</v>
      </c>
      <c r="J729" s="4" t="e">
        <f>E729*VLOOKUP(B729,alimentos_master!$A:$R,18,FALSE())/100</f>
        <v>#N/A</v>
      </c>
    </row>
    <row r="730" spans="1:10" ht="15" customHeight="1" x14ac:dyDescent="0.2">
      <c r="A730" s="4">
        <v>729</v>
      </c>
      <c r="B730" s="4">
        <v>183</v>
      </c>
      <c r="C730" s="4" t="s">
        <v>280</v>
      </c>
      <c r="D730" s="4" t="s">
        <v>916</v>
      </c>
      <c r="E730" s="4">
        <v>75</v>
      </c>
      <c r="F730" s="4" t="s">
        <v>917</v>
      </c>
      <c r="G730" s="4" t="e">
        <f>E730*VLOOKUP(B730,alimentos_master!$A:$M,13,FALSE())/100</f>
        <v>#N/A</v>
      </c>
      <c r="H730" s="4" t="e">
        <f>E730*VLOOKUP(B730,alimentos_master!$A:$N,14,FALSE())/100</f>
        <v>#N/A</v>
      </c>
      <c r="I730" s="4" t="e">
        <f>E730*VLOOKUP(B730,alimentos_master!$A:$O,15,FALSE())/100</f>
        <v>#N/A</v>
      </c>
      <c r="J730" s="4" t="e">
        <f>E730*VLOOKUP(B730,alimentos_master!$A:$R,18,FALSE())/100</f>
        <v>#N/A</v>
      </c>
    </row>
    <row r="731" spans="1:10" ht="15" customHeight="1" x14ac:dyDescent="0.2">
      <c r="A731" s="4">
        <v>730</v>
      </c>
      <c r="B731" s="4">
        <v>183</v>
      </c>
      <c r="C731" s="4" t="s">
        <v>280</v>
      </c>
      <c r="D731" s="4" t="s">
        <v>918</v>
      </c>
      <c r="E731" s="4">
        <v>100</v>
      </c>
      <c r="F731" s="4" t="s">
        <v>917</v>
      </c>
      <c r="G731" s="4" t="e">
        <f>E731*VLOOKUP(B731,alimentos_master!$A:$M,13,FALSE())/100</f>
        <v>#N/A</v>
      </c>
      <c r="H731" s="4" t="e">
        <f>E731*VLOOKUP(B731,alimentos_master!$A:$N,14,FALSE())/100</f>
        <v>#N/A</v>
      </c>
      <c r="I731" s="4" t="e">
        <f>E731*VLOOKUP(B731,alimentos_master!$A:$O,15,FALSE())/100</f>
        <v>#N/A</v>
      </c>
      <c r="J731" s="4" t="e">
        <f>E731*VLOOKUP(B731,alimentos_master!$A:$R,18,FALSE())/100</f>
        <v>#N/A</v>
      </c>
    </row>
    <row r="732" spans="1:10" ht="15" customHeight="1" x14ac:dyDescent="0.2">
      <c r="A732" s="4">
        <v>731</v>
      </c>
      <c r="B732" s="4">
        <v>183</v>
      </c>
      <c r="C732" s="4" t="s">
        <v>280</v>
      </c>
      <c r="D732" s="4" t="s">
        <v>919</v>
      </c>
      <c r="E732" s="4">
        <v>150</v>
      </c>
      <c r="F732" s="4" t="s">
        <v>917</v>
      </c>
      <c r="G732" s="4" t="e">
        <f>E732*VLOOKUP(B732,alimentos_master!$A:$M,13,FALSE())/100</f>
        <v>#N/A</v>
      </c>
      <c r="H732" s="4" t="e">
        <f>E732*VLOOKUP(B732,alimentos_master!$A:$N,14,FALSE())/100</f>
        <v>#N/A</v>
      </c>
      <c r="I732" s="4" t="e">
        <f>E732*VLOOKUP(B732,alimentos_master!$A:$O,15,FALSE())/100</f>
        <v>#N/A</v>
      </c>
      <c r="J732" s="4" t="e">
        <f>E732*VLOOKUP(B732,alimentos_master!$A:$R,18,FALSE())/100</f>
        <v>#N/A</v>
      </c>
    </row>
    <row r="733" spans="1:10" ht="15" customHeight="1" x14ac:dyDescent="0.2">
      <c r="A733" s="4">
        <v>732</v>
      </c>
      <c r="B733" s="4">
        <v>183</v>
      </c>
      <c r="C733" s="4" t="s">
        <v>280</v>
      </c>
      <c r="D733" s="4" t="s">
        <v>920</v>
      </c>
      <c r="E733" s="4">
        <v>200</v>
      </c>
      <c r="F733" s="4" t="s">
        <v>917</v>
      </c>
      <c r="G733" s="4" t="e">
        <f>E733*VLOOKUP(B733,alimentos_master!$A:$M,13,FALSE())/100</f>
        <v>#N/A</v>
      </c>
      <c r="H733" s="4" t="e">
        <f>E733*VLOOKUP(B733,alimentos_master!$A:$N,14,FALSE())/100</f>
        <v>#N/A</v>
      </c>
      <c r="I733" s="4" t="e">
        <f>E733*VLOOKUP(B733,alimentos_master!$A:$O,15,FALSE())/100</f>
        <v>#N/A</v>
      </c>
      <c r="J733" s="4" t="e">
        <f>E733*VLOOKUP(B733,alimentos_master!$A:$R,18,FALSE())/100</f>
        <v>#N/A</v>
      </c>
    </row>
    <row r="734" spans="1:10" ht="15" customHeight="1" x14ac:dyDescent="0.2">
      <c r="A734" s="4">
        <v>733</v>
      </c>
      <c r="B734" s="4">
        <v>184</v>
      </c>
      <c r="C734" s="4" t="s">
        <v>281</v>
      </c>
      <c r="D734" s="4" t="s">
        <v>916</v>
      </c>
      <c r="E734" s="4">
        <v>75</v>
      </c>
      <c r="F734" s="4" t="s">
        <v>917</v>
      </c>
      <c r="G734" s="4">
        <f>E734*VLOOKUP(B734,alimentos_master!$A:$M,13,FALSE())/100</f>
        <v>249.75</v>
      </c>
      <c r="H734" s="4">
        <f>E734*VLOOKUP(B734,alimentos_master!$A:$N,14,FALSE())/100</f>
        <v>17.25</v>
      </c>
      <c r="I734" s="4">
        <f>E734*VLOOKUP(B734,alimentos_master!$A:$O,15,FALSE())/100</f>
        <v>45</v>
      </c>
      <c r="J734" s="4">
        <f>E734*VLOOKUP(B734,alimentos_master!$A:$R,18,FALSE())/100</f>
        <v>0.6</v>
      </c>
    </row>
    <row r="735" spans="1:10" ht="15" customHeight="1" x14ac:dyDescent="0.2">
      <c r="A735" s="4">
        <v>734</v>
      </c>
      <c r="B735" s="4">
        <v>184</v>
      </c>
      <c r="C735" s="4" t="s">
        <v>281</v>
      </c>
      <c r="D735" s="4" t="s">
        <v>918</v>
      </c>
      <c r="E735" s="4">
        <v>100</v>
      </c>
      <c r="F735" s="4" t="s">
        <v>917</v>
      </c>
      <c r="G735" s="4">
        <f>E735*VLOOKUP(B735,alimentos_master!$A:$M,13,FALSE())/100</f>
        <v>333</v>
      </c>
      <c r="H735" s="4">
        <f>E735*VLOOKUP(B735,alimentos_master!$A:$N,14,FALSE())/100</f>
        <v>23</v>
      </c>
      <c r="I735" s="4">
        <f>E735*VLOOKUP(B735,alimentos_master!$A:$O,15,FALSE())/100</f>
        <v>60</v>
      </c>
      <c r="J735" s="4">
        <f>E735*VLOOKUP(B735,alimentos_master!$A:$R,18,FALSE())/100</f>
        <v>0.8</v>
      </c>
    </row>
    <row r="736" spans="1:10" ht="15" customHeight="1" x14ac:dyDescent="0.2">
      <c r="A736" s="4">
        <v>735</v>
      </c>
      <c r="B736" s="4">
        <v>184</v>
      </c>
      <c r="C736" s="4" t="s">
        <v>281</v>
      </c>
      <c r="D736" s="4" t="s">
        <v>919</v>
      </c>
      <c r="E736" s="4">
        <v>150</v>
      </c>
      <c r="F736" s="4" t="s">
        <v>917</v>
      </c>
      <c r="G736" s="4">
        <f>E736*VLOOKUP(B736,alimentos_master!$A:$M,13,FALSE())/100</f>
        <v>499.5</v>
      </c>
      <c r="H736" s="4">
        <f>E736*VLOOKUP(B736,alimentos_master!$A:$N,14,FALSE())/100</f>
        <v>34.5</v>
      </c>
      <c r="I736" s="4">
        <f>E736*VLOOKUP(B736,alimentos_master!$A:$O,15,FALSE())/100</f>
        <v>90</v>
      </c>
      <c r="J736" s="4">
        <f>E736*VLOOKUP(B736,alimentos_master!$A:$R,18,FALSE())/100</f>
        <v>1.2</v>
      </c>
    </row>
    <row r="737" spans="1:10" ht="15" customHeight="1" x14ac:dyDescent="0.2">
      <c r="A737" s="4">
        <v>736</v>
      </c>
      <c r="B737" s="4">
        <v>184</v>
      </c>
      <c r="C737" s="4" t="s">
        <v>281</v>
      </c>
      <c r="D737" s="4" t="s">
        <v>920</v>
      </c>
      <c r="E737" s="4">
        <v>200</v>
      </c>
      <c r="F737" s="4" t="s">
        <v>917</v>
      </c>
      <c r="G737" s="4">
        <f>E737*VLOOKUP(B737,alimentos_master!$A:$M,13,FALSE())/100</f>
        <v>666</v>
      </c>
      <c r="H737" s="4">
        <f>E737*VLOOKUP(B737,alimentos_master!$A:$N,14,FALSE())/100</f>
        <v>46</v>
      </c>
      <c r="I737" s="4">
        <f>E737*VLOOKUP(B737,alimentos_master!$A:$O,15,FALSE())/100</f>
        <v>120</v>
      </c>
      <c r="J737" s="4">
        <f>E737*VLOOKUP(B737,alimentos_master!$A:$R,18,FALSE())/100</f>
        <v>1.6</v>
      </c>
    </row>
    <row r="738" spans="1:10" ht="15" customHeight="1" x14ac:dyDescent="0.2">
      <c r="A738" s="4">
        <v>737</v>
      </c>
      <c r="B738" s="4">
        <v>185</v>
      </c>
      <c r="C738" s="4" t="s">
        <v>283</v>
      </c>
      <c r="D738" s="4" t="s">
        <v>916</v>
      </c>
      <c r="E738" s="4">
        <v>75</v>
      </c>
      <c r="F738" s="4" t="s">
        <v>917</v>
      </c>
      <c r="G738" s="4" t="e">
        <f>E738*VLOOKUP(B738,alimentos_master!$A:$M,13,FALSE())/100</f>
        <v>#N/A</v>
      </c>
      <c r="H738" s="4" t="e">
        <f>E738*VLOOKUP(B738,alimentos_master!$A:$N,14,FALSE())/100</f>
        <v>#N/A</v>
      </c>
      <c r="I738" s="4" t="e">
        <f>E738*VLOOKUP(B738,alimentos_master!$A:$O,15,FALSE())/100</f>
        <v>#N/A</v>
      </c>
      <c r="J738" s="4" t="e">
        <f>E738*VLOOKUP(B738,alimentos_master!$A:$R,18,FALSE())/100</f>
        <v>#N/A</v>
      </c>
    </row>
    <row r="739" spans="1:10" ht="15" customHeight="1" x14ac:dyDescent="0.2">
      <c r="A739" s="4">
        <v>738</v>
      </c>
      <c r="B739" s="4">
        <v>185</v>
      </c>
      <c r="C739" s="4" t="s">
        <v>283</v>
      </c>
      <c r="D739" s="4" t="s">
        <v>918</v>
      </c>
      <c r="E739" s="4">
        <v>100</v>
      </c>
      <c r="F739" s="4" t="s">
        <v>917</v>
      </c>
      <c r="G739" s="4" t="e">
        <f>E739*VLOOKUP(B739,alimentos_master!$A:$M,13,FALSE())/100</f>
        <v>#N/A</v>
      </c>
      <c r="H739" s="4" t="e">
        <f>E739*VLOOKUP(B739,alimentos_master!$A:$N,14,FALSE())/100</f>
        <v>#N/A</v>
      </c>
      <c r="I739" s="4" t="e">
        <f>E739*VLOOKUP(B739,alimentos_master!$A:$O,15,FALSE())/100</f>
        <v>#N/A</v>
      </c>
      <c r="J739" s="4" t="e">
        <f>E739*VLOOKUP(B739,alimentos_master!$A:$R,18,FALSE())/100</f>
        <v>#N/A</v>
      </c>
    </row>
    <row r="740" spans="1:10" ht="15" customHeight="1" x14ac:dyDescent="0.2">
      <c r="A740" s="4">
        <v>739</v>
      </c>
      <c r="B740" s="4">
        <v>185</v>
      </c>
      <c r="C740" s="4" t="s">
        <v>283</v>
      </c>
      <c r="D740" s="4" t="s">
        <v>919</v>
      </c>
      <c r="E740" s="4">
        <v>150</v>
      </c>
      <c r="F740" s="4" t="s">
        <v>917</v>
      </c>
      <c r="G740" s="4" t="e">
        <f>E740*VLOOKUP(B740,alimentos_master!$A:$M,13,FALSE())/100</f>
        <v>#N/A</v>
      </c>
      <c r="H740" s="4" t="e">
        <f>E740*VLOOKUP(B740,alimentos_master!$A:$N,14,FALSE())/100</f>
        <v>#N/A</v>
      </c>
      <c r="I740" s="4" t="e">
        <f>E740*VLOOKUP(B740,alimentos_master!$A:$O,15,FALSE())/100</f>
        <v>#N/A</v>
      </c>
      <c r="J740" s="4" t="e">
        <f>E740*VLOOKUP(B740,alimentos_master!$A:$R,18,FALSE())/100</f>
        <v>#N/A</v>
      </c>
    </row>
    <row r="741" spans="1:10" ht="15" customHeight="1" x14ac:dyDescent="0.2">
      <c r="A741" s="4">
        <v>740</v>
      </c>
      <c r="B741" s="4">
        <v>185</v>
      </c>
      <c r="C741" s="4" t="s">
        <v>283</v>
      </c>
      <c r="D741" s="4" t="s">
        <v>920</v>
      </c>
      <c r="E741" s="4">
        <v>200</v>
      </c>
      <c r="F741" s="4" t="s">
        <v>917</v>
      </c>
      <c r="G741" s="4" t="e">
        <f>E741*VLOOKUP(B741,alimentos_master!$A:$M,13,FALSE())/100</f>
        <v>#N/A</v>
      </c>
      <c r="H741" s="4" t="e">
        <f>E741*VLOOKUP(B741,alimentos_master!$A:$N,14,FALSE())/100</f>
        <v>#N/A</v>
      </c>
      <c r="I741" s="4" t="e">
        <f>E741*VLOOKUP(B741,alimentos_master!$A:$O,15,FALSE())/100</f>
        <v>#N/A</v>
      </c>
      <c r="J741" s="4" t="e">
        <f>E741*VLOOKUP(B741,alimentos_master!$A:$R,18,FALSE())/100</f>
        <v>#N/A</v>
      </c>
    </row>
    <row r="742" spans="1:10" ht="15" customHeight="1" x14ac:dyDescent="0.2">
      <c r="A742" s="4">
        <v>741</v>
      </c>
      <c r="B742" s="4">
        <v>186</v>
      </c>
      <c r="C742" s="4" t="s">
        <v>284</v>
      </c>
      <c r="D742" s="4" t="s">
        <v>916</v>
      </c>
      <c r="E742" s="4">
        <v>75</v>
      </c>
      <c r="F742" s="4" t="s">
        <v>917</v>
      </c>
      <c r="G742" s="4" t="e">
        <f>E742*VLOOKUP(B742,alimentos_master!$A:$M,13,FALSE())/100</f>
        <v>#N/A</v>
      </c>
      <c r="H742" s="4" t="e">
        <f>E742*VLOOKUP(B742,alimentos_master!$A:$N,14,FALSE())/100</f>
        <v>#N/A</v>
      </c>
      <c r="I742" s="4" t="e">
        <f>E742*VLOOKUP(B742,alimentos_master!$A:$O,15,FALSE())/100</f>
        <v>#N/A</v>
      </c>
      <c r="J742" s="4" t="e">
        <f>E742*VLOOKUP(B742,alimentos_master!$A:$R,18,FALSE())/100</f>
        <v>#N/A</v>
      </c>
    </row>
    <row r="743" spans="1:10" ht="15" customHeight="1" x14ac:dyDescent="0.2">
      <c r="A743" s="4">
        <v>742</v>
      </c>
      <c r="B743" s="4">
        <v>186</v>
      </c>
      <c r="C743" s="4" t="s">
        <v>284</v>
      </c>
      <c r="D743" s="4" t="s">
        <v>918</v>
      </c>
      <c r="E743" s="4">
        <v>100</v>
      </c>
      <c r="F743" s="4" t="s">
        <v>917</v>
      </c>
      <c r="G743" s="4" t="e">
        <f>E743*VLOOKUP(B743,alimentos_master!$A:$M,13,FALSE())/100</f>
        <v>#N/A</v>
      </c>
      <c r="H743" s="4" t="e">
        <f>E743*VLOOKUP(B743,alimentos_master!$A:$N,14,FALSE())/100</f>
        <v>#N/A</v>
      </c>
      <c r="I743" s="4" t="e">
        <f>E743*VLOOKUP(B743,alimentos_master!$A:$O,15,FALSE())/100</f>
        <v>#N/A</v>
      </c>
      <c r="J743" s="4" t="e">
        <f>E743*VLOOKUP(B743,alimentos_master!$A:$R,18,FALSE())/100</f>
        <v>#N/A</v>
      </c>
    </row>
    <row r="744" spans="1:10" ht="15" customHeight="1" x14ac:dyDescent="0.2">
      <c r="A744" s="4">
        <v>743</v>
      </c>
      <c r="B744" s="4">
        <v>186</v>
      </c>
      <c r="C744" s="4" t="s">
        <v>284</v>
      </c>
      <c r="D744" s="4" t="s">
        <v>919</v>
      </c>
      <c r="E744" s="4">
        <v>150</v>
      </c>
      <c r="F744" s="4" t="s">
        <v>917</v>
      </c>
      <c r="G744" s="4" t="e">
        <f>E744*VLOOKUP(B744,alimentos_master!$A:$M,13,FALSE())/100</f>
        <v>#N/A</v>
      </c>
      <c r="H744" s="4" t="e">
        <f>E744*VLOOKUP(B744,alimentos_master!$A:$N,14,FALSE())/100</f>
        <v>#N/A</v>
      </c>
      <c r="I744" s="4" t="e">
        <f>E744*VLOOKUP(B744,alimentos_master!$A:$O,15,FALSE())/100</f>
        <v>#N/A</v>
      </c>
      <c r="J744" s="4" t="e">
        <f>E744*VLOOKUP(B744,alimentos_master!$A:$R,18,FALSE())/100</f>
        <v>#N/A</v>
      </c>
    </row>
    <row r="745" spans="1:10" ht="15" customHeight="1" x14ac:dyDescent="0.2">
      <c r="A745" s="4">
        <v>744</v>
      </c>
      <c r="B745" s="4">
        <v>186</v>
      </c>
      <c r="C745" s="4" t="s">
        <v>284</v>
      </c>
      <c r="D745" s="4" t="s">
        <v>920</v>
      </c>
      <c r="E745" s="4">
        <v>200</v>
      </c>
      <c r="F745" s="4" t="s">
        <v>917</v>
      </c>
      <c r="G745" s="4" t="e">
        <f>E745*VLOOKUP(B745,alimentos_master!$A:$M,13,FALSE())/100</f>
        <v>#N/A</v>
      </c>
      <c r="H745" s="4" t="e">
        <f>E745*VLOOKUP(B745,alimentos_master!$A:$N,14,FALSE())/100</f>
        <v>#N/A</v>
      </c>
      <c r="I745" s="4" t="e">
        <f>E745*VLOOKUP(B745,alimentos_master!$A:$O,15,FALSE())/100</f>
        <v>#N/A</v>
      </c>
      <c r="J745" s="4" t="e">
        <f>E745*VLOOKUP(B745,alimentos_master!$A:$R,18,FALSE())/100</f>
        <v>#N/A</v>
      </c>
    </row>
    <row r="746" spans="1:10" ht="15" customHeight="1" x14ac:dyDescent="0.2">
      <c r="A746" s="4">
        <v>745</v>
      </c>
      <c r="B746" s="4">
        <v>187</v>
      </c>
      <c r="C746" s="4" t="s">
        <v>285</v>
      </c>
      <c r="D746" s="4" t="s">
        <v>916</v>
      </c>
      <c r="E746" s="4">
        <v>75</v>
      </c>
      <c r="F746" s="4" t="s">
        <v>917</v>
      </c>
      <c r="G746" s="4">
        <f>E746*VLOOKUP(B746,alimentos_master!$A:$M,13,FALSE())/100</f>
        <v>79.95</v>
      </c>
      <c r="H746" s="4">
        <f>E746*VLOOKUP(B746,alimentos_master!$A:$N,14,FALSE())/100</f>
        <v>5.8650000000000002</v>
      </c>
      <c r="I746" s="4">
        <f>E746*VLOOKUP(B746,alimentos_master!$A:$O,15,FALSE())/100</f>
        <v>15.3</v>
      </c>
      <c r="J746" s="4">
        <f>E746*VLOOKUP(B746,alimentos_master!$A:$R,18,FALSE())/100</f>
        <v>0.20250000000000001</v>
      </c>
    </row>
    <row r="747" spans="1:10" ht="15" customHeight="1" x14ac:dyDescent="0.2">
      <c r="A747" s="4">
        <v>746</v>
      </c>
      <c r="B747" s="4">
        <v>187</v>
      </c>
      <c r="C747" s="4" t="s">
        <v>285</v>
      </c>
      <c r="D747" s="4" t="s">
        <v>918</v>
      </c>
      <c r="E747" s="4">
        <v>100</v>
      </c>
      <c r="F747" s="4" t="s">
        <v>917</v>
      </c>
      <c r="G747" s="4">
        <f>E747*VLOOKUP(B747,alimentos_master!$A:$M,13,FALSE())/100</f>
        <v>106.6</v>
      </c>
      <c r="H747" s="4">
        <f>E747*VLOOKUP(B747,alimentos_master!$A:$N,14,FALSE())/100</f>
        <v>7.82</v>
      </c>
      <c r="I747" s="4">
        <f>E747*VLOOKUP(B747,alimentos_master!$A:$O,15,FALSE())/100</f>
        <v>20.399999999999999</v>
      </c>
      <c r="J747" s="4">
        <f>E747*VLOOKUP(B747,alimentos_master!$A:$R,18,FALSE())/100</f>
        <v>0.27</v>
      </c>
    </row>
    <row r="748" spans="1:10" ht="15" customHeight="1" x14ac:dyDescent="0.2">
      <c r="A748" s="4">
        <v>747</v>
      </c>
      <c r="B748" s="4">
        <v>187</v>
      </c>
      <c r="C748" s="4" t="s">
        <v>285</v>
      </c>
      <c r="D748" s="4" t="s">
        <v>919</v>
      </c>
      <c r="E748" s="4">
        <v>150</v>
      </c>
      <c r="F748" s="4" t="s">
        <v>917</v>
      </c>
      <c r="G748" s="4">
        <f>E748*VLOOKUP(B748,alimentos_master!$A:$M,13,FALSE())/100</f>
        <v>159.9</v>
      </c>
      <c r="H748" s="4">
        <f>E748*VLOOKUP(B748,alimentos_master!$A:$N,14,FALSE())/100</f>
        <v>11.73</v>
      </c>
      <c r="I748" s="4">
        <f>E748*VLOOKUP(B748,alimentos_master!$A:$O,15,FALSE())/100</f>
        <v>30.6</v>
      </c>
      <c r="J748" s="4">
        <f>E748*VLOOKUP(B748,alimentos_master!$A:$R,18,FALSE())/100</f>
        <v>0.40500000000000003</v>
      </c>
    </row>
    <row r="749" spans="1:10" ht="15" customHeight="1" x14ac:dyDescent="0.2">
      <c r="A749" s="4">
        <v>748</v>
      </c>
      <c r="B749" s="4">
        <v>187</v>
      </c>
      <c r="C749" s="4" t="s">
        <v>285</v>
      </c>
      <c r="D749" s="4" t="s">
        <v>920</v>
      </c>
      <c r="E749" s="4">
        <v>200</v>
      </c>
      <c r="F749" s="4" t="s">
        <v>917</v>
      </c>
      <c r="G749" s="4">
        <f>E749*VLOOKUP(B749,alimentos_master!$A:$M,13,FALSE())/100</f>
        <v>213.2</v>
      </c>
      <c r="H749" s="4">
        <f>E749*VLOOKUP(B749,alimentos_master!$A:$N,14,FALSE())/100</f>
        <v>15.64</v>
      </c>
      <c r="I749" s="4">
        <f>E749*VLOOKUP(B749,alimentos_master!$A:$O,15,FALSE())/100</f>
        <v>40.799999999999997</v>
      </c>
      <c r="J749" s="4">
        <f>E749*VLOOKUP(B749,alimentos_master!$A:$R,18,FALSE())/100</f>
        <v>0.54</v>
      </c>
    </row>
    <row r="750" spans="1:10" ht="15" customHeight="1" x14ac:dyDescent="0.2">
      <c r="A750" s="4">
        <v>749</v>
      </c>
      <c r="B750" s="4">
        <v>188</v>
      </c>
      <c r="C750" s="4" t="s">
        <v>286</v>
      </c>
      <c r="D750" s="4" t="s">
        <v>916</v>
      </c>
      <c r="E750" s="4">
        <v>75</v>
      </c>
      <c r="F750" s="4" t="s">
        <v>917</v>
      </c>
      <c r="G750" s="4" t="e">
        <f>E750*VLOOKUP(B750,alimentos_master!$A:$M,13,FALSE())/100</f>
        <v>#N/A</v>
      </c>
      <c r="H750" s="4" t="e">
        <f>E750*VLOOKUP(B750,alimentos_master!$A:$N,14,FALSE())/100</f>
        <v>#N/A</v>
      </c>
      <c r="I750" s="4" t="e">
        <f>E750*VLOOKUP(B750,alimentos_master!$A:$O,15,FALSE())/100</f>
        <v>#N/A</v>
      </c>
      <c r="J750" s="4" t="e">
        <f>E750*VLOOKUP(B750,alimentos_master!$A:$R,18,FALSE())/100</f>
        <v>#N/A</v>
      </c>
    </row>
    <row r="751" spans="1:10" ht="15" customHeight="1" x14ac:dyDescent="0.2">
      <c r="A751" s="4">
        <v>750</v>
      </c>
      <c r="B751" s="4">
        <v>188</v>
      </c>
      <c r="C751" s="4" t="s">
        <v>286</v>
      </c>
      <c r="D751" s="4" t="s">
        <v>918</v>
      </c>
      <c r="E751" s="4">
        <v>100</v>
      </c>
      <c r="F751" s="4" t="s">
        <v>917</v>
      </c>
      <c r="G751" s="4" t="e">
        <f>E751*VLOOKUP(B751,alimentos_master!$A:$M,13,FALSE())/100</f>
        <v>#N/A</v>
      </c>
      <c r="H751" s="4" t="e">
        <f>E751*VLOOKUP(B751,alimentos_master!$A:$N,14,FALSE())/100</f>
        <v>#N/A</v>
      </c>
      <c r="I751" s="4" t="e">
        <f>E751*VLOOKUP(B751,alimentos_master!$A:$O,15,FALSE())/100</f>
        <v>#N/A</v>
      </c>
      <c r="J751" s="4" t="e">
        <f>E751*VLOOKUP(B751,alimentos_master!$A:$R,18,FALSE())/100</f>
        <v>#N/A</v>
      </c>
    </row>
    <row r="752" spans="1:10" ht="15" customHeight="1" x14ac:dyDescent="0.2">
      <c r="A752" s="4">
        <v>751</v>
      </c>
      <c r="B752" s="4">
        <v>188</v>
      </c>
      <c r="C752" s="4" t="s">
        <v>286</v>
      </c>
      <c r="D752" s="4" t="s">
        <v>919</v>
      </c>
      <c r="E752" s="4">
        <v>150</v>
      </c>
      <c r="F752" s="4" t="s">
        <v>917</v>
      </c>
      <c r="G752" s="4" t="e">
        <f>E752*VLOOKUP(B752,alimentos_master!$A:$M,13,FALSE())/100</f>
        <v>#N/A</v>
      </c>
      <c r="H752" s="4" t="e">
        <f>E752*VLOOKUP(B752,alimentos_master!$A:$N,14,FALSE())/100</f>
        <v>#N/A</v>
      </c>
      <c r="I752" s="4" t="e">
        <f>E752*VLOOKUP(B752,alimentos_master!$A:$O,15,FALSE())/100</f>
        <v>#N/A</v>
      </c>
      <c r="J752" s="4" t="e">
        <f>E752*VLOOKUP(B752,alimentos_master!$A:$R,18,FALSE())/100</f>
        <v>#N/A</v>
      </c>
    </row>
    <row r="753" spans="1:10" ht="15" customHeight="1" x14ac:dyDescent="0.2">
      <c r="A753" s="4">
        <v>752</v>
      </c>
      <c r="B753" s="4">
        <v>188</v>
      </c>
      <c r="C753" s="4" t="s">
        <v>286</v>
      </c>
      <c r="D753" s="4" t="s">
        <v>920</v>
      </c>
      <c r="E753" s="4">
        <v>200</v>
      </c>
      <c r="F753" s="4" t="s">
        <v>917</v>
      </c>
      <c r="G753" s="4" t="e">
        <f>E753*VLOOKUP(B753,alimentos_master!$A:$M,13,FALSE())/100</f>
        <v>#N/A</v>
      </c>
      <c r="H753" s="4" t="e">
        <f>E753*VLOOKUP(B753,alimentos_master!$A:$N,14,FALSE())/100</f>
        <v>#N/A</v>
      </c>
      <c r="I753" s="4" t="e">
        <f>E753*VLOOKUP(B753,alimentos_master!$A:$O,15,FALSE())/100</f>
        <v>#N/A</v>
      </c>
      <c r="J753" s="4" t="e">
        <f>E753*VLOOKUP(B753,alimentos_master!$A:$R,18,FALSE())/100</f>
        <v>#N/A</v>
      </c>
    </row>
    <row r="754" spans="1:10" ht="15" customHeight="1" x14ac:dyDescent="0.2">
      <c r="A754" s="4">
        <v>753</v>
      </c>
      <c r="B754" s="4">
        <v>189</v>
      </c>
      <c r="C754" s="4" t="s">
        <v>287</v>
      </c>
      <c r="D754" s="4" t="s">
        <v>916</v>
      </c>
      <c r="E754" s="4">
        <v>75</v>
      </c>
      <c r="F754" s="4" t="s">
        <v>917</v>
      </c>
      <c r="G754" s="4" t="e">
        <f>E754*VLOOKUP(B754,alimentos_master!$A:$M,13,FALSE())/100</f>
        <v>#N/A</v>
      </c>
      <c r="H754" s="4" t="e">
        <f>E754*VLOOKUP(B754,alimentos_master!$A:$N,14,FALSE())/100</f>
        <v>#N/A</v>
      </c>
      <c r="I754" s="4" t="e">
        <f>E754*VLOOKUP(B754,alimentos_master!$A:$O,15,FALSE())/100</f>
        <v>#N/A</v>
      </c>
      <c r="J754" s="4" t="e">
        <f>E754*VLOOKUP(B754,alimentos_master!$A:$R,18,FALSE())/100</f>
        <v>#N/A</v>
      </c>
    </row>
    <row r="755" spans="1:10" ht="15" customHeight="1" x14ac:dyDescent="0.2">
      <c r="A755" s="4">
        <v>754</v>
      </c>
      <c r="B755" s="4">
        <v>189</v>
      </c>
      <c r="C755" s="4" t="s">
        <v>287</v>
      </c>
      <c r="D755" s="4" t="s">
        <v>918</v>
      </c>
      <c r="E755" s="4">
        <v>100</v>
      </c>
      <c r="F755" s="4" t="s">
        <v>917</v>
      </c>
      <c r="G755" s="4" t="e">
        <f>E755*VLOOKUP(B755,alimentos_master!$A:$M,13,FALSE())/100</f>
        <v>#N/A</v>
      </c>
      <c r="H755" s="4" t="e">
        <f>E755*VLOOKUP(B755,alimentos_master!$A:$N,14,FALSE())/100</f>
        <v>#N/A</v>
      </c>
      <c r="I755" s="4" t="e">
        <f>E755*VLOOKUP(B755,alimentos_master!$A:$O,15,FALSE())/100</f>
        <v>#N/A</v>
      </c>
      <c r="J755" s="4" t="e">
        <f>E755*VLOOKUP(B755,alimentos_master!$A:$R,18,FALSE())/100</f>
        <v>#N/A</v>
      </c>
    </row>
    <row r="756" spans="1:10" ht="15" customHeight="1" x14ac:dyDescent="0.2">
      <c r="A756" s="4">
        <v>755</v>
      </c>
      <c r="B756" s="4">
        <v>189</v>
      </c>
      <c r="C756" s="4" t="s">
        <v>287</v>
      </c>
      <c r="D756" s="4" t="s">
        <v>919</v>
      </c>
      <c r="E756" s="4">
        <v>150</v>
      </c>
      <c r="F756" s="4" t="s">
        <v>917</v>
      </c>
      <c r="G756" s="4" t="e">
        <f>E756*VLOOKUP(B756,alimentos_master!$A:$M,13,FALSE())/100</f>
        <v>#N/A</v>
      </c>
      <c r="H756" s="4" t="e">
        <f>E756*VLOOKUP(B756,alimentos_master!$A:$N,14,FALSE())/100</f>
        <v>#N/A</v>
      </c>
      <c r="I756" s="4" t="e">
        <f>E756*VLOOKUP(B756,alimentos_master!$A:$O,15,FALSE())/100</f>
        <v>#N/A</v>
      </c>
      <c r="J756" s="4" t="e">
        <f>E756*VLOOKUP(B756,alimentos_master!$A:$R,18,FALSE())/100</f>
        <v>#N/A</v>
      </c>
    </row>
    <row r="757" spans="1:10" ht="15" customHeight="1" x14ac:dyDescent="0.2">
      <c r="A757" s="4">
        <v>756</v>
      </c>
      <c r="B757" s="4">
        <v>189</v>
      </c>
      <c r="C757" s="4" t="s">
        <v>287</v>
      </c>
      <c r="D757" s="4" t="s">
        <v>920</v>
      </c>
      <c r="E757" s="4">
        <v>200</v>
      </c>
      <c r="F757" s="4" t="s">
        <v>917</v>
      </c>
      <c r="G757" s="4" t="e">
        <f>E757*VLOOKUP(B757,alimentos_master!$A:$M,13,FALSE())/100</f>
        <v>#N/A</v>
      </c>
      <c r="H757" s="4" t="e">
        <f>E757*VLOOKUP(B757,alimentos_master!$A:$N,14,FALSE())/100</f>
        <v>#N/A</v>
      </c>
      <c r="I757" s="4" t="e">
        <f>E757*VLOOKUP(B757,alimentos_master!$A:$O,15,FALSE())/100</f>
        <v>#N/A</v>
      </c>
      <c r="J757" s="4" t="e">
        <f>E757*VLOOKUP(B757,alimentos_master!$A:$R,18,FALSE())/100</f>
        <v>#N/A</v>
      </c>
    </row>
    <row r="758" spans="1:10" ht="15" customHeight="1" x14ac:dyDescent="0.2">
      <c r="A758" s="4">
        <v>757</v>
      </c>
      <c r="B758" s="4">
        <v>190</v>
      </c>
      <c r="C758" s="4" t="s">
        <v>288</v>
      </c>
      <c r="D758" s="4" t="s">
        <v>916</v>
      </c>
      <c r="E758" s="4">
        <v>75</v>
      </c>
      <c r="F758" s="4" t="s">
        <v>917</v>
      </c>
      <c r="G758" s="4" t="e">
        <f>E758*VLOOKUP(B758,alimentos_master!$A:$M,13,FALSE())/100</f>
        <v>#N/A</v>
      </c>
      <c r="H758" s="4" t="e">
        <f>E758*VLOOKUP(B758,alimentos_master!$A:$N,14,FALSE())/100</f>
        <v>#N/A</v>
      </c>
      <c r="I758" s="4" t="e">
        <f>E758*VLOOKUP(B758,alimentos_master!$A:$O,15,FALSE())/100</f>
        <v>#N/A</v>
      </c>
      <c r="J758" s="4" t="e">
        <f>E758*VLOOKUP(B758,alimentos_master!$A:$R,18,FALSE())/100</f>
        <v>#N/A</v>
      </c>
    </row>
    <row r="759" spans="1:10" ht="15" customHeight="1" x14ac:dyDescent="0.2">
      <c r="A759" s="4">
        <v>758</v>
      </c>
      <c r="B759" s="4">
        <v>190</v>
      </c>
      <c r="C759" s="4" t="s">
        <v>288</v>
      </c>
      <c r="D759" s="4" t="s">
        <v>918</v>
      </c>
      <c r="E759" s="4">
        <v>100</v>
      </c>
      <c r="F759" s="4" t="s">
        <v>917</v>
      </c>
      <c r="G759" s="4" t="e">
        <f>E759*VLOOKUP(B759,alimentos_master!$A:$M,13,FALSE())/100</f>
        <v>#N/A</v>
      </c>
      <c r="H759" s="4" t="e">
        <f>E759*VLOOKUP(B759,alimentos_master!$A:$N,14,FALSE())/100</f>
        <v>#N/A</v>
      </c>
      <c r="I759" s="4" t="e">
        <f>E759*VLOOKUP(B759,alimentos_master!$A:$O,15,FALSE())/100</f>
        <v>#N/A</v>
      </c>
      <c r="J759" s="4" t="e">
        <f>E759*VLOOKUP(B759,alimentos_master!$A:$R,18,FALSE())/100</f>
        <v>#N/A</v>
      </c>
    </row>
    <row r="760" spans="1:10" ht="15" customHeight="1" x14ac:dyDescent="0.2">
      <c r="A760" s="4">
        <v>759</v>
      </c>
      <c r="B760" s="4">
        <v>190</v>
      </c>
      <c r="C760" s="4" t="s">
        <v>288</v>
      </c>
      <c r="D760" s="4" t="s">
        <v>919</v>
      </c>
      <c r="E760" s="4">
        <v>150</v>
      </c>
      <c r="F760" s="4" t="s">
        <v>917</v>
      </c>
      <c r="G760" s="4" t="e">
        <f>E760*VLOOKUP(B760,alimentos_master!$A:$M,13,FALSE())/100</f>
        <v>#N/A</v>
      </c>
      <c r="H760" s="4" t="e">
        <f>E760*VLOOKUP(B760,alimentos_master!$A:$N,14,FALSE())/100</f>
        <v>#N/A</v>
      </c>
      <c r="I760" s="4" t="e">
        <f>E760*VLOOKUP(B760,alimentos_master!$A:$O,15,FALSE())/100</f>
        <v>#N/A</v>
      </c>
      <c r="J760" s="4" t="e">
        <f>E760*VLOOKUP(B760,alimentos_master!$A:$R,18,FALSE())/100</f>
        <v>#N/A</v>
      </c>
    </row>
    <row r="761" spans="1:10" ht="15" customHeight="1" x14ac:dyDescent="0.2">
      <c r="A761" s="4">
        <v>760</v>
      </c>
      <c r="B761" s="4">
        <v>190</v>
      </c>
      <c r="C761" s="4" t="s">
        <v>288</v>
      </c>
      <c r="D761" s="4" t="s">
        <v>920</v>
      </c>
      <c r="E761" s="4">
        <v>200</v>
      </c>
      <c r="F761" s="4" t="s">
        <v>917</v>
      </c>
      <c r="G761" s="4" t="e">
        <f>E761*VLOOKUP(B761,alimentos_master!$A:$M,13,FALSE())/100</f>
        <v>#N/A</v>
      </c>
      <c r="H761" s="4" t="e">
        <f>E761*VLOOKUP(B761,alimentos_master!$A:$N,14,FALSE())/100</f>
        <v>#N/A</v>
      </c>
      <c r="I761" s="4" t="e">
        <f>E761*VLOOKUP(B761,alimentos_master!$A:$O,15,FALSE())/100</f>
        <v>#N/A</v>
      </c>
      <c r="J761" s="4" t="e">
        <f>E761*VLOOKUP(B761,alimentos_master!$A:$R,18,FALSE())/100</f>
        <v>#N/A</v>
      </c>
    </row>
    <row r="762" spans="1:10" ht="15" customHeight="1" x14ac:dyDescent="0.2">
      <c r="A762" s="4">
        <v>761</v>
      </c>
      <c r="B762" s="4">
        <v>191</v>
      </c>
      <c r="C762" s="4" t="s">
        <v>289</v>
      </c>
      <c r="D762" s="4" t="s">
        <v>916</v>
      </c>
      <c r="E762" s="4">
        <v>75</v>
      </c>
      <c r="F762" s="4" t="s">
        <v>917</v>
      </c>
      <c r="G762" s="4" t="e">
        <f>E762*VLOOKUP(B762,alimentos_master!$A:$M,13,FALSE())/100</f>
        <v>#N/A</v>
      </c>
      <c r="H762" s="4" t="e">
        <f>E762*VLOOKUP(B762,alimentos_master!$A:$N,14,FALSE())/100</f>
        <v>#N/A</v>
      </c>
      <c r="I762" s="4" t="e">
        <f>E762*VLOOKUP(B762,alimentos_master!$A:$O,15,FALSE())/100</f>
        <v>#N/A</v>
      </c>
      <c r="J762" s="4" t="e">
        <f>E762*VLOOKUP(B762,alimentos_master!$A:$R,18,FALSE())/100</f>
        <v>#N/A</v>
      </c>
    </row>
    <row r="763" spans="1:10" ht="15" customHeight="1" x14ac:dyDescent="0.2">
      <c r="A763" s="4">
        <v>762</v>
      </c>
      <c r="B763" s="4">
        <v>191</v>
      </c>
      <c r="C763" s="4" t="s">
        <v>289</v>
      </c>
      <c r="D763" s="4" t="s">
        <v>918</v>
      </c>
      <c r="E763" s="4">
        <v>100</v>
      </c>
      <c r="F763" s="4" t="s">
        <v>917</v>
      </c>
      <c r="G763" s="4" t="e">
        <f>E763*VLOOKUP(B763,alimentos_master!$A:$M,13,FALSE())/100</f>
        <v>#N/A</v>
      </c>
      <c r="H763" s="4" t="e">
        <f>E763*VLOOKUP(B763,alimentos_master!$A:$N,14,FALSE())/100</f>
        <v>#N/A</v>
      </c>
      <c r="I763" s="4" t="e">
        <f>E763*VLOOKUP(B763,alimentos_master!$A:$O,15,FALSE())/100</f>
        <v>#N/A</v>
      </c>
      <c r="J763" s="4" t="e">
        <f>E763*VLOOKUP(B763,alimentos_master!$A:$R,18,FALSE())/100</f>
        <v>#N/A</v>
      </c>
    </row>
    <row r="764" spans="1:10" ht="15" customHeight="1" x14ac:dyDescent="0.2">
      <c r="A764" s="4">
        <v>763</v>
      </c>
      <c r="B764" s="4">
        <v>191</v>
      </c>
      <c r="C764" s="4" t="s">
        <v>289</v>
      </c>
      <c r="D764" s="4" t="s">
        <v>919</v>
      </c>
      <c r="E764" s="4">
        <v>150</v>
      </c>
      <c r="F764" s="4" t="s">
        <v>917</v>
      </c>
      <c r="G764" s="4" t="e">
        <f>E764*VLOOKUP(B764,alimentos_master!$A:$M,13,FALSE())/100</f>
        <v>#N/A</v>
      </c>
      <c r="H764" s="4" t="e">
        <f>E764*VLOOKUP(B764,alimentos_master!$A:$N,14,FALSE())/100</f>
        <v>#N/A</v>
      </c>
      <c r="I764" s="4" t="e">
        <f>E764*VLOOKUP(B764,alimentos_master!$A:$O,15,FALSE())/100</f>
        <v>#N/A</v>
      </c>
      <c r="J764" s="4" t="e">
        <f>E764*VLOOKUP(B764,alimentos_master!$A:$R,18,FALSE())/100</f>
        <v>#N/A</v>
      </c>
    </row>
    <row r="765" spans="1:10" ht="15" customHeight="1" x14ac:dyDescent="0.2">
      <c r="A765" s="4">
        <v>764</v>
      </c>
      <c r="B765" s="4">
        <v>191</v>
      </c>
      <c r="C765" s="4" t="s">
        <v>289</v>
      </c>
      <c r="D765" s="4" t="s">
        <v>920</v>
      </c>
      <c r="E765" s="4">
        <v>200</v>
      </c>
      <c r="F765" s="4" t="s">
        <v>917</v>
      </c>
      <c r="G765" s="4" t="e">
        <f>E765*VLOOKUP(B765,alimentos_master!$A:$M,13,FALSE())/100</f>
        <v>#N/A</v>
      </c>
      <c r="H765" s="4" t="e">
        <f>E765*VLOOKUP(B765,alimentos_master!$A:$N,14,FALSE())/100</f>
        <v>#N/A</v>
      </c>
      <c r="I765" s="4" t="e">
        <f>E765*VLOOKUP(B765,alimentos_master!$A:$O,15,FALSE())/100</f>
        <v>#N/A</v>
      </c>
      <c r="J765" s="4" t="e">
        <f>E765*VLOOKUP(B765,alimentos_master!$A:$R,18,FALSE())/100</f>
        <v>#N/A</v>
      </c>
    </row>
    <row r="766" spans="1:10" ht="15" customHeight="1" x14ac:dyDescent="0.2">
      <c r="A766" s="4">
        <v>765</v>
      </c>
      <c r="B766" s="4">
        <v>192</v>
      </c>
      <c r="C766" s="4" t="s">
        <v>290</v>
      </c>
      <c r="D766" s="4" t="s">
        <v>916</v>
      </c>
      <c r="E766" s="4">
        <v>75</v>
      </c>
      <c r="F766" s="4" t="s">
        <v>917</v>
      </c>
      <c r="G766" s="4" t="e">
        <f>E766*VLOOKUP(B766,alimentos_master!$A:$M,13,FALSE())/100</f>
        <v>#N/A</v>
      </c>
      <c r="H766" s="4" t="e">
        <f>E766*VLOOKUP(B766,alimentos_master!$A:$N,14,FALSE())/100</f>
        <v>#N/A</v>
      </c>
      <c r="I766" s="4" t="e">
        <f>E766*VLOOKUP(B766,alimentos_master!$A:$O,15,FALSE())/100</f>
        <v>#N/A</v>
      </c>
      <c r="J766" s="4" t="e">
        <f>E766*VLOOKUP(B766,alimentos_master!$A:$R,18,FALSE())/100</f>
        <v>#N/A</v>
      </c>
    </row>
    <row r="767" spans="1:10" ht="15" customHeight="1" x14ac:dyDescent="0.2">
      <c r="A767" s="4">
        <v>766</v>
      </c>
      <c r="B767" s="4">
        <v>192</v>
      </c>
      <c r="C767" s="4" t="s">
        <v>290</v>
      </c>
      <c r="D767" s="4" t="s">
        <v>918</v>
      </c>
      <c r="E767" s="4">
        <v>100</v>
      </c>
      <c r="F767" s="4" t="s">
        <v>917</v>
      </c>
      <c r="G767" s="4" t="e">
        <f>E767*VLOOKUP(B767,alimentos_master!$A:$M,13,FALSE())/100</f>
        <v>#N/A</v>
      </c>
      <c r="H767" s="4" t="e">
        <f>E767*VLOOKUP(B767,alimentos_master!$A:$N,14,FALSE())/100</f>
        <v>#N/A</v>
      </c>
      <c r="I767" s="4" t="e">
        <f>E767*VLOOKUP(B767,alimentos_master!$A:$O,15,FALSE())/100</f>
        <v>#N/A</v>
      </c>
      <c r="J767" s="4" t="e">
        <f>E767*VLOOKUP(B767,alimentos_master!$A:$R,18,FALSE())/100</f>
        <v>#N/A</v>
      </c>
    </row>
    <row r="768" spans="1:10" ht="15" customHeight="1" x14ac:dyDescent="0.2">
      <c r="A768" s="4">
        <v>767</v>
      </c>
      <c r="B768" s="4">
        <v>192</v>
      </c>
      <c r="C768" s="4" t="s">
        <v>290</v>
      </c>
      <c r="D768" s="4" t="s">
        <v>919</v>
      </c>
      <c r="E768" s="4">
        <v>150</v>
      </c>
      <c r="F768" s="4" t="s">
        <v>917</v>
      </c>
      <c r="G768" s="4" t="e">
        <f>E768*VLOOKUP(B768,alimentos_master!$A:$M,13,FALSE())/100</f>
        <v>#N/A</v>
      </c>
      <c r="H768" s="4" t="e">
        <f>E768*VLOOKUP(B768,alimentos_master!$A:$N,14,FALSE())/100</f>
        <v>#N/A</v>
      </c>
      <c r="I768" s="4" t="e">
        <f>E768*VLOOKUP(B768,alimentos_master!$A:$O,15,FALSE())/100</f>
        <v>#N/A</v>
      </c>
      <c r="J768" s="4" t="e">
        <f>E768*VLOOKUP(B768,alimentos_master!$A:$R,18,FALSE())/100</f>
        <v>#N/A</v>
      </c>
    </row>
    <row r="769" spans="1:10" ht="15" customHeight="1" x14ac:dyDescent="0.2">
      <c r="A769" s="4">
        <v>768</v>
      </c>
      <c r="B769" s="4">
        <v>192</v>
      </c>
      <c r="C769" s="4" t="s">
        <v>290</v>
      </c>
      <c r="D769" s="4" t="s">
        <v>920</v>
      </c>
      <c r="E769" s="4">
        <v>200</v>
      </c>
      <c r="F769" s="4" t="s">
        <v>917</v>
      </c>
      <c r="G769" s="4" t="e">
        <f>E769*VLOOKUP(B769,alimentos_master!$A:$M,13,FALSE())/100</f>
        <v>#N/A</v>
      </c>
      <c r="H769" s="4" t="e">
        <f>E769*VLOOKUP(B769,alimentos_master!$A:$N,14,FALSE())/100</f>
        <v>#N/A</v>
      </c>
      <c r="I769" s="4" t="e">
        <f>E769*VLOOKUP(B769,alimentos_master!$A:$O,15,FALSE())/100</f>
        <v>#N/A</v>
      </c>
      <c r="J769" s="4" t="e">
        <f>E769*VLOOKUP(B769,alimentos_master!$A:$R,18,FALSE())/100</f>
        <v>#N/A</v>
      </c>
    </row>
    <row r="770" spans="1:10" ht="15" customHeight="1" x14ac:dyDescent="0.2">
      <c r="A770" s="4">
        <v>769</v>
      </c>
      <c r="B770" s="4">
        <v>193</v>
      </c>
      <c r="C770" s="4" t="s">
        <v>291</v>
      </c>
      <c r="D770" s="4" t="s">
        <v>916</v>
      </c>
      <c r="E770" s="4">
        <v>75</v>
      </c>
      <c r="F770" s="4" t="s">
        <v>917</v>
      </c>
      <c r="G770" s="4" t="e">
        <f>E770*VLOOKUP(B770,alimentos_master!$A:$M,13,FALSE())/100</f>
        <v>#N/A</v>
      </c>
      <c r="H770" s="4" t="e">
        <f>E770*VLOOKUP(B770,alimentos_master!$A:$N,14,FALSE())/100</f>
        <v>#N/A</v>
      </c>
      <c r="I770" s="4" t="e">
        <f>E770*VLOOKUP(B770,alimentos_master!$A:$O,15,FALSE())/100</f>
        <v>#N/A</v>
      </c>
      <c r="J770" s="4" t="e">
        <f>E770*VLOOKUP(B770,alimentos_master!$A:$R,18,FALSE())/100</f>
        <v>#N/A</v>
      </c>
    </row>
    <row r="771" spans="1:10" ht="15" customHeight="1" x14ac:dyDescent="0.2">
      <c r="A771" s="4">
        <v>770</v>
      </c>
      <c r="B771" s="4">
        <v>193</v>
      </c>
      <c r="C771" s="4" t="s">
        <v>291</v>
      </c>
      <c r="D771" s="4" t="s">
        <v>918</v>
      </c>
      <c r="E771" s="4">
        <v>100</v>
      </c>
      <c r="F771" s="4" t="s">
        <v>917</v>
      </c>
      <c r="G771" s="4" t="e">
        <f>E771*VLOOKUP(B771,alimentos_master!$A:$M,13,FALSE())/100</f>
        <v>#N/A</v>
      </c>
      <c r="H771" s="4" t="e">
        <f>E771*VLOOKUP(B771,alimentos_master!$A:$N,14,FALSE())/100</f>
        <v>#N/A</v>
      </c>
      <c r="I771" s="4" t="e">
        <f>E771*VLOOKUP(B771,alimentos_master!$A:$O,15,FALSE())/100</f>
        <v>#N/A</v>
      </c>
      <c r="J771" s="4" t="e">
        <f>E771*VLOOKUP(B771,alimentos_master!$A:$R,18,FALSE())/100</f>
        <v>#N/A</v>
      </c>
    </row>
    <row r="772" spans="1:10" ht="15" customHeight="1" x14ac:dyDescent="0.2">
      <c r="A772" s="4">
        <v>771</v>
      </c>
      <c r="B772" s="4">
        <v>193</v>
      </c>
      <c r="C772" s="4" t="s">
        <v>291</v>
      </c>
      <c r="D772" s="4" t="s">
        <v>919</v>
      </c>
      <c r="E772" s="4">
        <v>150</v>
      </c>
      <c r="F772" s="4" t="s">
        <v>917</v>
      </c>
      <c r="G772" s="4" t="e">
        <f>E772*VLOOKUP(B772,alimentos_master!$A:$M,13,FALSE())/100</f>
        <v>#N/A</v>
      </c>
      <c r="H772" s="4" t="e">
        <f>E772*VLOOKUP(B772,alimentos_master!$A:$N,14,FALSE())/100</f>
        <v>#N/A</v>
      </c>
      <c r="I772" s="4" t="e">
        <f>E772*VLOOKUP(B772,alimentos_master!$A:$O,15,FALSE())/100</f>
        <v>#N/A</v>
      </c>
      <c r="J772" s="4" t="e">
        <f>E772*VLOOKUP(B772,alimentos_master!$A:$R,18,FALSE())/100</f>
        <v>#N/A</v>
      </c>
    </row>
    <row r="773" spans="1:10" ht="15" customHeight="1" x14ac:dyDescent="0.2">
      <c r="A773" s="4">
        <v>772</v>
      </c>
      <c r="B773" s="4">
        <v>193</v>
      </c>
      <c r="C773" s="4" t="s">
        <v>291</v>
      </c>
      <c r="D773" s="4" t="s">
        <v>920</v>
      </c>
      <c r="E773" s="4">
        <v>200</v>
      </c>
      <c r="F773" s="4" t="s">
        <v>917</v>
      </c>
      <c r="G773" s="4" t="e">
        <f>E773*VLOOKUP(B773,alimentos_master!$A:$M,13,FALSE())/100</f>
        <v>#N/A</v>
      </c>
      <c r="H773" s="4" t="e">
        <f>E773*VLOOKUP(B773,alimentos_master!$A:$N,14,FALSE())/100</f>
        <v>#N/A</v>
      </c>
      <c r="I773" s="4" t="e">
        <f>E773*VLOOKUP(B773,alimentos_master!$A:$O,15,FALSE())/100</f>
        <v>#N/A</v>
      </c>
      <c r="J773" s="4" t="e">
        <f>E773*VLOOKUP(B773,alimentos_master!$A:$R,18,FALSE())/100</f>
        <v>#N/A</v>
      </c>
    </row>
    <row r="774" spans="1:10" ht="15" customHeight="1" x14ac:dyDescent="0.2">
      <c r="A774" s="4">
        <v>773</v>
      </c>
      <c r="B774" s="4">
        <v>194</v>
      </c>
      <c r="C774" s="4" t="s">
        <v>292</v>
      </c>
      <c r="D774" s="4" t="s">
        <v>916</v>
      </c>
      <c r="E774" s="4">
        <v>75</v>
      </c>
      <c r="F774" s="4" t="s">
        <v>917</v>
      </c>
      <c r="G774" s="4" t="e">
        <f>E774*VLOOKUP(B774,alimentos_master!$A:$M,13,FALSE())/100</f>
        <v>#N/A</v>
      </c>
      <c r="H774" s="4" t="e">
        <f>E774*VLOOKUP(B774,alimentos_master!$A:$N,14,FALSE())/100</f>
        <v>#N/A</v>
      </c>
      <c r="I774" s="4" t="e">
        <f>E774*VLOOKUP(B774,alimentos_master!$A:$O,15,FALSE())/100</f>
        <v>#N/A</v>
      </c>
      <c r="J774" s="4" t="e">
        <f>E774*VLOOKUP(B774,alimentos_master!$A:$R,18,FALSE())/100</f>
        <v>#N/A</v>
      </c>
    </row>
    <row r="775" spans="1:10" ht="15" customHeight="1" x14ac:dyDescent="0.2">
      <c r="A775" s="4">
        <v>774</v>
      </c>
      <c r="B775" s="4">
        <v>194</v>
      </c>
      <c r="C775" s="4" t="s">
        <v>292</v>
      </c>
      <c r="D775" s="4" t="s">
        <v>918</v>
      </c>
      <c r="E775" s="4">
        <v>100</v>
      </c>
      <c r="F775" s="4" t="s">
        <v>917</v>
      </c>
      <c r="G775" s="4" t="e">
        <f>E775*VLOOKUP(B775,alimentos_master!$A:$M,13,FALSE())/100</f>
        <v>#N/A</v>
      </c>
      <c r="H775" s="4" t="e">
        <f>E775*VLOOKUP(B775,alimentos_master!$A:$N,14,FALSE())/100</f>
        <v>#N/A</v>
      </c>
      <c r="I775" s="4" t="e">
        <f>E775*VLOOKUP(B775,alimentos_master!$A:$O,15,FALSE())/100</f>
        <v>#N/A</v>
      </c>
      <c r="J775" s="4" t="e">
        <f>E775*VLOOKUP(B775,alimentos_master!$A:$R,18,FALSE())/100</f>
        <v>#N/A</v>
      </c>
    </row>
    <row r="776" spans="1:10" ht="15" customHeight="1" x14ac:dyDescent="0.2">
      <c r="A776" s="4">
        <v>775</v>
      </c>
      <c r="B776" s="4">
        <v>194</v>
      </c>
      <c r="C776" s="4" t="s">
        <v>292</v>
      </c>
      <c r="D776" s="4" t="s">
        <v>919</v>
      </c>
      <c r="E776" s="4">
        <v>150</v>
      </c>
      <c r="F776" s="4" t="s">
        <v>917</v>
      </c>
      <c r="G776" s="4" t="e">
        <f>E776*VLOOKUP(B776,alimentos_master!$A:$M,13,FALSE())/100</f>
        <v>#N/A</v>
      </c>
      <c r="H776" s="4" t="e">
        <f>E776*VLOOKUP(B776,alimentos_master!$A:$N,14,FALSE())/100</f>
        <v>#N/A</v>
      </c>
      <c r="I776" s="4" t="e">
        <f>E776*VLOOKUP(B776,alimentos_master!$A:$O,15,FALSE())/100</f>
        <v>#N/A</v>
      </c>
      <c r="J776" s="4" t="e">
        <f>E776*VLOOKUP(B776,alimentos_master!$A:$R,18,FALSE())/100</f>
        <v>#N/A</v>
      </c>
    </row>
    <row r="777" spans="1:10" ht="15" customHeight="1" x14ac:dyDescent="0.2">
      <c r="A777" s="4">
        <v>776</v>
      </c>
      <c r="B777" s="4">
        <v>194</v>
      </c>
      <c r="C777" s="4" t="s">
        <v>292</v>
      </c>
      <c r="D777" s="4" t="s">
        <v>920</v>
      </c>
      <c r="E777" s="4">
        <v>200</v>
      </c>
      <c r="F777" s="4" t="s">
        <v>917</v>
      </c>
      <c r="G777" s="4" t="e">
        <f>E777*VLOOKUP(B777,alimentos_master!$A:$M,13,FALSE())/100</f>
        <v>#N/A</v>
      </c>
      <c r="H777" s="4" t="e">
        <f>E777*VLOOKUP(B777,alimentos_master!$A:$N,14,FALSE())/100</f>
        <v>#N/A</v>
      </c>
      <c r="I777" s="4" t="e">
        <f>E777*VLOOKUP(B777,alimentos_master!$A:$O,15,FALSE())/100</f>
        <v>#N/A</v>
      </c>
      <c r="J777" s="4" t="e">
        <f>E777*VLOOKUP(B777,alimentos_master!$A:$R,18,FALSE())/100</f>
        <v>#N/A</v>
      </c>
    </row>
    <row r="778" spans="1:10" ht="15" customHeight="1" x14ac:dyDescent="0.2">
      <c r="A778" s="4">
        <v>777</v>
      </c>
      <c r="B778" s="4">
        <v>195</v>
      </c>
      <c r="C778" s="4" t="s">
        <v>293</v>
      </c>
      <c r="D778" s="4" t="s">
        <v>916</v>
      </c>
      <c r="E778" s="4">
        <v>75</v>
      </c>
      <c r="F778" s="4" t="s">
        <v>917</v>
      </c>
      <c r="G778" s="4" t="e">
        <f>E778*VLOOKUP(B778,alimentos_master!$A:$M,13,FALSE())/100</f>
        <v>#N/A</v>
      </c>
      <c r="H778" s="4" t="e">
        <f>E778*VLOOKUP(B778,alimentos_master!$A:$N,14,FALSE())/100</f>
        <v>#N/A</v>
      </c>
      <c r="I778" s="4" t="e">
        <f>E778*VLOOKUP(B778,alimentos_master!$A:$O,15,FALSE())/100</f>
        <v>#N/A</v>
      </c>
      <c r="J778" s="4" t="e">
        <f>E778*VLOOKUP(B778,alimentos_master!$A:$R,18,FALSE())/100</f>
        <v>#N/A</v>
      </c>
    </row>
    <row r="779" spans="1:10" ht="15" customHeight="1" x14ac:dyDescent="0.2">
      <c r="A779" s="4">
        <v>778</v>
      </c>
      <c r="B779" s="4">
        <v>195</v>
      </c>
      <c r="C779" s="4" t="s">
        <v>293</v>
      </c>
      <c r="D779" s="4" t="s">
        <v>918</v>
      </c>
      <c r="E779" s="4">
        <v>100</v>
      </c>
      <c r="F779" s="4" t="s">
        <v>917</v>
      </c>
      <c r="G779" s="4" t="e">
        <f>E779*VLOOKUP(B779,alimentos_master!$A:$M,13,FALSE())/100</f>
        <v>#N/A</v>
      </c>
      <c r="H779" s="4" t="e">
        <f>E779*VLOOKUP(B779,alimentos_master!$A:$N,14,FALSE())/100</f>
        <v>#N/A</v>
      </c>
      <c r="I779" s="4" t="e">
        <f>E779*VLOOKUP(B779,alimentos_master!$A:$O,15,FALSE())/100</f>
        <v>#N/A</v>
      </c>
      <c r="J779" s="4" t="e">
        <f>E779*VLOOKUP(B779,alimentos_master!$A:$R,18,FALSE())/100</f>
        <v>#N/A</v>
      </c>
    </row>
    <row r="780" spans="1:10" ht="15" customHeight="1" x14ac:dyDescent="0.2">
      <c r="A780" s="4">
        <v>779</v>
      </c>
      <c r="B780" s="4">
        <v>195</v>
      </c>
      <c r="C780" s="4" t="s">
        <v>293</v>
      </c>
      <c r="D780" s="4" t="s">
        <v>919</v>
      </c>
      <c r="E780" s="4">
        <v>150</v>
      </c>
      <c r="F780" s="4" t="s">
        <v>917</v>
      </c>
      <c r="G780" s="4" t="e">
        <f>E780*VLOOKUP(B780,alimentos_master!$A:$M,13,FALSE())/100</f>
        <v>#N/A</v>
      </c>
      <c r="H780" s="4" t="e">
        <f>E780*VLOOKUP(B780,alimentos_master!$A:$N,14,FALSE())/100</f>
        <v>#N/A</v>
      </c>
      <c r="I780" s="4" t="e">
        <f>E780*VLOOKUP(B780,alimentos_master!$A:$O,15,FALSE())/100</f>
        <v>#N/A</v>
      </c>
      <c r="J780" s="4" t="e">
        <f>E780*VLOOKUP(B780,alimentos_master!$A:$R,18,FALSE())/100</f>
        <v>#N/A</v>
      </c>
    </row>
    <row r="781" spans="1:10" ht="15" customHeight="1" x14ac:dyDescent="0.2">
      <c r="A781" s="4">
        <v>780</v>
      </c>
      <c r="B781" s="4">
        <v>195</v>
      </c>
      <c r="C781" s="4" t="s">
        <v>293</v>
      </c>
      <c r="D781" s="4" t="s">
        <v>920</v>
      </c>
      <c r="E781" s="4">
        <v>200</v>
      </c>
      <c r="F781" s="4" t="s">
        <v>917</v>
      </c>
      <c r="G781" s="4" t="e">
        <f>E781*VLOOKUP(B781,alimentos_master!$A:$M,13,FALSE())/100</f>
        <v>#N/A</v>
      </c>
      <c r="H781" s="4" t="e">
        <f>E781*VLOOKUP(B781,alimentos_master!$A:$N,14,FALSE())/100</f>
        <v>#N/A</v>
      </c>
      <c r="I781" s="4" t="e">
        <f>E781*VLOOKUP(B781,alimentos_master!$A:$O,15,FALSE())/100</f>
        <v>#N/A</v>
      </c>
      <c r="J781" s="4" t="e">
        <f>E781*VLOOKUP(B781,alimentos_master!$A:$R,18,FALSE())/100</f>
        <v>#N/A</v>
      </c>
    </row>
    <row r="782" spans="1:10" ht="15" customHeight="1" x14ac:dyDescent="0.2">
      <c r="A782" s="4">
        <v>781</v>
      </c>
      <c r="B782" s="4">
        <v>196</v>
      </c>
      <c r="C782" s="4" t="s">
        <v>294</v>
      </c>
      <c r="D782" s="4" t="s">
        <v>916</v>
      </c>
      <c r="E782" s="4">
        <v>75</v>
      </c>
      <c r="F782" s="4" t="s">
        <v>917</v>
      </c>
      <c r="G782" s="4">
        <f>E782*VLOOKUP(B782,alimentos_master!$A:$M,13,FALSE())/100</f>
        <v>252</v>
      </c>
      <c r="H782" s="4">
        <f>E782*VLOOKUP(B782,alimentos_master!$A:$N,14,FALSE())/100</f>
        <v>37.5</v>
      </c>
      <c r="I782" s="4">
        <f>E782*VLOOKUP(B782,alimentos_master!$A:$O,15,FALSE())/100</f>
        <v>23.25</v>
      </c>
      <c r="J782" s="4">
        <f>E782*VLOOKUP(B782,alimentos_master!$A:$R,18,FALSE())/100</f>
        <v>0.9</v>
      </c>
    </row>
    <row r="783" spans="1:10" ht="15" customHeight="1" x14ac:dyDescent="0.2">
      <c r="A783" s="4">
        <v>782</v>
      </c>
      <c r="B783" s="4">
        <v>196</v>
      </c>
      <c r="C783" s="4" t="s">
        <v>294</v>
      </c>
      <c r="D783" s="4" t="s">
        <v>918</v>
      </c>
      <c r="E783" s="4">
        <v>100</v>
      </c>
      <c r="F783" s="4" t="s">
        <v>917</v>
      </c>
      <c r="G783" s="4">
        <f>E783*VLOOKUP(B783,alimentos_master!$A:$M,13,FALSE())/100</f>
        <v>336</v>
      </c>
      <c r="H783" s="4">
        <f>E783*VLOOKUP(B783,alimentos_master!$A:$N,14,FALSE())/100</f>
        <v>50</v>
      </c>
      <c r="I783" s="4">
        <f>E783*VLOOKUP(B783,alimentos_master!$A:$O,15,FALSE())/100</f>
        <v>31</v>
      </c>
      <c r="J783" s="4">
        <f>E783*VLOOKUP(B783,alimentos_master!$A:$R,18,FALSE())/100</f>
        <v>1.2</v>
      </c>
    </row>
    <row r="784" spans="1:10" ht="15" customHeight="1" x14ac:dyDescent="0.2">
      <c r="A784" s="4">
        <v>783</v>
      </c>
      <c r="B784" s="4">
        <v>196</v>
      </c>
      <c r="C784" s="4" t="s">
        <v>294</v>
      </c>
      <c r="D784" s="4" t="s">
        <v>919</v>
      </c>
      <c r="E784" s="4">
        <v>150</v>
      </c>
      <c r="F784" s="4" t="s">
        <v>917</v>
      </c>
      <c r="G784" s="4">
        <f>E784*VLOOKUP(B784,alimentos_master!$A:$M,13,FALSE())/100</f>
        <v>504</v>
      </c>
      <c r="H784" s="4">
        <f>E784*VLOOKUP(B784,alimentos_master!$A:$N,14,FALSE())/100</f>
        <v>75</v>
      </c>
      <c r="I784" s="4">
        <f>E784*VLOOKUP(B784,alimentos_master!$A:$O,15,FALSE())/100</f>
        <v>46.5</v>
      </c>
      <c r="J784" s="4">
        <f>E784*VLOOKUP(B784,alimentos_master!$A:$R,18,FALSE())/100</f>
        <v>1.8</v>
      </c>
    </row>
    <row r="785" spans="1:10" ht="15" customHeight="1" x14ac:dyDescent="0.2">
      <c r="A785" s="4">
        <v>784</v>
      </c>
      <c r="B785" s="4">
        <v>196</v>
      </c>
      <c r="C785" s="4" t="s">
        <v>294</v>
      </c>
      <c r="D785" s="4" t="s">
        <v>920</v>
      </c>
      <c r="E785" s="4">
        <v>200</v>
      </c>
      <c r="F785" s="4" t="s">
        <v>917</v>
      </c>
      <c r="G785" s="4">
        <f>E785*VLOOKUP(B785,alimentos_master!$A:$M,13,FALSE())/100</f>
        <v>672</v>
      </c>
      <c r="H785" s="4">
        <f>E785*VLOOKUP(B785,alimentos_master!$A:$N,14,FALSE())/100</f>
        <v>100</v>
      </c>
      <c r="I785" s="4">
        <f>E785*VLOOKUP(B785,alimentos_master!$A:$O,15,FALSE())/100</f>
        <v>62</v>
      </c>
      <c r="J785" s="4">
        <f>E785*VLOOKUP(B785,alimentos_master!$A:$R,18,FALSE())/100</f>
        <v>2.4</v>
      </c>
    </row>
    <row r="786" spans="1:10" ht="15" customHeight="1" x14ac:dyDescent="0.2">
      <c r="A786" s="4">
        <v>785</v>
      </c>
      <c r="B786" s="4">
        <v>197</v>
      </c>
      <c r="C786" s="4" t="s">
        <v>296</v>
      </c>
      <c r="D786" s="4" t="s">
        <v>916</v>
      </c>
      <c r="E786" s="4">
        <v>75</v>
      </c>
      <c r="F786" s="4" t="s">
        <v>917</v>
      </c>
      <c r="G786" s="4" t="e">
        <f>E786*VLOOKUP(B786,alimentos_master!$A:$M,13,FALSE())/100</f>
        <v>#N/A</v>
      </c>
      <c r="H786" s="4" t="e">
        <f>E786*VLOOKUP(B786,alimentos_master!$A:$N,14,FALSE())/100</f>
        <v>#N/A</v>
      </c>
      <c r="I786" s="4" t="e">
        <f>E786*VLOOKUP(B786,alimentos_master!$A:$O,15,FALSE())/100</f>
        <v>#N/A</v>
      </c>
      <c r="J786" s="4" t="e">
        <f>E786*VLOOKUP(B786,alimentos_master!$A:$R,18,FALSE())/100</f>
        <v>#N/A</v>
      </c>
    </row>
    <row r="787" spans="1:10" ht="15" customHeight="1" x14ac:dyDescent="0.2">
      <c r="A787" s="4">
        <v>786</v>
      </c>
      <c r="B787" s="4">
        <v>197</v>
      </c>
      <c r="C787" s="4" t="s">
        <v>296</v>
      </c>
      <c r="D787" s="4" t="s">
        <v>918</v>
      </c>
      <c r="E787" s="4">
        <v>100</v>
      </c>
      <c r="F787" s="4" t="s">
        <v>917</v>
      </c>
      <c r="G787" s="4" t="e">
        <f>E787*VLOOKUP(B787,alimentos_master!$A:$M,13,FALSE())/100</f>
        <v>#N/A</v>
      </c>
      <c r="H787" s="4" t="e">
        <f>E787*VLOOKUP(B787,alimentos_master!$A:$N,14,FALSE())/100</f>
        <v>#N/A</v>
      </c>
      <c r="I787" s="4" t="e">
        <f>E787*VLOOKUP(B787,alimentos_master!$A:$O,15,FALSE())/100</f>
        <v>#N/A</v>
      </c>
      <c r="J787" s="4" t="e">
        <f>E787*VLOOKUP(B787,alimentos_master!$A:$R,18,FALSE())/100</f>
        <v>#N/A</v>
      </c>
    </row>
    <row r="788" spans="1:10" ht="15" customHeight="1" x14ac:dyDescent="0.2">
      <c r="A788" s="4">
        <v>787</v>
      </c>
      <c r="B788" s="4">
        <v>197</v>
      </c>
      <c r="C788" s="4" t="s">
        <v>296</v>
      </c>
      <c r="D788" s="4" t="s">
        <v>919</v>
      </c>
      <c r="E788" s="4">
        <v>150</v>
      </c>
      <c r="F788" s="4" t="s">
        <v>917</v>
      </c>
      <c r="G788" s="4" t="e">
        <f>E788*VLOOKUP(B788,alimentos_master!$A:$M,13,FALSE())/100</f>
        <v>#N/A</v>
      </c>
      <c r="H788" s="4" t="e">
        <f>E788*VLOOKUP(B788,alimentos_master!$A:$N,14,FALSE())/100</f>
        <v>#N/A</v>
      </c>
      <c r="I788" s="4" t="e">
        <f>E788*VLOOKUP(B788,alimentos_master!$A:$O,15,FALSE())/100</f>
        <v>#N/A</v>
      </c>
      <c r="J788" s="4" t="e">
        <f>E788*VLOOKUP(B788,alimentos_master!$A:$R,18,FALSE())/100</f>
        <v>#N/A</v>
      </c>
    </row>
    <row r="789" spans="1:10" ht="15" customHeight="1" x14ac:dyDescent="0.2">
      <c r="A789" s="4">
        <v>788</v>
      </c>
      <c r="B789" s="4">
        <v>197</v>
      </c>
      <c r="C789" s="4" t="s">
        <v>296</v>
      </c>
      <c r="D789" s="4" t="s">
        <v>920</v>
      </c>
      <c r="E789" s="4">
        <v>200</v>
      </c>
      <c r="F789" s="4" t="s">
        <v>917</v>
      </c>
      <c r="G789" s="4" t="e">
        <f>E789*VLOOKUP(B789,alimentos_master!$A:$M,13,FALSE())/100</f>
        <v>#N/A</v>
      </c>
      <c r="H789" s="4" t="e">
        <f>E789*VLOOKUP(B789,alimentos_master!$A:$N,14,FALSE())/100</f>
        <v>#N/A</v>
      </c>
      <c r="I789" s="4" t="e">
        <f>E789*VLOOKUP(B789,alimentos_master!$A:$O,15,FALSE())/100</f>
        <v>#N/A</v>
      </c>
      <c r="J789" s="4" t="e">
        <f>E789*VLOOKUP(B789,alimentos_master!$A:$R,18,FALSE())/100</f>
        <v>#N/A</v>
      </c>
    </row>
    <row r="790" spans="1:10" ht="15" customHeight="1" x14ac:dyDescent="0.2">
      <c r="A790" s="4">
        <v>789</v>
      </c>
      <c r="B790" s="4">
        <v>198</v>
      </c>
      <c r="C790" s="4" t="s">
        <v>297</v>
      </c>
      <c r="D790" s="4" t="s">
        <v>916</v>
      </c>
      <c r="E790" s="4">
        <v>75</v>
      </c>
      <c r="F790" s="4" t="s">
        <v>917</v>
      </c>
      <c r="G790" s="4" t="e">
        <f>E790*VLOOKUP(B790,alimentos_master!$A:$M,13,FALSE())/100</f>
        <v>#N/A</v>
      </c>
      <c r="H790" s="4" t="e">
        <f>E790*VLOOKUP(B790,alimentos_master!$A:$N,14,FALSE())/100</f>
        <v>#N/A</v>
      </c>
      <c r="I790" s="4" t="e">
        <f>E790*VLOOKUP(B790,alimentos_master!$A:$O,15,FALSE())/100</f>
        <v>#N/A</v>
      </c>
      <c r="J790" s="4" t="e">
        <f>E790*VLOOKUP(B790,alimentos_master!$A:$R,18,FALSE())/100</f>
        <v>#N/A</v>
      </c>
    </row>
    <row r="791" spans="1:10" ht="15" customHeight="1" x14ac:dyDescent="0.2">
      <c r="A791" s="4">
        <v>790</v>
      </c>
      <c r="B791" s="4">
        <v>198</v>
      </c>
      <c r="C791" s="4" t="s">
        <v>297</v>
      </c>
      <c r="D791" s="4" t="s">
        <v>918</v>
      </c>
      <c r="E791" s="4">
        <v>100</v>
      </c>
      <c r="F791" s="4" t="s">
        <v>917</v>
      </c>
      <c r="G791" s="4" t="e">
        <f>E791*VLOOKUP(B791,alimentos_master!$A:$M,13,FALSE())/100</f>
        <v>#N/A</v>
      </c>
      <c r="H791" s="4" t="e">
        <f>E791*VLOOKUP(B791,alimentos_master!$A:$N,14,FALSE())/100</f>
        <v>#N/A</v>
      </c>
      <c r="I791" s="4" t="e">
        <f>E791*VLOOKUP(B791,alimentos_master!$A:$O,15,FALSE())/100</f>
        <v>#N/A</v>
      </c>
      <c r="J791" s="4" t="e">
        <f>E791*VLOOKUP(B791,alimentos_master!$A:$R,18,FALSE())/100</f>
        <v>#N/A</v>
      </c>
    </row>
    <row r="792" spans="1:10" ht="15" customHeight="1" x14ac:dyDescent="0.2">
      <c r="A792" s="4">
        <v>791</v>
      </c>
      <c r="B792" s="4">
        <v>198</v>
      </c>
      <c r="C792" s="4" t="s">
        <v>297</v>
      </c>
      <c r="D792" s="4" t="s">
        <v>919</v>
      </c>
      <c r="E792" s="4">
        <v>150</v>
      </c>
      <c r="F792" s="4" t="s">
        <v>917</v>
      </c>
      <c r="G792" s="4" t="e">
        <f>E792*VLOOKUP(B792,alimentos_master!$A:$M,13,FALSE())/100</f>
        <v>#N/A</v>
      </c>
      <c r="H792" s="4" t="e">
        <f>E792*VLOOKUP(B792,alimentos_master!$A:$N,14,FALSE())/100</f>
        <v>#N/A</v>
      </c>
      <c r="I792" s="4" t="e">
        <f>E792*VLOOKUP(B792,alimentos_master!$A:$O,15,FALSE())/100</f>
        <v>#N/A</v>
      </c>
      <c r="J792" s="4" t="e">
        <f>E792*VLOOKUP(B792,alimentos_master!$A:$R,18,FALSE())/100</f>
        <v>#N/A</v>
      </c>
    </row>
    <row r="793" spans="1:10" ht="15" customHeight="1" x14ac:dyDescent="0.2">
      <c r="A793" s="4">
        <v>792</v>
      </c>
      <c r="B793" s="4">
        <v>198</v>
      </c>
      <c r="C793" s="4" t="s">
        <v>297</v>
      </c>
      <c r="D793" s="4" t="s">
        <v>920</v>
      </c>
      <c r="E793" s="4">
        <v>200</v>
      </c>
      <c r="F793" s="4" t="s">
        <v>917</v>
      </c>
      <c r="G793" s="4" t="e">
        <f>E793*VLOOKUP(B793,alimentos_master!$A:$M,13,FALSE())/100</f>
        <v>#N/A</v>
      </c>
      <c r="H793" s="4" t="e">
        <f>E793*VLOOKUP(B793,alimentos_master!$A:$N,14,FALSE())/100</f>
        <v>#N/A</v>
      </c>
      <c r="I793" s="4" t="e">
        <f>E793*VLOOKUP(B793,alimentos_master!$A:$O,15,FALSE())/100</f>
        <v>#N/A</v>
      </c>
      <c r="J793" s="4" t="e">
        <f>E793*VLOOKUP(B793,alimentos_master!$A:$R,18,FALSE())/100</f>
        <v>#N/A</v>
      </c>
    </row>
    <row r="794" spans="1:10" ht="15" customHeight="1" x14ac:dyDescent="0.2">
      <c r="A794" s="4">
        <v>793</v>
      </c>
      <c r="B794" s="4">
        <v>199</v>
      </c>
      <c r="C794" s="4" t="s">
        <v>298</v>
      </c>
      <c r="D794" s="4" t="s">
        <v>916</v>
      </c>
      <c r="E794" s="4">
        <v>75</v>
      </c>
      <c r="F794" s="4" t="s">
        <v>917</v>
      </c>
      <c r="G794" s="4">
        <f>E794*VLOOKUP(B794,alimentos_master!$A:$M,13,FALSE())/100</f>
        <v>80.625</v>
      </c>
      <c r="H794" s="4">
        <f>E794*VLOOKUP(B794,alimentos_master!$A:$N,14,FALSE())/100</f>
        <v>12.75</v>
      </c>
      <c r="I794" s="4">
        <f>E794*VLOOKUP(B794,alimentos_master!$A:$O,15,FALSE())/100</f>
        <v>7.9049999999999985</v>
      </c>
      <c r="J794" s="4">
        <f>E794*VLOOKUP(B794,alimentos_master!$A:$R,18,FALSE())/100</f>
        <v>0.30749999999999994</v>
      </c>
    </row>
    <row r="795" spans="1:10" ht="15" customHeight="1" x14ac:dyDescent="0.2">
      <c r="A795" s="4">
        <v>794</v>
      </c>
      <c r="B795" s="4">
        <v>199</v>
      </c>
      <c r="C795" s="4" t="s">
        <v>298</v>
      </c>
      <c r="D795" s="4" t="s">
        <v>918</v>
      </c>
      <c r="E795" s="4">
        <v>100</v>
      </c>
      <c r="F795" s="4" t="s">
        <v>917</v>
      </c>
      <c r="G795" s="4">
        <f>E795*VLOOKUP(B795,alimentos_master!$A:$M,13,FALSE())/100</f>
        <v>107.5</v>
      </c>
      <c r="H795" s="4">
        <f>E795*VLOOKUP(B795,alimentos_master!$A:$N,14,FALSE())/100</f>
        <v>17</v>
      </c>
      <c r="I795" s="4">
        <f>E795*VLOOKUP(B795,alimentos_master!$A:$O,15,FALSE())/100</f>
        <v>10.54</v>
      </c>
      <c r="J795" s="4">
        <f>E795*VLOOKUP(B795,alimentos_master!$A:$R,18,FALSE())/100</f>
        <v>0.41</v>
      </c>
    </row>
    <row r="796" spans="1:10" ht="15" customHeight="1" x14ac:dyDescent="0.2">
      <c r="A796" s="4">
        <v>795</v>
      </c>
      <c r="B796" s="4">
        <v>199</v>
      </c>
      <c r="C796" s="4" t="s">
        <v>298</v>
      </c>
      <c r="D796" s="4" t="s">
        <v>919</v>
      </c>
      <c r="E796" s="4">
        <v>150</v>
      </c>
      <c r="F796" s="4" t="s">
        <v>917</v>
      </c>
      <c r="G796" s="4">
        <f>E796*VLOOKUP(B796,alimentos_master!$A:$M,13,FALSE())/100</f>
        <v>161.25</v>
      </c>
      <c r="H796" s="4">
        <f>E796*VLOOKUP(B796,alimentos_master!$A:$N,14,FALSE())/100</f>
        <v>25.5</v>
      </c>
      <c r="I796" s="4">
        <f>E796*VLOOKUP(B796,alimentos_master!$A:$O,15,FALSE())/100</f>
        <v>15.809999999999997</v>
      </c>
      <c r="J796" s="4">
        <f>E796*VLOOKUP(B796,alimentos_master!$A:$R,18,FALSE())/100</f>
        <v>0.61499999999999988</v>
      </c>
    </row>
    <row r="797" spans="1:10" ht="15" customHeight="1" x14ac:dyDescent="0.2">
      <c r="A797" s="4">
        <v>796</v>
      </c>
      <c r="B797" s="4">
        <v>199</v>
      </c>
      <c r="C797" s="4" t="s">
        <v>298</v>
      </c>
      <c r="D797" s="4" t="s">
        <v>920</v>
      </c>
      <c r="E797" s="4">
        <v>200</v>
      </c>
      <c r="F797" s="4" t="s">
        <v>917</v>
      </c>
      <c r="G797" s="4">
        <f>E797*VLOOKUP(B797,alimentos_master!$A:$M,13,FALSE())/100</f>
        <v>215</v>
      </c>
      <c r="H797" s="4">
        <f>E797*VLOOKUP(B797,alimentos_master!$A:$N,14,FALSE())/100</f>
        <v>34</v>
      </c>
      <c r="I797" s="4">
        <f>E797*VLOOKUP(B797,alimentos_master!$A:$O,15,FALSE())/100</f>
        <v>21.08</v>
      </c>
      <c r="J797" s="4">
        <f>E797*VLOOKUP(B797,alimentos_master!$A:$R,18,FALSE())/100</f>
        <v>0.82</v>
      </c>
    </row>
    <row r="798" spans="1:10" ht="15" customHeight="1" x14ac:dyDescent="0.2">
      <c r="A798" s="4">
        <v>797</v>
      </c>
      <c r="B798" s="4">
        <v>200</v>
      </c>
      <c r="C798" s="4" t="s">
        <v>299</v>
      </c>
      <c r="D798" s="4" t="s">
        <v>916</v>
      </c>
      <c r="E798" s="4">
        <v>75</v>
      </c>
      <c r="F798" s="4" t="s">
        <v>917</v>
      </c>
      <c r="G798" s="4" t="e">
        <f>E798*VLOOKUP(B798,alimentos_master!$A:$M,13,FALSE())/100</f>
        <v>#N/A</v>
      </c>
      <c r="H798" s="4" t="e">
        <f>E798*VLOOKUP(B798,alimentos_master!$A:$N,14,FALSE())/100</f>
        <v>#N/A</v>
      </c>
      <c r="I798" s="4" t="e">
        <f>E798*VLOOKUP(B798,alimentos_master!$A:$O,15,FALSE())/100</f>
        <v>#N/A</v>
      </c>
      <c r="J798" s="4" t="e">
        <f>E798*VLOOKUP(B798,alimentos_master!$A:$R,18,FALSE())/100</f>
        <v>#N/A</v>
      </c>
    </row>
    <row r="799" spans="1:10" ht="15" customHeight="1" x14ac:dyDescent="0.2">
      <c r="A799" s="4">
        <v>798</v>
      </c>
      <c r="B799" s="4">
        <v>200</v>
      </c>
      <c r="C799" s="4" t="s">
        <v>299</v>
      </c>
      <c r="D799" s="4" t="s">
        <v>918</v>
      </c>
      <c r="E799" s="4">
        <v>100</v>
      </c>
      <c r="F799" s="4" t="s">
        <v>917</v>
      </c>
      <c r="G799" s="4" t="e">
        <f>E799*VLOOKUP(B799,alimentos_master!$A:$M,13,FALSE())/100</f>
        <v>#N/A</v>
      </c>
      <c r="H799" s="4" t="e">
        <f>E799*VLOOKUP(B799,alimentos_master!$A:$N,14,FALSE())/100</f>
        <v>#N/A</v>
      </c>
      <c r="I799" s="4" t="e">
        <f>E799*VLOOKUP(B799,alimentos_master!$A:$O,15,FALSE())/100</f>
        <v>#N/A</v>
      </c>
      <c r="J799" s="4" t="e">
        <f>E799*VLOOKUP(B799,alimentos_master!$A:$R,18,FALSE())/100</f>
        <v>#N/A</v>
      </c>
    </row>
    <row r="800" spans="1:10" ht="15" customHeight="1" x14ac:dyDescent="0.2">
      <c r="A800" s="4">
        <v>799</v>
      </c>
      <c r="B800" s="4">
        <v>200</v>
      </c>
      <c r="C800" s="4" t="s">
        <v>299</v>
      </c>
      <c r="D800" s="4" t="s">
        <v>919</v>
      </c>
      <c r="E800" s="4">
        <v>150</v>
      </c>
      <c r="F800" s="4" t="s">
        <v>917</v>
      </c>
      <c r="G800" s="4" t="e">
        <f>E800*VLOOKUP(B800,alimentos_master!$A:$M,13,FALSE())/100</f>
        <v>#N/A</v>
      </c>
      <c r="H800" s="4" t="e">
        <f>E800*VLOOKUP(B800,alimentos_master!$A:$N,14,FALSE())/100</f>
        <v>#N/A</v>
      </c>
      <c r="I800" s="4" t="e">
        <f>E800*VLOOKUP(B800,alimentos_master!$A:$O,15,FALSE())/100</f>
        <v>#N/A</v>
      </c>
      <c r="J800" s="4" t="e">
        <f>E800*VLOOKUP(B800,alimentos_master!$A:$R,18,FALSE())/100</f>
        <v>#N/A</v>
      </c>
    </row>
    <row r="801" spans="1:10" ht="15" customHeight="1" x14ac:dyDescent="0.2">
      <c r="A801" s="4">
        <v>800</v>
      </c>
      <c r="B801" s="4">
        <v>200</v>
      </c>
      <c r="C801" s="4" t="s">
        <v>299</v>
      </c>
      <c r="D801" s="4" t="s">
        <v>920</v>
      </c>
      <c r="E801" s="4">
        <v>200</v>
      </c>
      <c r="F801" s="4" t="s">
        <v>917</v>
      </c>
      <c r="G801" s="4" t="e">
        <f>E801*VLOOKUP(B801,alimentos_master!$A:$M,13,FALSE())/100</f>
        <v>#N/A</v>
      </c>
      <c r="H801" s="4" t="e">
        <f>E801*VLOOKUP(B801,alimentos_master!$A:$N,14,FALSE())/100</f>
        <v>#N/A</v>
      </c>
      <c r="I801" s="4" t="e">
        <f>E801*VLOOKUP(B801,alimentos_master!$A:$O,15,FALSE())/100</f>
        <v>#N/A</v>
      </c>
      <c r="J801" s="4" t="e">
        <f>E801*VLOOKUP(B801,alimentos_master!$A:$R,18,FALSE())/100</f>
        <v>#N/A</v>
      </c>
    </row>
    <row r="802" spans="1:10" ht="15" customHeight="1" x14ac:dyDescent="0.2">
      <c r="A802" s="4">
        <v>801</v>
      </c>
      <c r="B802" s="4">
        <v>201</v>
      </c>
      <c r="C802" s="4" t="s">
        <v>300</v>
      </c>
      <c r="D802" s="4" t="s">
        <v>916</v>
      </c>
      <c r="E802" s="4">
        <v>75</v>
      </c>
      <c r="F802" s="4" t="s">
        <v>917</v>
      </c>
      <c r="G802" s="4" t="e">
        <f>E802*VLOOKUP(B802,alimentos_master!$A:$M,13,FALSE())/100</f>
        <v>#N/A</v>
      </c>
      <c r="H802" s="4" t="e">
        <f>E802*VLOOKUP(B802,alimentos_master!$A:$N,14,FALSE())/100</f>
        <v>#N/A</v>
      </c>
      <c r="I802" s="4" t="e">
        <f>E802*VLOOKUP(B802,alimentos_master!$A:$O,15,FALSE())/100</f>
        <v>#N/A</v>
      </c>
      <c r="J802" s="4" t="e">
        <f>E802*VLOOKUP(B802,alimentos_master!$A:$R,18,FALSE())/100</f>
        <v>#N/A</v>
      </c>
    </row>
    <row r="803" spans="1:10" ht="15" customHeight="1" x14ac:dyDescent="0.2">
      <c r="A803" s="4">
        <v>802</v>
      </c>
      <c r="B803" s="4">
        <v>201</v>
      </c>
      <c r="C803" s="4" t="s">
        <v>300</v>
      </c>
      <c r="D803" s="4" t="s">
        <v>918</v>
      </c>
      <c r="E803" s="4">
        <v>100</v>
      </c>
      <c r="F803" s="4" t="s">
        <v>917</v>
      </c>
      <c r="G803" s="4" t="e">
        <f>E803*VLOOKUP(B803,alimentos_master!$A:$M,13,FALSE())/100</f>
        <v>#N/A</v>
      </c>
      <c r="H803" s="4" t="e">
        <f>E803*VLOOKUP(B803,alimentos_master!$A:$N,14,FALSE())/100</f>
        <v>#N/A</v>
      </c>
      <c r="I803" s="4" t="e">
        <f>E803*VLOOKUP(B803,alimentos_master!$A:$O,15,FALSE())/100</f>
        <v>#N/A</v>
      </c>
      <c r="J803" s="4" t="e">
        <f>E803*VLOOKUP(B803,alimentos_master!$A:$R,18,FALSE())/100</f>
        <v>#N/A</v>
      </c>
    </row>
    <row r="804" spans="1:10" ht="15" customHeight="1" x14ac:dyDescent="0.2">
      <c r="A804" s="4">
        <v>803</v>
      </c>
      <c r="B804" s="4">
        <v>201</v>
      </c>
      <c r="C804" s="4" t="s">
        <v>300</v>
      </c>
      <c r="D804" s="4" t="s">
        <v>919</v>
      </c>
      <c r="E804" s="4">
        <v>150</v>
      </c>
      <c r="F804" s="4" t="s">
        <v>917</v>
      </c>
      <c r="G804" s="4" t="e">
        <f>E804*VLOOKUP(B804,alimentos_master!$A:$M,13,FALSE())/100</f>
        <v>#N/A</v>
      </c>
      <c r="H804" s="4" t="e">
        <f>E804*VLOOKUP(B804,alimentos_master!$A:$N,14,FALSE())/100</f>
        <v>#N/A</v>
      </c>
      <c r="I804" s="4" t="e">
        <f>E804*VLOOKUP(B804,alimentos_master!$A:$O,15,FALSE())/100</f>
        <v>#N/A</v>
      </c>
      <c r="J804" s="4" t="e">
        <f>E804*VLOOKUP(B804,alimentos_master!$A:$R,18,FALSE())/100</f>
        <v>#N/A</v>
      </c>
    </row>
    <row r="805" spans="1:10" ht="15" customHeight="1" x14ac:dyDescent="0.2">
      <c r="A805" s="4">
        <v>804</v>
      </c>
      <c r="B805" s="4">
        <v>201</v>
      </c>
      <c r="C805" s="4" t="s">
        <v>300</v>
      </c>
      <c r="D805" s="4" t="s">
        <v>920</v>
      </c>
      <c r="E805" s="4">
        <v>200</v>
      </c>
      <c r="F805" s="4" t="s">
        <v>917</v>
      </c>
      <c r="G805" s="4" t="e">
        <f>E805*VLOOKUP(B805,alimentos_master!$A:$M,13,FALSE())/100</f>
        <v>#N/A</v>
      </c>
      <c r="H805" s="4" t="e">
        <f>E805*VLOOKUP(B805,alimentos_master!$A:$N,14,FALSE())/100</f>
        <v>#N/A</v>
      </c>
      <c r="I805" s="4" t="e">
        <f>E805*VLOOKUP(B805,alimentos_master!$A:$O,15,FALSE())/100</f>
        <v>#N/A</v>
      </c>
      <c r="J805" s="4" t="e">
        <f>E805*VLOOKUP(B805,alimentos_master!$A:$R,18,FALSE())/100</f>
        <v>#N/A</v>
      </c>
    </row>
    <row r="806" spans="1:10" ht="15" customHeight="1" x14ac:dyDescent="0.2">
      <c r="A806" s="4">
        <v>805</v>
      </c>
      <c r="B806" s="4">
        <v>202</v>
      </c>
      <c r="C806" s="4" t="s">
        <v>301</v>
      </c>
      <c r="D806" s="4" t="s">
        <v>916</v>
      </c>
      <c r="E806" s="4">
        <v>75</v>
      </c>
      <c r="F806" s="4" t="s">
        <v>917</v>
      </c>
      <c r="G806" s="4" t="e">
        <f>E806*VLOOKUP(B806,alimentos_master!$A:$M,13,FALSE())/100</f>
        <v>#N/A</v>
      </c>
      <c r="H806" s="4" t="e">
        <f>E806*VLOOKUP(B806,alimentos_master!$A:$N,14,FALSE())/100</f>
        <v>#N/A</v>
      </c>
      <c r="I806" s="4" t="e">
        <f>E806*VLOOKUP(B806,alimentos_master!$A:$O,15,FALSE())/100</f>
        <v>#N/A</v>
      </c>
      <c r="J806" s="4" t="e">
        <f>E806*VLOOKUP(B806,alimentos_master!$A:$R,18,FALSE())/100</f>
        <v>#N/A</v>
      </c>
    </row>
    <row r="807" spans="1:10" ht="15" customHeight="1" x14ac:dyDescent="0.2">
      <c r="A807" s="4">
        <v>806</v>
      </c>
      <c r="B807" s="4">
        <v>202</v>
      </c>
      <c r="C807" s="4" t="s">
        <v>301</v>
      </c>
      <c r="D807" s="4" t="s">
        <v>918</v>
      </c>
      <c r="E807" s="4">
        <v>100</v>
      </c>
      <c r="F807" s="4" t="s">
        <v>917</v>
      </c>
      <c r="G807" s="4" t="e">
        <f>E807*VLOOKUP(B807,alimentos_master!$A:$M,13,FALSE())/100</f>
        <v>#N/A</v>
      </c>
      <c r="H807" s="4" t="e">
        <f>E807*VLOOKUP(B807,alimentos_master!$A:$N,14,FALSE())/100</f>
        <v>#N/A</v>
      </c>
      <c r="I807" s="4" t="e">
        <f>E807*VLOOKUP(B807,alimentos_master!$A:$O,15,FALSE())/100</f>
        <v>#N/A</v>
      </c>
      <c r="J807" s="4" t="e">
        <f>E807*VLOOKUP(B807,alimentos_master!$A:$R,18,FALSE())/100</f>
        <v>#N/A</v>
      </c>
    </row>
    <row r="808" spans="1:10" ht="15" customHeight="1" x14ac:dyDescent="0.2">
      <c r="A808" s="4">
        <v>807</v>
      </c>
      <c r="B808" s="4">
        <v>202</v>
      </c>
      <c r="C808" s="4" t="s">
        <v>301</v>
      </c>
      <c r="D808" s="4" t="s">
        <v>919</v>
      </c>
      <c r="E808" s="4">
        <v>150</v>
      </c>
      <c r="F808" s="4" t="s">
        <v>917</v>
      </c>
      <c r="G808" s="4" t="e">
        <f>E808*VLOOKUP(B808,alimentos_master!$A:$M,13,FALSE())/100</f>
        <v>#N/A</v>
      </c>
      <c r="H808" s="4" t="e">
        <f>E808*VLOOKUP(B808,alimentos_master!$A:$N,14,FALSE())/100</f>
        <v>#N/A</v>
      </c>
      <c r="I808" s="4" t="e">
        <f>E808*VLOOKUP(B808,alimentos_master!$A:$O,15,FALSE())/100</f>
        <v>#N/A</v>
      </c>
      <c r="J808" s="4" t="e">
        <f>E808*VLOOKUP(B808,alimentos_master!$A:$R,18,FALSE())/100</f>
        <v>#N/A</v>
      </c>
    </row>
    <row r="809" spans="1:10" ht="15" customHeight="1" x14ac:dyDescent="0.2">
      <c r="A809" s="4">
        <v>808</v>
      </c>
      <c r="B809" s="4">
        <v>202</v>
      </c>
      <c r="C809" s="4" t="s">
        <v>301</v>
      </c>
      <c r="D809" s="4" t="s">
        <v>920</v>
      </c>
      <c r="E809" s="4">
        <v>200</v>
      </c>
      <c r="F809" s="4" t="s">
        <v>917</v>
      </c>
      <c r="G809" s="4" t="e">
        <f>E809*VLOOKUP(B809,alimentos_master!$A:$M,13,FALSE())/100</f>
        <v>#N/A</v>
      </c>
      <c r="H809" s="4" t="e">
        <f>E809*VLOOKUP(B809,alimentos_master!$A:$N,14,FALSE())/100</f>
        <v>#N/A</v>
      </c>
      <c r="I809" s="4" t="e">
        <f>E809*VLOOKUP(B809,alimentos_master!$A:$O,15,FALSE())/100</f>
        <v>#N/A</v>
      </c>
      <c r="J809" s="4" t="e">
        <f>E809*VLOOKUP(B809,alimentos_master!$A:$R,18,FALSE())/100</f>
        <v>#N/A</v>
      </c>
    </row>
    <row r="810" spans="1:10" ht="15" customHeight="1" x14ac:dyDescent="0.2">
      <c r="A810" s="4">
        <v>809</v>
      </c>
      <c r="B810" s="4">
        <v>203</v>
      </c>
      <c r="C810" s="4" t="s">
        <v>302</v>
      </c>
      <c r="D810" s="4" t="s">
        <v>916</v>
      </c>
      <c r="E810" s="4">
        <v>75</v>
      </c>
      <c r="F810" s="4" t="s">
        <v>917</v>
      </c>
      <c r="G810" s="4" t="e">
        <f>E810*VLOOKUP(B810,alimentos_master!$A:$M,13,FALSE())/100</f>
        <v>#N/A</v>
      </c>
      <c r="H810" s="4" t="e">
        <f>E810*VLOOKUP(B810,alimentos_master!$A:$N,14,FALSE())/100</f>
        <v>#N/A</v>
      </c>
      <c r="I810" s="4" t="e">
        <f>E810*VLOOKUP(B810,alimentos_master!$A:$O,15,FALSE())/100</f>
        <v>#N/A</v>
      </c>
      <c r="J810" s="4" t="e">
        <f>E810*VLOOKUP(B810,alimentos_master!$A:$R,18,FALSE())/100</f>
        <v>#N/A</v>
      </c>
    </row>
    <row r="811" spans="1:10" ht="15" customHeight="1" x14ac:dyDescent="0.2">
      <c r="A811" s="4">
        <v>810</v>
      </c>
      <c r="B811" s="4">
        <v>203</v>
      </c>
      <c r="C811" s="4" t="s">
        <v>302</v>
      </c>
      <c r="D811" s="4" t="s">
        <v>918</v>
      </c>
      <c r="E811" s="4">
        <v>100</v>
      </c>
      <c r="F811" s="4" t="s">
        <v>917</v>
      </c>
      <c r="G811" s="4" t="e">
        <f>E811*VLOOKUP(B811,alimentos_master!$A:$M,13,FALSE())/100</f>
        <v>#N/A</v>
      </c>
      <c r="H811" s="4" t="e">
        <f>E811*VLOOKUP(B811,alimentos_master!$A:$N,14,FALSE())/100</f>
        <v>#N/A</v>
      </c>
      <c r="I811" s="4" t="e">
        <f>E811*VLOOKUP(B811,alimentos_master!$A:$O,15,FALSE())/100</f>
        <v>#N/A</v>
      </c>
      <c r="J811" s="4" t="e">
        <f>E811*VLOOKUP(B811,alimentos_master!$A:$R,18,FALSE())/100</f>
        <v>#N/A</v>
      </c>
    </row>
    <row r="812" spans="1:10" ht="15" customHeight="1" x14ac:dyDescent="0.2">
      <c r="A812" s="4">
        <v>811</v>
      </c>
      <c r="B812" s="4">
        <v>203</v>
      </c>
      <c r="C812" s="4" t="s">
        <v>302</v>
      </c>
      <c r="D812" s="4" t="s">
        <v>919</v>
      </c>
      <c r="E812" s="4">
        <v>150</v>
      </c>
      <c r="F812" s="4" t="s">
        <v>917</v>
      </c>
      <c r="G812" s="4" t="e">
        <f>E812*VLOOKUP(B812,alimentos_master!$A:$M,13,FALSE())/100</f>
        <v>#N/A</v>
      </c>
      <c r="H812" s="4" t="e">
        <f>E812*VLOOKUP(B812,alimentos_master!$A:$N,14,FALSE())/100</f>
        <v>#N/A</v>
      </c>
      <c r="I812" s="4" t="e">
        <f>E812*VLOOKUP(B812,alimentos_master!$A:$O,15,FALSE())/100</f>
        <v>#N/A</v>
      </c>
      <c r="J812" s="4" t="e">
        <f>E812*VLOOKUP(B812,alimentos_master!$A:$R,18,FALSE())/100</f>
        <v>#N/A</v>
      </c>
    </row>
    <row r="813" spans="1:10" ht="15" customHeight="1" x14ac:dyDescent="0.2">
      <c r="A813" s="4">
        <v>812</v>
      </c>
      <c r="B813" s="4">
        <v>203</v>
      </c>
      <c r="C813" s="4" t="s">
        <v>302</v>
      </c>
      <c r="D813" s="4" t="s">
        <v>920</v>
      </c>
      <c r="E813" s="4">
        <v>200</v>
      </c>
      <c r="F813" s="4" t="s">
        <v>917</v>
      </c>
      <c r="G813" s="4" t="e">
        <f>E813*VLOOKUP(B813,alimentos_master!$A:$M,13,FALSE())/100</f>
        <v>#N/A</v>
      </c>
      <c r="H813" s="4" t="e">
        <f>E813*VLOOKUP(B813,alimentos_master!$A:$N,14,FALSE())/100</f>
        <v>#N/A</v>
      </c>
      <c r="I813" s="4" t="e">
        <f>E813*VLOOKUP(B813,alimentos_master!$A:$O,15,FALSE())/100</f>
        <v>#N/A</v>
      </c>
      <c r="J813" s="4" t="e">
        <f>E813*VLOOKUP(B813,alimentos_master!$A:$R,18,FALSE())/100</f>
        <v>#N/A</v>
      </c>
    </row>
    <row r="814" spans="1:10" ht="15" customHeight="1" x14ac:dyDescent="0.2">
      <c r="A814" s="4">
        <v>813</v>
      </c>
      <c r="B814" s="4">
        <v>204</v>
      </c>
      <c r="C814" s="4" t="s">
        <v>303</v>
      </c>
      <c r="D814" s="4" t="s">
        <v>916</v>
      </c>
      <c r="E814" s="4">
        <v>75</v>
      </c>
      <c r="F814" s="4" t="s">
        <v>917</v>
      </c>
      <c r="G814" s="4" t="e">
        <f>E814*VLOOKUP(B814,alimentos_master!$A:$M,13,FALSE())/100</f>
        <v>#N/A</v>
      </c>
      <c r="H814" s="4" t="e">
        <f>E814*VLOOKUP(B814,alimentos_master!$A:$N,14,FALSE())/100</f>
        <v>#N/A</v>
      </c>
      <c r="I814" s="4" t="e">
        <f>E814*VLOOKUP(B814,alimentos_master!$A:$O,15,FALSE())/100</f>
        <v>#N/A</v>
      </c>
      <c r="J814" s="4" t="e">
        <f>E814*VLOOKUP(B814,alimentos_master!$A:$R,18,FALSE())/100</f>
        <v>#N/A</v>
      </c>
    </row>
    <row r="815" spans="1:10" ht="15" customHeight="1" x14ac:dyDescent="0.2">
      <c r="A815" s="4">
        <v>814</v>
      </c>
      <c r="B815" s="4">
        <v>204</v>
      </c>
      <c r="C815" s="4" t="s">
        <v>303</v>
      </c>
      <c r="D815" s="4" t="s">
        <v>918</v>
      </c>
      <c r="E815" s="4">
        <v>100</v>
      </c>
      <c r="F815" s="4" t="s">
        <v>917</v>
      </c>
      <c r="G815" s="4" t="e">
        <f>E815*VLOOKUP(B815,alimentos_master!$A:$M,13,FALSE())/100</f>
        <v>#N/A</v>
      </c>
      <c r="H815" s="4" t="e">
        <f>E815*VLOOKUP(B815,alimentos_master!$A:$N,14,FALSE())/100</f>
        <v>#N/A</v>
      </c>
      <c r="I815" s="4" t="e">
        <f>E815*VLOOKUP(B815,alimentos_master!$A:$O,15,FALSE())/100</f>
        <v>#N/A</v>
      </c>
      <c r="J815" s="4" t="e">
        <f>E815*VLOOKUP(B815,alimentos_master!$A:$R,18,FALSE())/100</f>
        <v>#N/A</v>
      </c>
    </row>
    <row r="816" spans="1:10" ht="15" customHeight="1" x14ac:dyDescent="0.2">
      <c r="A816" s="4">
        <v>815</v>
      </c>
      <c r="B816" s="4">
        <v>204</v>
      </c>
      <c r="C816" s="4" t="s">
        <v>303</v>
      </c>
      <c r="D816" s="4" t="s">
        <v>919</v>
      </c>
      <c r="E816" s="4">
        <v>150</v>
      </c>
      <c r="F816" s="4" t="s">
        <v>917</v>
      </c>
      <c r="G816" s="4" t="e">
        <f>E816*VLOOKUP(B816,alimentos_master!$A:$M,13,FALSE())/100</f>
        <v>#N/A</v>
      </c>
      <c r="H816" s="4" t="e">
        <f>E816*VLOOKUP(B816,alimentos_master!$A:$N,14,FALSE())/100</f>
        <v>#N/A</v>
      </c>
      <c r="I816" s="4" t="e">
        <f>E816*VLOOKUP(B816,alimentos_master!$A:$O,15,FALSE())/100</f>
        <v>#N/A</v>
      </c>
      <c r="J816" s="4" t="e">
        <f>E816*VLOOKUP(B816,alimentos_master!$A:$R,18,FALSE())/100</f>
        <v>#N/A</v>
      </c>
    </row>
    <row r="817" spans="1:10" ht="15" customHeight="1" x14ac:dyDescent="0.2">
      <c r="A817" s="4">
        <v>816</v>
      </c>
      <c r="B817" s="4">
        <v>204</v>
      </c>
      <c r="C817" s="4" t="s">
        <v>303</v>
      </c>
      <c r="D817" s="4" t="s">
        <v>920</v>
      </c>
      <c r="E817" s="4">
        <v>200</v>
      </c>
      <c r="F817" s="4" t="s">
        <v>917</v>
      </c>
      <c r="G817" s="4" t="e">
        <f>E817*VLOOKUP(B817,alimentos_master!$A:$M,13,FALSE())/100</f>
        <v>#N/A</v>
      </c>
      <c r="H817" s="4" t="e">
        <f>E817*VLOOKUP(B817,alimentos_master!$A:$N,14,FALSE())/100</f>
        <v>#N/A</v>
      </c>
      <c r="I817" s="4" t="e">
        <f>E817*VLOOKUP(B817,alimentos_master!$A:$O,15,FALSE())/100</f>
        <v>#N/A</v>
      </c>
      <c r="J817" s="4" t="e">
        <f>E817*VLOOKUP(B817,alimentos_master!$A:$R,18,FALSE())/100</f>
        <v>#N/A</v>
      </c>
    </row>
    <row r="818" spans="1:10" ht="15" customHeight="1" x14ac:dyDescent="0.2">
      <c r="A818" s="4">
        <v>817</v>
      </c>
      <c r="B818" s="4">
        <v>205</v>
      </c>
      <c r="C818" s="4" t="s">
        <v>304</v>
      </c>
      <c r="D818" s="4" t="s">
        <v>916</v>
      </c>
      <c r="E818" s="4">
        <v>75</v>
      </c>
      <c r="F818" s="4" t="s">
        <v>917</v>
      </c>
      <c r="G818" s="4" t="e">
        <f>E818*VLOOKUP(B818,alimentos_master!$A:$M,13,FALSE())/100</f>
        <v>#N/A</v>
      </c>
      <c r="H818" s="4" t="e">
        <f>E818*VLOOKUP(B818,alimentos_master!$A:$N,14,FALSE())/100</f>
        <v>#N/A</v>
      </c>
      <c r="I818" s="4" t="e">
        <f>E818*VLOOKUP(B818,alimentos_master!$A:$O,15,FALSE())/100</f>
        <v>#N/A</v>
      </c>
      <c r="J818" s="4" t="e">
        <f>E818*VLOOKUP(B818,alimentos_master!$A:$R,18,FALSE())/100</f>
        <v>#N/A</v>
      </c>
    </row>
    <row r="819" spans="1:10" ht="15" customHeight="1" x14ac:dyDescent="0.2">
      <c r="A819" s="4">
        <v>818</v>
      </c>
      <c r="B819" s="4">
        <v>205</v>
      </c>
      <c r="C819" s="4" t="s">
        <v>304</v>
      </c>
      <c r="D819" s="4" t="s">
        <v>918</v>
      </c>
      <c r="E819" s="4">
        <v>100</v>
      </c>
      <c r="F819" s="4" t="s">
        <v>917</v>
      </c>
      <c r="G819" s="4" t="e">
        <f>E819*VLOOKUP(B819,alimentos_master!$A:$M,13,FALSE())/100</f>
        <v>#N/A</v>
      </c>
      <c r="H819" s="4" t="e">
        <f>E819*VLOOKUP(B819,alimentos_master!$A:$N,14,FALSE())/100</f>
        <v>#N/A</v>
      </c>
      <c r="I819" s="4" t="e">
        <f>E819*VLOOKUP(B819,alimentos_master!$A:$O,15,FALSE())/100</f>
        <v>#N/A</v>
      </c>
      <c r="J819" s="4" t="e">
        <f>E819*VLOOKUP(B819,alimentos_master!$A:$R,18,FALSE())/100</f>
        <v>#N/A</v>
      </c>
    </row>
    <row r="820" spans="1:10" ht="15" customHeight="1" x14ac:dyDescent="0.2">
      <c r="A820" s="4">
        <v>819</v>
      </c>
      <c r="B820" s="4">
        <v>205</v>
      </c>
      <c r="C820" s="4" t="s">
        <v>304</v>
      </c>
      <c r="D820" s="4" t="s">
        <v>919</v>
      </c>
      <c r="E820" s="4">
        <v>150</v>
      </c>
      <c r="F820" s="4" t="s">
        <v>917</v>
      </c>
      <c r="G820" s="4" t="e">
        <f>E820*VLOOKUP(B820,alimentos_master!$A:$M,13,FALSE())/100</f>
        <v>#N/A</v>
      </c>
      <c r="H820" s="4" t="e">
        <f>E820*VLOOKUP(B820,alimentos_master!$A:$N,14,FALSE())/100</f>
        <v>#N/A</v>
      </c>
      <c r="I820" s="4" t="e">
        <f>E820*VLOOKUP(B820,alimentos_master!$A:$O,15,FALSE())/100</f>
        <v>#N/A</v>
      </c>
      <c r="J820" s="4" t="e">
        <f>E820*VLOOKUP(B820,alimentos_master!$A:$R,18,FALSE())/100</f>
        <v>#N/A</v>
      </c>
    </row>
    <row r="821" spans="1:10" ht="15" customHeight="1" x14ac:dyDescent="0.2">
      <c r="A821" s="4">
        <v>820</v>
      </c>
      <c r="B821" s="4">
        <v>205</v>
      </c>
      <c r="C821" s="4" t="s">
        <v>304</v>
      </c>
      <c r="D821" s="4" t="s">
        <v>920</v>
      </c>
      <c r="E821" s="4">
        <v>200</v>
      </c>
      <c r="F821" s="4" t="s">
        <v>917</v>
      </c>
      <c r="G821" s="4" t="e">
        <f>E821*VLOOKUP(B821,alimentos_master!$A:$M,13,FALSE())/100</f>
        <v>#N/A</v>
      </c>
      <c r="H821" s="4" t="e">
        <f>E821*VLOOKUP(B821,alimentos_master!$A:$N,14,FALSE())/100</f>
        <v>#N/A</v>
      </c>
      <c r="I821" s="4" t="e">
        <f>E821*VLOOKUP(B821,alimentos_master!$A:$O,15,FALSE())/100</f>
        <v>#N/A</v>
      </c>
      <c r="J821" s="4" t="e">
        <f>E821*VLOOKUP(B821,alimentos_master!$A:$R,18,FALSE())/100</f>
        <v>#N/A</v>
      </c>
    </row>
    <row r="822" spans="1:10" ht="15" customHeight="1" x14ac:dyDescent="0.2">
      <c r="A822" s="4">
        <v>821</v>
      </c>
      <c r="B822" s="4">
        <v>206</v>
      </c>
      <c r="C822" s="4" t="s">
        <v>305</v>
      </c>
      <c r="D822" s="4" t="s">
        <v>916</v>
      </c>
      <c r="E822" s="4">
        <v>75</v>
      </c>
      <c r="F822" s="4" t="s">
        <v>917</v>
      </c>
      <c r="G822" s="4" t="e">
        <f>E822*VLOOKUP(B822,alimentos_master!$A:$M,13,FALSE())/100</f>
        <v>#N/A</v>
      </c>
      <c r="H822" s="4" t="e">
        <f>E822*VLOOKUP(B822,alimentos_master!$A:$N,14,FALSE())/100</f>
        <v>#N/A</v>
      </c>
      <c r="I822" s="4" t="e">
        <f>E822*VLOOKUP(B822,alimentos_master!$A:$O,15,FALSE())/100</f>
        <v>#N/A</v>
      </c>
      <c r="J822" s="4" t="e">
        <f>E822*VLOOKUP(B822,alimentos_master!$A:$R,18,FALSE())/100</f>
        <v>#N/A</v>
      </c>
    </row>
    <row r="823" spans="1:10" ht="15" customHeight="1" x14ac:dyDescent="0.2">
      <c r="A823" s="4">
        <v>822</v>
      </c>
      <c r="B823" s="4">
        <v>206</v>
      </c>
      <c r="C823" s="4" t="s">
        <v>305</v>
      </c>
      <c r="D823" s="4" t="s">
        <v>918</v>
      </c>
      <c r="E823" s="4">
        <v>100</v>
      </c>
      <c r="F823" s="4" t="s">
        <v>917</v>
      </c>
      <c r="G823" s="4" t="e">
        <f>E823*VLOOKUP(B823,alimentos_master!$A:$M,13,FALSE())/100</f>
        <v>#N/A</v>
      </c>
      <c r="H823" s="4" t="e">
        <f>E823*VLOOKUP(B823,alimentos_master!$A:$N,14,FALSE())/100</f>
        <v>#N/A</v>
      </c>
      <c r="I823" s="4" t="e">
        <f>E823*VLOOKUP(B823,alimentos_master!$A:$O,15,FALSE())/100</f>
        <v>#N/A</v>
      </c>
      <c r="J823" s="4" t="e">
        <f>E823*VLOOKUP(B823,alimentos_master!$A:$R,18,FALSE())/100</f>
        <v>#N/A</v>
      </c>
    </row>
    <row r="824" spans="1:10" ht="15" customHeight="1" x14ac:dyDescent="0.2">
      <c r="A824" s="4">
        <v>823</v>
      </c>
      <c r="B824" s="4">
        <v>206</v>
      </c>
      <c r="C824" s="4" t="s">
        <v>305</v>
      </c>
      <c r="D824" s="4" t="s">
        <v>919</v>
      </c>
      <c r="E824" s="4">
        <v>150</v>
      </c>
      <c r="F824" s="4" t="s">
        <v>917</v>
      </c>
      <c r="G824" s="4" t="e">
        <f>E824*VLOOKUP(B824,alimentos_master!$A:$M,13,FALSE())/100</f>
        <v>#N/A</v>
      </c>
      <c r="H824" s="4" t="e">
        <f>E824*VLOOKUP(B824,alimentos_master!$A:$N,14,FALSE())/100</f>
        <v>#N/A</v>
      </c>
      <c r="I824" s="4" t="e">
        <f>E824*VLOOKUP(B824,alimentos_master!$A:$O,15,FALSE())/100</f>
        <v>#N/A</v>
      </c>
      <c r="J824" s="4" t="e">
        <f>E824*VLOOKUP(B824,alimentos_master!$A:$R,18,FALSE())/100</f>
        <v>#N/A</v>
      </c>
    </row>
    <row r="825" spans="1:10" ht="15" customHeight="1" x14ac:dyDescent="0.2">
      <c r="A825" s="4">
        <v>824</v>
      </c>
      <c r="B825" s="4">
        <v>206</v>
      </c>
      <c r="C825" s="4" t="s">
        <v>305</v>
      </c>
      <c r="D825" s="4" t="s">
        <v>920</v>
      </c>
      <c r="E825" s="4">
        <v>200</v>
      </c>
      <c r="F825" s="4" t="s">
        <v>917</v>
      </c>
      <c r="G825" s="4" t="e">
        <f>E825*VLOOKUP(B825,alimentos_master!$A:$M,13,FALSE())/100</f>
        <v>#N/A</v>
      </c>
      <c r="H825" s="4" t="e">
        <f>E825*VLOOKUP(B825,alimentos_master!$A:$N,14,FALSE())/100</f>
        <v>#N/A</v>
      </c>
      <c r="I825" s="4" t="e">
        <f>E825*VLOOKUP(B825,alimentos_master!$A:$O,15,FALSE())/100</f>
        <v>#N/A</v>
      </c>
      <c r="J825" s="4" t="e">
        <f>E825*VLOOKUP(B825,alimentos_master!$A:$R,18,FALSE())/100</f>
        <v>#N/A</v>
      </c>
    </row>
    <row r="826" spans="1:10" ht="15" customHeight="1" x14ac:dyDescent="0.2">
      <c r="A826" s="4">
        <v>825</v>
      </c>
      <c r="B826" s="4">
        <v>207</v>
      </c>
      <c r="C826" s="4" t="s">
        <v>306</v>
      </c>
      <c r="D826" s="4" t="s">
        <v>916</v>
      </c>
      <c r="E826" s="4">
        <v>75</v>
      </c>
      <c r="F826" s="4" t="s">
        <v>917</v>
      </c>
      <c r="G826" s="4" t="e">
        <f>E826*VLOOKUP(B826,alimentos_master!$A:$M,13,FALSE())/100</f>
        <v>#N/A</v>
      </c>
      <c r="H826" s="4" t="e">
        <f>E826*VLOOKUP(B826,alimentos_master!$A:$N,14,FALSE())/100</f>
        <v>#N/A</v>
      </c>
      <c r="I826" s="4" t="e">
        <f>E826*VLOOKUP(B826,alimentos_master!$A:$O,15,FALSE())/100</f>
        <v>#N/A</v>
      </c>
      <c r="J826" s="4" t="e">
        <f>E826*VLOOKUP(B826,alimentos_master!$A:$R,18,FALSE())/100</f>
        <v>#N/A</v>
      </c>
    </row>
    <row r="827" spans="1:10" ht="15" customHeight="1" x14ac:dyDescent="0.2">
      <c r="A827" s="4">
        <v>826</v>
      </c>
      <c r="B827" s="4">
        <v>207</v>
      </c>
      <c r="C827" s="4" t="s">
        <v>306</v>
      </c>
      <c r="D827" s="4" t="s">
        <v>918</v>
      </c>
      <c r="E827" s="4">
        <v>100</v>
      </c>
      <c r="F827" s="4" t="s">
        <v>917</v>
      </c>
      <c r="G827" s="4" t="e">
        <f>E827*VLOOKUP(B827,alimentos_master!$A:$M,13,FALSE())/100</f>
        <v>#N/A</v>
      </c>
      <c r="H827" s="4" t="e">
        <f>E827*VLOOKUP(B827,alimentos_master!$A:$N,14,FALSE())/100</f>
        <v>#N/A</v>
      </c>
      <c r="I827" s="4" t="e">
        <f>E827*VLOOKUP(B827,alimentos_master!$A:$O,15,FALSE())/100</f>
        <v>#N/A</v>
      </c>
      <c r="J827" s="4" t="e">
        <f>E827*VLOOKUP(B827,alimentos_master!$A:$R,18,FALSE())/100</f>
        <v>#N/A</v>
      </c>
    </row>
    <row r="828" spans="1:10" ht="15" customHeight="1" x14ac:dyDescent="0.2">
      <c r="A828" s="4">
        <v>827</v>
      </c>
      <c r="B828" s="4">
        <v>207</v>
      </c>
      <c r="C828" s="4" t="s">
        <v>306</v>
      </c>
      <c r="D828" s="4" t="s">
        <v>919</v>
      </c>
      <c r="E828" s="4">
        <v>150</v>
      </c>
      <c r="F828" s="4" t="s">
        <v>917</v>
      </c>
      <c r="G828" s="4" t="e">
        <f>E828*VLOOKUP(B828,alimentos_master!$A:$M,13,FALSE())/100</f>
        <v>#N/A</v>
      </c>
      <c r="H828" s="4" t="e">
        <f>E828*VLOOKUP(B828,alimentos_master!$A:$N,14,FALSE())/100</f>
        <v>#N/A</v>
      </c>
      <c r="I828" s="4" t="e">
        <f>E828*VLOOKUP(B828,alimentos_master!$A:$O,15,FALSE())/100</f>
        <v>#N/A</v>
      </c>
      <c r="J828" s="4" t="e">
        <f>E828*VLOOKUP(B828,alimentos_master!$A:$R,18,FALSE())/100</f>
        <v>#N/A</v>
      </c>
    </row>
    <row r="829" spans="1:10" ht="15" customHeight="1" x14ac:dyDescent="0.2">
      <c r="A829" s="4">
        <v>828</v>
      </c>
      <c r="B829" s="4">
        <v>207</v>
      </c>
      <c r="C829" s="4" t="s">
        <v>306</v>
      </c>
      <c r="D829" s="4" t="s">
        <v>920</v>
      </c>
      <c r="E829" s="4">
        <v>200</v>
      </c>
      <c r="F829" s="4" t="s">
        <v>917</v>
      </c>
      <c r="G829" s="4" t="e">
        <f>E829*VLOOKUP(B829,alimentos_master!$A:$M,13,FALSE())/100</f>
        <v>#N/A</v>
      </c>
      <c r="H829" s="4" t="e">
        <f>E829*VLOOKUP(B829,alimentos_master!$A:$N,14,FALSE())/100</f>
        <v>#N/A</v>
      </c>
      <c r="I829" s="4" t="e">
        <f>E829*VLOOKUP(B829,alimentos_master!$A:$O,15,FALSE())/100</f>
        <v>#N/A</v>
      </c>
      <c r="J829" s="4" t="e">
        <f>E829*VLOOKUP(B829,alimentos_master!$A:$R,18,FALSE())/100</f>
        <v>#N/A</v>
      </c>
    </row>
    <row r="830" spans="1:10" ht="15" customHeight="1" x14ac:dyDescent="0.2">
      <c r="A830" s="4">
        <v>829</v>
      </c>
      <c r="B830" s="4">
        <v>208</v>
      </c>
      <c r="C830" s="4" t="s">
        <v>307</v>
      </c>
      <c r="D830" s="4" t="s">
        <v>916</v>
      </c>
      <c r="E830" s="4">
        <v>75</v>
      </c>
      <c r="F830" s="4" t="s">
        <v>917</v>
      </c>
      <c r="G830" s="4">
        <f>E830*VLOOKUP(B830,alimentos_master!$A:$M,13,FALSE())/100</f>
        <v>66.75</v>
      </c>
      <c r="H830" s="4">
        <f>E830*VLOOKUP(B830,alimentos_master!$A:$N,14,FALSE())/100</f>
        <v>0.82499999999999996</v>
      </c>
      <c r="I830" s="4">
        <f>E830*VLOOKUP(B830,alimentos_master!$A:$O,15,FALSE())/100</f>
        <v>17.100000000000001</v>
      </c>
      <c r="J830" s="4">
        <f>E830*VLOOKUP(B830,alimentos_master!$A:$R,18,FALSE())/100</f>
        <v>0.22500000000000001</v>
      </c>
    </row>
    <row r="831" spans="1:10" ht="15" customHeight="1" x14ac:dyDescent="0.2">
      <c r="A831" s="4">
        <v>830</v>
      </c>
      <c r="B831" s="4">
        <v>208</v>
      </c>
      <c r="C831" s="4" t="s">
        <v>307</v>
      </c>
      <c r="D831" s="4" t="s">
        <v>918</v>
      </c>
      <c r="E831" s="4">
        <v>100</v>
      </c>
      <c r="F831" s="4" t="s">
        <v>917</v>
      </c>
      <c r="G831" s="4">
        <f>E831*VLOOKUP(B831,alimentos_master!$A:$M,13,FALSE())/100</f>
        <v>89</v>
      </c>
      <c r="H831" s="4">
        <f>E831*VLOOKUP(B831,alimentos_master!$A:$N,14,FALSE())/100</f>
        <v>1.1000000000000001</v>
      </c>
      <c r="I831" s="4">
        <f>E831*VLOOKUP(B831,alimentos_master!$A:$O,15,FALSE())/100</f>
        <v>22.8</v>
      </c>
      <c r="J831" s="4">
        <f>E831*VLOOKUP(B831,alimentos_master!$A:$R,18,FALSE())/100</f>
        <v>0.3</v>
      </c>
    </row>
    <row r="832" spans="1:10" ht="15" customHeight="1" x14ac:dyDescent="0.2">
      <c r="A832" s="4">
        <v>831</v>
      </c>
      <c r="B832" s="4">
        <v>208</v>
      </c>
      <c r="C832" s="4" t="s">
        <v>307</v>
      </c>
      <c r="D832" s="4" t="s">
        <v>919</v>
      </c>
      <c r="E832" s="4">
        <v>150</v>
      </c>
      <c r="F832" s="4" t="s">
        <v>917</v>
      </c>
      <c r="G832" s="4">
        <f>E832*VLOOKUP(B832,alimentos_master!$A:$M,13,FALSE())/100</f>
        <v>133.5</v>
      </c>
      <c r="H832" s="4">
        <f>E832*VLOOKUP(B832,alimentos_master!$A:$N,14,FALSE())/100</f>
        <v>1.65</v>
      </c>
      <c r="I832" s="4">
        <f>E832*VLOOKUP(B832,alimentos_master!$A:$O,15,FALSE())/100</f>
        <v>34.200000000000003</v>
      </c>
      <c r="J832" s="4">
        <f>E832*VLOOKUP(B832,alimentos_master!$A:$R,18,FALSE())/100</f>
        <v>0.45</v>
      </c>
    </row>
    <row r="833" spans="1:10" ht="15" customHeight="1" x14ac:dyDescent="0.2">
      <c r="A833" s="4">
        <v>832</v>
      </c>
      <c r="B833" s="4">
        <v>208</v>
      </c>
      <c r="C833" s="4" t="s">
        <v>307</v>
      </c>
      <c r="D833" s="4" t="s">
        <v>920</v>
      </c>
      <c r="E833" s="4">
        <v>200</v>
      </c>
      <c r="F833" s="4" t="s">
        <v>917</v>
      </c>
      <c r="G833" s="4">
        <f>E833*VLOOKUP(B833,alimentos_master!$A:$M,13,FALSE())/100</f>
        <v>178</v>
      </c>
      <c r="H833" s="4">
        <f>E833*VLOOKUP(B833,alimentos_master!$A:$N,14,FALSE())/100</f>
        <v>2.2000000000000002</v>
      </c>
      <c r="I833" s="4">
        <f>E833*VLOOKUP(B833,alimentos_master!$A:$O,15,FALSE())/100</f>
        <v>45.6</v>
      </c>
      <c r="J833" s="4">
        <f>E833*VLOOKUP(B833,alimentos_master!$A:$R,18,FALSE())/100</f>
        <v>0.6</v>
      </c>
    </row>
    <row r="834" spans="1:10" ht="15" customHeight="1" x14ac:dyDescent="0.2">
      <c r="A834" s="4">
        <v>833</v>
      </c>
      <c r="B834" s="4">
        <v>209</v>
      </c>
      <c r="C834" s="4" t="s">
        <v>311</v>
      </c>
      <c r="D834" s="4" t="s">
        <v>916</v>
      </c>
      <c r="E834" s="4">
        <v>75</v>
      </c>
      <c r="F834" s="4" t="s">
        <v>917</v>
      </c>
      <c r="G834" s="4" t="e">
        <f>E834*VLOOKUP(B834,alimentos_master!$A:$M,13,FALSE())/100</f>
        <v>#N/A</v>
      </c>
      <c r="H834" s="4" t="e">
        <f>E834*VLOOKUP(B834,alimentos_master!$A:$N,14,FALSE())/100</f>
        <v>#N/A</v>
      </c>
      <c r="I834" s="4" t="e">
        <f>E834*VLOOKUP(B834,alimentos_master!$A:$O,15,FALSE())/100</f>
        <v>#N/A</v>
      </c>
      <c r="J834" s="4" t="e">
        <f>E834*VLOOKUP(B834,alimentos_master!$A:$R,18,FALSE())/100</f>
        <v>#N/A</v>
      </c>
    </row>
    <row r="835" spans="1:10" ht="15" customHeight="1" x14ac:dyDescent="0.2">
      <c r="A835" s="4">
        <v>834</v>
      </c>
      <c r="B835" s="4">
        <v>209</v>
      </c>
      <c r="C835" s="4" t="s">
        <v>311</v>
      </c>
      <c r="D835" s="4" t="s">
        <v>918</v>
      </c>
      <c r="E835" s="4">
        <v>100</v>
      </c>
      <c r="F835" s="4" t="s">
        <v>917</v>
      </c>
      <c r="G835" s="4" t="e">
        <f>E835*VLOOKUP(B835,alimentos_master!$A:$M,13,FALSE())/100</f>
        <v>#N/A</v>
      </c>
      <c r="H835" s="4" t="e">
        <f>E835*VLOOKUP(B835,alimentos_master!$A:$N,14,FALSE())/100</f>
        <v>#N/A</v>
      </c>
      <c r="I835" s="4" t="e">
        <f>E835*VLOOKUP(B835,alimentos_master!$A:$O,15,FALSE())/100</f>
        <v>#N/A</v>
      </c>
      <c r="J835" s="4" t="e">
        <f>E835*VLOOKUP(B835,alimentos_master!$A:$R,18,FALSE())/100</f>
        <v>#N/A</v>
      </c>
    </row>
    <row r="836" spans="1:10" ht="15" customHeight="1" x14ac:dyDescent="0.2">
      <c r="A836" s="4">
        <v>835</v>
      </c>
      <c r="B836" s="4">
        <v>209</v>
      </c>
      <c r="C836" s="4" t="s">
        <v>311</v>
      </c>
      <c r="D836" s="4" t="s">
        <v>919</v>
      </c>
      <c r="E836" s="4">
        <v>150</v>
      </c>
      <c r="F836" s="4" t="s">
        <v>917</v>
      </c>
      <c r="G836" s="4" t="e">
        <f>E836*VLOOKUP(B836,alimentos_master!$A:$M,13,FALSE())/100</f>
        <v>#N/A</v>
      </c>
      <c r="H836" s="4" t="e">
        <f>E836*VLOOKUP(B836,alimentos_master!$A:$N,14,FALSE())/100</f>
        <v>#N/A</v>
      </c>
      <c r="I836" s="4" t="e">
        <f>E836*VLOOKUP(B836,alimentos_master!$A:$O,15,FALSE())/100</f>
        <v>#N/A</v>
      </c>
      <c r="J836" s="4" t="e">
        <f>E836*VLOOKUP(B836,alimentos_master!$A:$R,18,FALSE())/100</f>
        <v>#N/A</v>
      </c>
    </row>
    <row r="837" spans="1:10" ht="15" customHeight="1" x14ac:dyDescent="0.2">
      <c r="A837" s="4">
        <v>836</v>
      </c>
      <c r="B837" s="4">
        <v>209</v>
      </c>
      <c r="C837" s="4" t="s">
        <v>311</v>
      </c>
      <c r="D837" s="4" t="s">
        <v>920</v>
      </c>
      <c r="E837" s="4">
        <v>200</v>
      </c>
      <c r="F837" s="4" t="s">
        <v>917</v>
      </c>
      <c r="G837" s="4" t="e">
        <f>E837*VLOOKUP(B837,alimentos_master!$A:$M,13,FALSE())/100</f>
        <v>#N/A</v>
      </c>
      <c r="H837" s="4" t="e">
        <f>E837*VLOOKUP(B837,alimentos_master!$A:$N,14,FALSE())/100</f>
        <v>#N/A</v>
      </c>
      <c r="I837" s="4" t="e">
        <f>E837*VLOOKUP(B837,alimentos_master!$A:$O,15,FALSE())/100</f>
        <v>#N/A</v>
      </c>
      <c r="J837" s="4" t="e">
        <f>E837*VLOOKUP(B837,alimentos_master!$A:$R,18,FALSE())/100</f>
        <v>#N/A</v>
      </c>
    </row>
    <row r="838" spans="1:10" ht="15" customHeight="1" x14ac:dyDescent="0.2">
      <c r="A838" s="4">
        <v>837</v>
      </c>
      <c r="B838" s="4">
        <v>210</v>
      </c>
      <c r="C838" s="4" t="s">
        <v>312</v>
      </c>
      <c r="D838" s="4" t="s">
        <v>916</v>
      </c>
      <c r="E838" s="4">
        <v>75</v>
      </c>
      <c r="F838" s="4" t="s">
        <v>917</v>
      </c>
      <c r="G838" s="4" t="e">
        <f>E838*VLOOKUP(B838,alimentos_master!$A:$M,13,FALSE())/100</f>
        <v>#N/A</v>
      </c>
      <c r="H838" s="4" t="e">
        <f>E838*VLOOKUP(B838,alimentos_master!$A:$N,14,FALSE())/100</f>
        <v>#N/A</v>
      </c>
      <c r="I838" s="4" t="e">
        <f>E838*VLOOKUP(B838,alimentos_master!$A:$O,15,FALSE())/100</f>
        <v>#N/A</v>
      </c>
      <c r="J838" s="4" t="e">
        <f>E838*VLOOKUP(B838,alimentos_master!$A:$R,18,FALSE())/100</f>
        <v>#N/A</v>
      </c>
    </row>
    <row r="839" spans="1:10" ht="15" customHeight="1" x14ac:dyDescent="0.2">
      <c r="A839" s="4">
        <v>838</v>
      </c>
      <c r="B839" s="4">
        <v>210</v>
      </c>
      <c r="C839" s="4" t="s">
        <v>312</v>
      </c>
      <c r="D839" s="4" t="s">
        <v>918</v>
      </c>
      <c r="E839" s="4">
        <v>100</v>
      </c>
      <c r="F839" s="4" t="s">
        <v>917</v>
      </c>
      <c r="G839" s="4" t="e">
        <f>E839*VLOOKUP(B839,alimentos_master!$A:$M,13,FALSE())/100</f>
        <v>#N/A</v>
      </c>
      <c r="H839" s="4" t="e">
        <f>E839*VLOOKUP(B839,alimentos_master!$A:$N,14,FALSE())/100</f>
        <v>#N/A</v>
      </c>
      <c r="I839" s="4" t="e">
        <f>E839*VLOOKUP(B839,alimentos_master!$A:$O,15,FALSE())/100</f>
        <v>#N/A</v>
      </c>
      <c r="J839" s="4" t="e">
        <f>E839*VLOOKUP(B839,alimentos_master!$A:$R,18,FALSE())/100</f>
        <v>#N/A</v>
      </c>
    </row>
    <row r="840" spans="1:10" ht="15" customHeight="1" x14ac:dyDescent="0.2">
      <c r="A840" s="4">
        <v>839</v>
      </c>
      <c r="B840" s="4">
        <v>210</v>
      </c>
      <c r="C840" s="4" t="s">
        <v>312</v>
      </c>
      <c r="D840" s="4" t="s">
        <v>919</v>
      </c>
      <c r="E840" s="4">
        <v>150</v>
      </c>
      <c r="F840" s="4" t="s">
        <v>917</v>
      </c>
      <c r="G840" s="4" t="e">
        <f>E840*VLOOKUP(B840,alimentos_master!$A:$M,13,FALSE())/100</f>
        <v>#N/A</v>
      </c>
      <c r="H840" s="4" t="e">
        <f>E840*VLOOKUP(B840,alimentos_master!$A:$N,14,FALSE())/100</f>
        <v>#N/A</v>
      </c>
      <c r="I840" s="4" t="e">
        <f>E840*VLOOKUP(B840,alimentos_master!$A:$O,15,FALSE())/100</f>
        <v>#N/A</v>
      </c>
      <c r="J840" s="4" t="e">
        <f>E840*VLOOKUP(B840,alimentos_master!$A:$R,18,FALSE())/100</f>
        <v>#N/A</v>
      </c>
    </row>
    <row r="841" spans="1:10" ht="15" customHeight="1" x14ac:dyDescent="0.2">
      <c r="A841" s="4">
        <v>840</v>
      </c>
      <c r="B841" s="4">
        <v>210</v>
      </c>
      <c r="C841" s="4" t="s">
        <v>312</v>
      </c>
      <c r="D841" s="4" t="s">
        <v>920</v>
      </c>
      <c r="E841" s="4">
        <v>200</v>
      </c>
      <c r="F841" s="4" t="s">
        <v>917</v>
      </c>
      <c r="G841" s="4" t="e">
        <f>E841*VLOOKUP(B841,alimentos_master!$A:$M,13,FALSE())/100</f>
        <v>#N/A</v>
      </c>
      <c r="H841" s="4" t="e">
        <f>E841*VLOOKUP(B841,alimentos_master!$A:$N,14,FALSE())/100</f>
        <v>#N/A</v>
      </c>
      <c r="I841" s="4" t="e">
        <f>E841*VLOOKUP(B841,alimentos_master!$A:$O,15,FALSE())/100</f>
        <v>#N/A</v>
      </c>
      <c r="J841" s="4" t="e">
        <f>E841*VLOOKUP(B841,alimentos_master!$A:$R,18,FALSE())/100</f>
        <v>#N/A</v>
      </c>
    </row>
    <row r="842" spans="1:10" ht="15" customHeight="1" x14ac:dyDescent="0.2">
      <c r="A842" s="4">
        <v>841</v>
      </c>
      <c r="B842" s="4">
        <v>211</v>
      </c>
      <c r="C842" s="4" t="s">
        <v>313</v>
      </c>
      <c r="D842" s="4" t="s">
        <v>916</v>
      </c>
      <c r="E842" s="4">
        <v>75</v>
      </c>
      <c r="F842" s="4" t="s">
        <v>917</v>
      </c>
      <c r="G842" s="4" t="e">
        <f>E842*VLOOKUP(B842,alimentos_master!$A:$M,13,FALSE())/100</f>
        <v>#N/A</v>
      </c>
      <c r="H842" s="4" t="e">
        <f>E842*VLOOKUP(B842,alimentos_master!$A:$N,14,FALSE())/100</f>
        <v>#N/A</v>
      </c>
      <c r="I842" s="4" t="e">
        <f>E842*VLOOKUP(B842,alimentos_master!$A:$O,15,FALSE())/100</f>
        <v>#N/A</v>
      </c>
      <c r="J842" s="4" t="e">
        <f>E842*VLOOKUP(B842,alimentos_master!$A:$R,18,FALSE())/100</f>
        <v>#N/A</v>
      </c>
    </row>
    <row r="843" spans="1:10" ht="15" customHeight="1" x14ac:dyDescent="0.2">
      <c r="A843" s="4">
        <v>842</v>
      </c>
      <c r="B843" s="4">
        <v>211</v>
      </c>
      <c r="C843" s="4" t="s">
        <v>313</v>
      </c>
      <c r="D843" s="4" t="s">
        <v>918</v>
      </c>
      <c r="E843" s="4">
        <v>100</v>
      </c>
      <c r="F843" s="4" t="s">
        <v>917</v>
      </c>
      <c r="G843" s="4" t="e">
        <f>E843*VLOOKUP(B843,alimentos_master!$A:$M,13,FALSE())/100</f>
        <v>#N/A</v>
      </c>
      <c r="H843" s="4" t="e">
        <f>E843*VLOOKUP(B843,alimentos_master!$A:$N,14,FALSE())/100</f>
        <v>#N/A</v>
      </c>
      <c r="I843" s="4" t="e">
        <f>E843*VLOOKUP(B843,alimentos_master!$A:$O,15,FALSE())/100</f>
        <v>#N/A</v>
      </c>
      <c r="J843" s="4" t="e">
        <f>E843*VLOOKUP(B843,alimentos_master!$A:$R,18,FALSE())/100</f>
        <v>#N/A</v>
      </c>
    </row>
    <row r="844" spans="1:10" ht="15" customHeight="1" x14ac:dyDescent="0.2">
      <c r="A844" s="4">
        <v>843</v>
      </c>
      <c r="B844" s="4">
        <v>211</v>
      </c>
      <c r="C844" s="4" t="s">
        <v>313</v>
      </c>
      <c r="D844" s="4" t="s">
        <v>919</v>
      </c>
      <c r="E844" s="4">
        <v>150</v>
      </c>
      <c r="F844" s="4" t="s">
        <v>917</v>
      </c>
      <c r="G844" s="4" t="e">
        <f>E844*VLOOKUP(B844,alimentos_master!$A:$M,13,FALSE())/100</f>
        <v>#N/A</v>
      </c>
      <c r="H844" s="4" t="e">
        <f>E844*VLOOKUP(B844,alimentos_master!$A:$N,14,FALSE())/100</f>
        <v>#N/A</v>
      </c>
      <c r="I844" s="4" t="e">
        <f>E844*VLOOKUP(B844,alimentos_master!$A:$O,15,FALSE())/100</f>
        <v>#N/A</v>
      </c>
      <c r="J844" s="4" t="e">
        <f>E844*VLOOKUP(B844,alimentos_master!$A:$R,18,FALSE())/100</f>
        <v>#N/A</v>
      </c>
    </row>
    <row r="845" spans="1:10" ht="15" customHeight="1" x14ac:dyDescent="0.2">
      <c r="A845" s="4">
        <v>844</v>
      </c>
      <c r="B845" s="4">
        <v>211</v>
      </c>
      <c r="C845" s="4" t="s">
        <v>313</v>
      </c>
      <c r="D845" s="4" t="s">
        <v>920</v>
      </c>
      <c r="E845" s="4">
        <v>200</v>
      </c>
      <c r="F845" s="4" t="s">
        <v>917</v>
      </c>
      <c r="G845" s="4" t="e">
        <f>E845*VLOOKUP(B845,alimentos_master!$A:$M,13,FALSE())/100</f>
        <v>#N/A</v>
      </c>
      <c r="H845" s="4" t="e">
        <f>E845*VLOOKUP(B845,alimentos_master!$A:$N,14,FALSE())/100</f>
        <v>#N/A</v>
      </c>
      <c r="I845" s="4" t="e">
        <f>E845*VLOOKUP(B845,alimentos_master!$A:$O,15,FALSE())/100</f>
        <v>#N/A</v>
      </c>
      <c r="J845" s="4" t="e">
        <f>E845*VLOOKUP(B845,alimentos_master!$A:$R,18,FALSE())/100</f>
        <v>#N/A</v>
      </c>
    </row>
    <row r="846" spans="1:10" ht="15" customHeight="1" x14ac:dyDescent="0.2">
      <c r="A846" s="4">
        <v>845</v>
      </c>
      <c r="B846" s="4">
        <v>212</v>
      </c>
      <c r="C846" s="4" t="s">
        <v>315</v>
      </c>
      <c r="D846" s="4" t="s">
        <v>916</v>
      </c>
      <c r="E846" s="4">
        <v>75</v>
      </c>
      <c r="F846" s="4" t="s">
        <v>917</v>
      </c>
      <c r="G846" s="4" t="e">
        <f>E846*VLOOKUP(B846,alimentos_master!$A:$M,13,FALSE())/100</f>
        <v>#N/A</v>
      </c>
      <c r="H846" s="4" t="e">
        <f>E846*VLOOKUP(B846,alimentos_master!$A:$N,14,FALSE())/100</f>
        <v>#N/A</v>
      </c>
      <c r="I846" s="4" t="e">
        <f>E846*VLOOKUP(B846,alimentos_master!$A:$O,15,FALSE())/100</f>
        <v>#N/A</v>
      </c>
      <c r="J846" s="4" t="e">
        <f>E846*VLOOKUP(B846,alimentos_master!$A:$R,18,FALSE())/100</f>
        <v>#N/A</v>
      </c>
    </row>
    <row r="847" spans="1:10" ht="15" customHeight="1" x14ac:dyDescent="0.2">
      <c r="A847" s="4">
        <v>846</v>
      </c>
      <c r="B847" s="4">
        <v>212</v>
      </c>
      <c r="C847" s="4" t="s">
        <v>315</v>
      </c>
      <c r="D847" s="4" t="s">
        <v>918</v>
      </c>
      <c r="E847" s="4">
        <v>100</v>
      </c>
      <c r="F847" s="4" t="s">
        <v>917</v>
      </c>
      <c r="G847" s="4" t="e">
        <f>E847*VLOOKUP(B847,alimentos_master!$A:$M,13,FALSE())/100</f>
        <v>#N/A</v>
      </c>
      <c r="H847" s="4" t="e">
        <f>E847*VLOOKUP(B847,alimentos_master!$A:$N,14,FALSE())/100</f>
        <v>#N/A</v>
      </c>
      <c r="I847" s="4" t="e">
        <f>E847*VLOOKUP(B847,alimentos_master!$A:$O,15,FALSE())/100</f>
        <v>#N/A</v>
      </c>
      <c r="J847" s="4" t="e">
        <f>E847*VLOOKUP(B847,alimentos_master!$A:$R,18,FALSE())/100</f>
        <v>#N/A</v>
      </c>
    </row>
    <row r="848" spans="1:10" ht="15" customHeight="1" x14ac:dyDescent="0.2">
      <c r="A848" s="4">
        <v>847</v>
      </c>
      <c r="B848" s="4">
        <v>212</v>
      </c>
      <c r="C848" s="4" t="s">
        <v>315</v>
      </c>
      <c r="D848" s="4" t="s">
        <v>919</v>
      </c>
      <c r="E848" s="4">
        <v>150</v>
      </c>
      <c r="F848" s="4" t="s">
        <v>917</v>
      </c>
      <c r="G848" s="4" t="e">
        <f>E848*VLOOKUP(B848,alimentos_master!$A:$M,13,FALSE())/100</f>
        <v>#N/A</v>
      </c>
      <c r="H848" s="4" t="e">
        <f>E848*VLOOKUP(B848,alimentos_master!$A:$N,14,FALSE())/100</f>
        <v>#N/A</v>
      </c>
      <c r="I848" s="4" t="e">
        <f>E848*VLOOKUP(B848,alimentos_master!$A:$O,15,FALSE())/100</f>
        <v>#N/A</v>
      </c>
      <c r="J848" s="4" t="e">
        <f>E848*VLOOKUP(B848,alimentos_master!$A:$R,18,FALSE())/100</f>
        <v>#N/A</v>
      </c>
    </row>
    <row r="849" spans="1:10" ht="15" customHeight="1" x14ac:dyDescent="0.2">
      <c r="A849" s="4">
        <v>848</v>
      </c>
      <c r="B849" s="4">
        <v>212</v>
      </c>
      <c r="C849" s="4" t="s">
        <v>315</v>
      </c>
      <c r="D849" s="4" t="s">
        <v>920</v>
      </c>
      <c r="E849" s="4">
        <v>200</v>
      </c>
      <c r="F849" s="4" t="s">
        <v>917</v>
      </c>
      <c r="G849" s="4" t="e">
        <f>E849*VLOOKUP(B849,alimentos_master!$A:$M,13,FALSE())/100</f>
        <v>#N/A</v>
      </c>
      <c r="H849" s="4" t="e">
        <f>E849*VLOOKUP(B849,alimentos_master!$A:$N,14,FALSE())/100</f>
        <v>#N/A</v>
      </c>
      <c r="I849" s="4" t="e">
        <f>E849*VLOOKUP(B849,alimentos_master!$A:$O,15,FALSE())/100</f>
        <v>#N/A</v>
      </c>
      <c r="J849" s="4" t="e">
        <f>E849*VLOOKUP(B849,alimentos_master!$A:$R,18,FALSE())/100</f>
        <v>#N/A</v>
      </c>
    </row>
    <row r="850" spans="1:10" ht="15" customHeight="1" x14ac:dyDescent="0.2">
      <c r="A850" s="4">
        <v>849</v>
      </c>
      <c r="B850" s="4">
        <v>213</v>
      </c>
      <c r="C850" s="4" t="s">
        <v>316</v>
      </c>
      <c r="D850" s="4" t="s">
        <v>916</v>
      </c>
      <c r="E850" s="4">
        <v>75</v>
      </c>
      <c r="F850" s="4" t="s">
        <v>917</v>
      </c>
      <c r="G850" s="4" t="e">
        <f>E850*VLOOKUP(B850,alimentos_master!$A:$M,13,FALSE())/100</f>
        <v>#N/A</v>
      </c>
      <c r="H850" s="4" t="e">
        <f>E850*VLOOKUP(B850,alimentos_master!$A:$N,14,FALSE())/100</f>
        <v>#N/A</v>
      </c>
      <c r="I850" s="4" t="e">
        <f>E850*VLOOKUP(B850,alimentos_master!$A:$O,15,FALSE())/100</f>
        <v>#N/A</v>
      </c>
      <c r="J850" s="4" t="e">
        <f>E850*VLOOKUP(B850,alimentos_master!$A:$R,18,FALSE())/100</f>
        <v>#N/A</v>
      </c>
    </row>
    <row r="851" spans="1:10" ht="15" customHeight="1" x14ac:dyDescent="0.2">
      <c r="A851" s="4">
        <v>850</v>
      </c>
      <c r="B851" s="4">
        <v>213</v>
      </c>
      <c r="C851" s="4" t="s">
        <v>316</v>
      </c>
      <c r="D851" s="4" t="s">
        <v>918</v>
      </c>
      <c r="E851" s="4">
        <v>100</v>
      </c>
      <c r="F851" s="4" t="s">
        <v>917</v>
      </c>
      <c r="G851" s="4" t="e">
        <f>E851*VLOOKUP(B851,alimentos_master!$A:$M,13,FALSE())/100</f>
        <v>#N/A</v>
      </c>
      <c r="H851" s="4" t="e">
        <f>E851*VLOOKUP(B851,alimentos_master!$A:$N,14,FALSE())/100</f>
        <v>#N/A</v>
      </c>
      <c r="I851" s="4" t="e">
        <f>E851*VLOOKUP(B851,alimentos_master!$A:$O,15,FALSE())/100</f>
        <v>#N/A</v>
      </c>
      <c r="J851" s="4" t="e">
        <f>E851*VLOOKUP(B851,alimentos_master!$A:$R,18,FALSE())/100</f>
        <v>#N/A</v>
      </c>
    </row>
    <row r="852" spans="1:10" ht="15" customHeight="1" x14ac:dyDescent="0.2">
      <c r="A852" s="4">
        <v>851</v>
      </c>
      <c r="B852" s="4">
        <v>213</v>
      </c>
      <c r="C852" s="4" t="s">
        <v>316</v>
      </c>
      <c r="D852" s="4" t="s">
        <v>919</v>
      </c>
      <c r="E852" s="4">
        <v>150</v>
      </c>
      <c r="F852" s="4" t="s">
        <v>917</v>
      </c>
      <c r="G852" s="4" t="e">
        <f>E852*VLOOKUP(B852,alimentos_master!$A:$M,13,FALSE())/100</f>
        <v>#N/A</v>
      </c>
      <c r="H852" s="4" t="e">
        <f>E852*VLOOKUP(B852,alimentos_master!$A:$N,14,FALSE())/100</f>
        <v>#N/A</v>
      </c>
      <c r="I852" s="4" t="e">
        <f>E852*VLOOKUP(B852,alimentos_master!$A:$O,15,FALSE())/100</f>
        <v>#N/A</v>
      </c>
      <c r="J852" s="4" t="e">
        <f>E852*VLOOKUP(B852,alimentos_master!$A:$R,18,FALSE())/100</f>
        <v>#N/A</v>
      </c>
    </row>
    <row r="853" spans="1:10" ht="15" customHeight="1" x14ac:dyDescent="0.2">
      <c r="A853" s="4">
        <v>852</v>
      </c>
      <c r="B853" s="4">
        <v>213</v>
      </c>
      <c r="C853" s="4" t="s">
        <v>316</v>
      </c>
      <c r="D853" s="4" t="s">
        <v>920</v>
      </c>
      <c r="E853" s="4">
        <v>200</v>
      </c>
      <c r="F853" s="4" t="s">
        <v>917</v>
      </c>
      <c r="G853" s="4" t="e">
        <f>E853*VLOOKUP(B853,alimentos_master!$A:$M,13,FALSE())/100</f>
        <v>#N/A</v>
      </c>
      <c r="H853" s="4" t="e">
        <f>E853*VLOOKUP(B853,alimentos_master!$A:$N,14,FALSE())/100</f>
        <v>#N/A</v>
      </c>
      <c r="I853" s="4" t="e">
        <f>E853*VLOOKUP(B853,alimentos_master!$A:$O,15,FALSE())/100</f>
        <v>#N/A</v>
      </c>
      <c r="J853" s="4" t="e">
        <f>E853*VLOOKUP(B853,alimentos_master!$A:$R,18,FALSE())/100</f>
        <v>#N/A</v>
      </c>
    </row>
    <row r="854" spans="1:10" ht="15" customHeight="1" x14ac:dyDescent="0.2">
      <c r="A854" s="4">
        <v>853</v>
      </c>
      <c r="B854" s="4">
        <v>214</v>
      </c>
      <c r="C854" s="4" t="s">
        <v>317</v>
      </c>
      <c r="D854" s="4" t="s">
        <v>916</v>
      </c>
      <c r="E854" s="4">
        <v>75</v>
      </c>
      <c r="F854" s="4" t="s">
        <v>917</v>
      </c>
      <c r="G854" s="4" t="e">
        <f>E854*VLOOKUP(B854,alimentos_master!$A:$M,13,FALSE())/100</f>
        <v>#N/A</v>
      </c>
      <c r="H854" s="4" t="e">
        <f>E854*VLOOKUP(B854,alimentos_master!$A:$N,14,FALSE())/100</f>
        <v>#N/A</v>
      </c>
      <c r="I854" s="4" t="e">
        <f>E854*VLOOKUP(B854,alimentos_master!$A:$O,15,FALSE())/100</f>
        <v>#N/A</v>
      </c>
      <c r="J854" s="4" t="e">
        <f>E854*VLOOKUP(B854,alimentos_master!$A:$R,18,FALSE())/100</f>
        <v>#N/A</v>
      </c>
    </row>
    <row r="855" spans="1:10" ht="15" customHeight="1" x14ac:dyDescent="0.2">
      <c r="A855" s="4">
        <v>854</v>
      </c>
      <c r="B855" s="4">
        <v>214</v>
      </c>
      <c r="C855" s="4" t="s">
        <v>317</v>
      </c>
      <c r="D855" s="4" t="s">
        <v>918</v>
      </c>
      <c r="E855" s="4">
        <v>100</v>
      </c>
      <c r="F855" s="4" t="s">
        <v>917</v>
      </c>
      <c r="G855" s="4" t="e">
        <f>E855*VLOOKUP(B855,alimentos_master!$A:$M,13,FALSE())/100</f>
        <v>#N/A</v>
      </c>
      <c r="H855" s="4" t="e">
        <f>E855*VLOOKUP(B855,alimentos_master!$A:$N,14,FALSE())/100</f>
        <v>#N/A</v>
      </c>
      <c r="I855" s="4" t="e">
        <f>E855*VLOOKUP(B855,alimentos_master!$A:$O,15,FALSE())/100</f>
        <v>#N/A</v>
      </c>
      <c r="J855" s="4" t="e">
        <f>E855*VLOOKUP(B855,alimentos_master!$A:$R,18,FALSE())/100</f>
        <v>#N/A</v>
      </c>
    </row>
    <row r="856" spans="1:10" ht="15" customHeight="1" x14ac:dyDescent="0.2">
      <c r="A856" s="4">
        <v>855</v>
      </c>
      <c r="B856" s="4">
        <v>214</v>
      </c>
      <c r="C856" s="4" t="s">
        <v>317</v>
      </c>
      <c r="D856" s="4" t="s">
        <v>919</v>
      </c>
      <c r="E856" s="4">
        <v>150</v>
      </c>
      <c r="F856" s="4" t="s">
        <v>917</v>
      </c>
      <c r="G856" s="4" t="e">
        <f>E856*VLOOKUP(B856,alimentos_master!$A:$M,13,FALSE())/100</f>
        <v>#N/A</v>
      </c>
      <c r="H856" s="4" t="e">
        <f>E856*VLOOKUP(B856,alimentos_master!$A:$N,14,FALSE())/100</f>
        <v>#N/A</v>
      </c>
      <c r="I856" s="4" t="e">
        <f>E856*VLOOKUP(B856,alimentos_master!$A:$O,15,FALSE())/100</f>
        <v>#N/A</v>
      </c>
      <c r="J856" s="4" t="e">
        <f>E856*VLOOKUP(B856,alimentos_master!$A:$R,18,FALSE())/100</f>
        <v>#N/A</v>
      </c>
    </row>
    <row r="857" spans="1:10" ht="15" customHeight="1" x14ac:dyDescent="0.2">
      <c r="A857" s="4">
        <v>856</v>
      </c>
      <c r="B857" s="4">
        <v>214</v>
      </c>
      <c r="C857" s="4" t="s">
        <v>317</v>
      </c>
      <c r="D857" s="4" t="s">
        <v>920</v>
      </c>
      <c r="E857" s="4">
        <v>200</v>
      </c>
      <c r="F857" s="4" t="s">
        <v>917</v>
      </c>
      <c r="G857" s="4" t="e">
        <f>E857*VLOOKUP(B857,alimentos_master!$A:$M,13,FALSE())/100</f>
        <v>#N/A</v>
      </c>
      <c r="H857" s="4" t="e">
        <f>E857*VLOOKUP(B857,alimentos_master!$A:$N,14,FALSE())/100</f>
        <v>#N/A</v>
      </c>
      <c r="I857" s="4" t="e">
        <f>E857*VLOOKUP(B857,alimentos_master!$A:$O,15,FALSE())/100</f>
        <v>#N/A</v>
      </c>
      <c r="J857" s="4" t="e">
        <f>E857*VLOOKUP(B857,alimentos_master!$A:$R,18,FALSE())/100</f>
        <v>#N/A</v>
      </c>
    </row>
    <row r="858" spans="1:10" ht="15" customHeight="1" x14ac:dyDescent="0.2">
      <c r="A858" s="4">
        <v>857</v>
      </c>
      <c r="B858" s="4">
        <v>215</v>
      </c>
      <c r="C858" s="4" t="s">
        <v>319</v>
      </c>
      <c r="D858" s="4" t="s">
        <v>916</v>
      </c>
      <c r="E858" s="4">
        <v>75</v>
      </c>
      <c r="F858" s="4" t="s">
        <v>917</v>
      </c>
      <c r="G858" s="4" t="e">
        <f>E858*VLOOKUP(B858,alimentos_master!$A:$M,13,FALSE())/100</f>
        <v>#N/A</v>
      </c>
      <c r="H858" s="4" t="e">
        <f>E858*VLOOKUP(B858,alimentos_master!$A:$N,14,FALSE())/100</f>
        <v>#N/A</v>
      </c>
      <c r="I858" s="4" t="e">
        <f>E858*VLOOKUP(B858,alimentos_master!$A:$O,15,FALSE())/100</f>
        <v>#N/A</v>
      </c>
      <c r="J858" s="4" t="e">
        <f>E858*VLOOKUP(B858,alimentos_master!$A:$R,18,FALSE())/100</f>
        <v>#N/A</v>
      </c>
    </row>
    <row r="859" spans="1:10" ht="15" customHeight="1" x14ac:dyDescent="0.2">
      <c r="A859" s="4">
        <v>858</v>
      </c>
      <c r="B859" s="4">
        <v>215</v>
      </c>
      <c r="C859" s="4" t="s">
        <v>319</v>
      </c>
      <c r="D859" s="4" t="s">
        <v>918</v>
      </c>
      <c r="E859" s="4">
        <v>100</v>
      </c>
      <c r="F859" s="4" t="s">
        <v>917</v>
      </c>
      <c r="G859" s="4" t="e">
        <f>E859*VLOOKUP(B859,alimentos_master!$A:$M,13,FALSE())/100</f>
        <v>#N/A</v>
      </c>
      <c r="H859" s="4" t="e">
        <f>E859*VLOOKUP(B859,alimentos_master!$A:$N,14,FALSE())/100</f>
        <v>#N/A</v>
      </c>
      <c r="I859" s="4" t="e">
        <f>E859*VLOOKUP(B859,alimentos_master!$A:$O,15,FALSE())/100</f>
        <v>#N/A</v>
      </c>
      <c r="J859" s="4" t="e">
        <f>E859*VLOOKUP(B859,alimentos_master!$A:$R,18,FALSE())/100</f>
        <v>#N/A</v>
      </c>
    </row>
    <row r="860" spans="1:10" ht="15" customHeight="1" x14ac:dyDescent="0.2">
      <c r="A860" s="4">
        <v>859</v>
      </c>
      <c r="B860" s="4">
        <v>215</v>
      </c>
      <c r="C860" s="4" t="s">
        <v>319</v>
      </c>
      <c r="D860" s="4" t="s">
        <v>919</v>
      </c>
      <c r="E860" s="4">
        <v>150</v>
      </c>
      <c r="F860" s="4" t="s">
        <v>917</v>
      </c>
      <c r="G860" s="4" t="e">
        <f>E860*VLOOKUP(B860,alimentos_master!$A:$M,13,FALSE())/100</f>
        <v>#N/A</v>
      </c>
      <c r="H860" s="4" t="e">
        <f>E860*VLOOKUP(B860,alimentos_master!$A:$N,14,FALSE())/100</f>
        <v>#N/A</v>
      </c>
      <c r="I860" s="4" t="e">
        <f>E860*VLOOKUP(B860,alimentos_master!$A:$O,15,FALSE())/100</f>
        <v>#N/A</v>
      </c>
      <c r="J860" s="4" t="e">
        <f>E860*VLOOKUP(B860,alimentos_master!$A:$R,18,FALSE())/100</f>
        <v>#N/A</v>
      </c>
    </row>
    <row r="861" spans="1:10" ht="15" customHeight="1" x14ac:dyDescent="0.2">
      <c r="A861" s="4">
        <v>860</v>
      </c>
      <c r="B861" s="4">
        <v>215</v>
      </c>
      <c r="C861" s="4" t="s">
        <v>319</v>
      </c>
      <c r="D861" s="4" t="s">
        <v>920</v>
      </c>
      <c r="E861" s="4">
        <v>200</v>
      </c>
      <c r="F861" s="4" t="s">
        <v>917</v>
      </c>
      <c r="G861" s="4" t="e">
        <f>E861*VLOOKUP(B861,alimentos_master!$A:$M,13,FALSE())/100</f>
        <v>#N/A</v>
      </c>
      <c r="H861" s="4" t="e">
        <f>E861*VLOOKUP(B861,alimentos_master!$A:$N,14,FALSE())/100</f>
        <v>#N/A</v>
      </c>
      <c r="I861" s="4" t="e">
        <f>E861*VLOOKUP(B861,alimentos_master!$A:$O,15,FALSE())/100</f>
        <v>#N/A</v>
      </c>
      <c r="J861" s="4" t="e">
        <f>E861*VLOOKUP(B861,alimentos_master!$A:$R,18,FALSE())/100</f>
        <v>#N/A</v>
      </c>
    </row>
    <row r="862" spans="1:10" ht="15" customHeight="1" x14ac:dyDescent="0.2">
      <c r="A862" s="4">
        <v>861</v>
      </c>
      <c r="B862" s="4">
        <v>216</v>
      </c>
      <c r="C862" s="4" t="s">
        <v>320</v>
      </c>
      <c r="D862" s="4" t="s">
        <v>916</v>
      </c>
      <c r="E862" s="4">
        <v>75</v>
      </c>
      <c r="F862" s="4" t="s">
        <v>917</v>
      </c>
      <c r="G862" s="4" t="e">
        <f>E862*VLOOKUP(B862,alimentos_master!$A:$M,13,FALSE())/100</f>
        <v>#N/A</v>
      </c>
      <c r="H862" s="4" t="e">
        <f>E862*VLOOKUP(B862,alimentos_master!$A:$N,14,FALSE())/100</f>
        <v>#N/A</v>
      </c>
      <c r="I862" s="4" t="e">
        <f>E862*VLOOKUP(B862,alimentos_master!$A:$O,15,FALSE())/100</f>
        <v>#N/A</v>
      </c>
      <c r="J862" s="4" t="e">
        <f>E862*VLOOKUP(B862,alimentos_master!$A:$R,18,FALSE())/100</f>
        <v>#N/A</v>
      </c>
    </row>
    <row r="863" spans="1:10" ht="15" customHeight="1" x14ac:dyDescent="0.2">
      <c r="A863" s="4">
        <v>862</v>
      </c>
      <c r="B863" s="4">
        <v>216</v>
      </c>
      <c r="C863" s="4" t="s">
        <v>320</v>
      </c>
      <c r="D863" s="4" t="s">
        <v>918</v>
      </c>
      <c r="E863" s="4">
        <v>100</v>
      </c>
      <c r="F863" s="4" t="s">
        <v>917</v>
      </c>
      <c r="G863" s="4" t="e">
        <f>E863*VLOOKUP(B863,alimentos_master!$A:$M,13,FALSE())/100</f>
        <v>#N/A</v>
      </c>
      <c r="H863" s="4" t="e">
        <f>E863*VLOOKUP(B863,alimentos_master!$A:$N,14,FALSE())/100</f>
        <v>#N/A</v>
      </c>
      <c r="I863" s="4" t="e">
        <f>E863*VLOOKUP(B863,alimentos_master!$A:$O,15,FALSE())/100</f>
        <v>#N/A</v>
      </c>
      <c r="J863" s="4" t="e">
        <f>E863*VLOOKUP(B863,alimentos_master!$A:$R,18,FALSE())/100</f>
        <v>#N/A</v>
      </c>
    </row>
    <row r="864" spans="1:10" ht="15" customHeight="1" x14ac:dyDescent="0.2">
      <c r="A864" s="4">
        <v>863</v>
      </c>
      <c r="B864" s="4">
        <v>216</v>
      </c>
      <c r="C864" s="4" t="s">
        <v>320</v>
      </c>
      <c r="D864" s="4" t="s">
        <v>919</v>
      </c>
      <c r="E864" s="4">
        <v>150</v>
      </c>
      <c r="F864" s="4" t="s">
        <v>917</v>
      </c>
      <c r="G864" s="4" t="e">
        <f>E864*VLOOKUP(B864,alimentos_master!$A:$M,13,FALSE())/100</f>
        <v>#N/A</v>
      </c>
      <c r="H864" s="4" t="e">
        <f>E864*VLOOKUP(B864,alimentos_master!$A:$N,14,FALSE())/100</f>
        <v>#N/A</v>
      </c>
      <c r="I864" s="4" t="e">
        <f>E864*VLOOKUP(B864,alimentos_master!$A:$O,15,FALSE())/100</f>
        <v>#N/A</v>
      </c>
      <c r="J864" s="4" t="e">
        <f>E864*VLOOKUP(B864,alimentos_master!$A:$R,18,FALSE())/100</f>
        <v>#N/A</v>
      </c>
    </row>
    <row r="865" spans="1:10" ht="15" customHeight="1" x14ac:dyDescent="0.2">
      <c r="A865" s="4">
        <v>864</v>
      </c>
      <c r="B865" s="4">
        <v>216</v>
      </c>
      <c r="C865" s="4" t="s">
        <v>320</v>
      </c>
      <c r="D865" s="4" t="s">
        <v>920</v>
      </c>
      <c r="E865" s="4">
        <v>200</v>
      </c>
      <c r="F865" s="4" t="s">
        <v>917</v>
      </c>
      <c r="G865" s="4" t="e">
        <f>E865*VLOOKUP(B865,alimentos_master!$A:$M,13,FALSE())/100</f>
        <v>#N/A</v>
      </c>
      <c r="H865" s="4" t="e">
        <f>E865*VLOOKUP(B865,alimentos_master!$A:$N,14,FALSE())/100</f>
        <v>#N/A</v>
      </c>
      <c r="I865" s="4" t="e">
        <f>E865*VLOOKUP(B865,alimentos_master!$A:$O,15,FALSE())/100</f>
        <v>#N/A</v>
      </c>
      <c r="J865" s="4" t="e">
        <f>E865*VLOOKUP(B865,alimentos_master!$A:$R,18,FALSE())/100</f>
        <v>#N/A</v>
      </c>
    </row>
    <row r="866" spans="1:10" ht="15" customHeight="1" x14ac:dyDescent="0.2">
      <c r="A866" s="4">
        <v>865</v>
      </c>
      <c r="B866" s="4">
        <v>217</v>
      </c>
      <c r="C866" s="4" t="s">
        <v>321</v>
      </c>
      <c r="D866" s="4" t="s">
        <v>916</v>
      </c>
      <c r="E866" s="4">
        <v>75</v>
      </c>
      <c r="F866" s="4" t="s">
        <v>917</v>
      </c>
      <c r="G866" s="4">
        <f>E866*VLOOKUP(B866,alimentos_master!$A:$M,13,FALSE())/100</f>
        <v>200.25</v>
      </c>
      <c r="H866" s="4">
        <f>E866*VLOOKUP(B866,alimentos_master!$A:$N,14,FALSE())/100</f>
        <v>2.31</v>
      </c>
      <c r="I866" s="4">
        <f>E866*VLOOKUP(B866,alimentos_master!$A:$O,15,FALSE())/100</f>
        <v>47.88</v>
      </c>
      <c r="J866" s="4">
        <f>E866*VLOOKUP(B866,alimentos_master!$A:$R,18,FALSE())/100</f>
        <v>0.63</v>
      </c>
    </row>
    <row r="867" spans="1:10" ht="15" customHeight="1" x14ac:dyDescent="0.2">
      <c r="A867" s="4">
        <v>866</v>
      </c>
      <c r="B867" s="4">
        <v>217</v>
      </c>
      <c r="C867" s="4" t="s">
        <v>321</v>
      </c>
      <c r="D867" s="4" t="s">
        <v>918</v>
      </c>
      <c r="E867" s="4">
        <v>100</v>
      </c>
      <c r="F867" s="4" t="s">
        <v>917</v>
      </c>
      <c r="G867" s="4">
        <f>E867*VLOOKUP(B867,alimentos_master!$A:$M,13,FALSE())/100</f>
        <v>267</v>
      </c>
      <c r="H867" s="4">
        <f>E867*VLOOKUP(B867,alimentos_master!$A:$N,14,FALSE())/100</f>
        <v>3.08</v>
      </c>
      <c r="I867" s="4">
        <f>E867*VLOOKUP(B867,alimentos_master!$A:$O,15,FALSE())/100</f>
        <v>63.84</v>
      </c>
      <c r="J867" s="4">
        <f>E867*VLOOKUP(B867,alimentos_master!$A:$R,18,FALSE())/100</f>
        <v>0.84</v>
      </c>
    </row>
    <row r="868" spans="1:10" ht="15" customHeight="1" x14ac:dyDescent="0.2">
      <c r="A868" s="4">
        <v>867</v>
      </c>
      <c r="B868" s="4">
        <v>217</v>
      </c>
      <c r="C868" s="4" t="s">
        <v>321</v>
      </c>
      <c r="D868" s="4" t="s">
        <v>919</v>
      </c>
      <c r="E868" s="4">
        <v>150</v>
      </c>
      <c r="F868" s="4" t="s">
        <v>917</v>
      </c>
      <c r="G868" s="4">
        <f>E868*VLOOKUP(B868,alimentos_master!$A:$M,13,FALSE())/100</f>
        <v>400.5</v>
      </c>
      <c r="H868" s="4">
        <f>E868*VLOOKUP(B868,alimentos_master!$A:$N,14,FALSE())/100</f>
        <v>4.62</v>
      </c>
      <c r="I868" s="4">
        <f>E868*VLOOKUP(B868,alimentos_master!$A:$O,15,FALSE())/100</f>
        <v>95.76</v>
      </c>
      <c r="J868" s="4">
        <f>E868*VLOOKUP(B868,alimentos_master!$A:$R,18,FALSE())/100</f>
        <v>1.26</v>
      </c>
    </row>
    <row r="869" spans="1:10" ht="15" customHeight="1" x14ac:dyDescent="0.2">
      <c r="A869" s="4">
        <v>868</v>
      </c>
      <c r="B869" s="4">
        <v>217</v>
      </c>
      <c r="C869" s="4" t="s">
        <v>321</v>
      </c>
      <c r="D869" s="4" t="s">
        <v>920</v>
      </c>
      <c r="E869" s="4">
        <v>200</v>
      </c>
      <c r="F869" s="4" t="s">
        <v>917</v>
      </c>
      <c r="G869" s="4">
        <f>E869*VLOOKUP(B869,alimentos_master!$A:$M,13,FALSE())/100</f>
        <v>534</v>
      </c>
      <c r="H869" s="4">
        <f>E869*VLOOKUP(B869,alimentos_master!$A:$N,14,FALSE())/100</f>
        <v>6.16</v>
      </c>
      <c r="I869" s="4">
        <f>E869*VLOOKUP(B869,alimentos_master!$A:$O,15,FALSE())/100</f>
        <v>127.68</v>
      </c>
      <c r="J869" s="4">
        <f>E869*VLOOKUP(B869,alimentos_master!$A:$R,18,FALSE())/100</f>
        <v>1.68</v>
      </c>
    </row>
    <row r="870" spans="1:10" ht="15" customHeight="1" x14ac:dyDescent="0.2">
      <c r="A870" s="4">
        <v>869</v>
      </c>
      <c r="B870" s="4">
        <v>218</v>
      </c>
      <c r="C870" s="4" t="s">
        <v>323</v>
      </c>
      <c r="D870" s="4" t="s">
        <v>916</v>
      </c>
      <c r="E870" s="4">
        <v>75</v>
      </c>
      <c r="F870" s="4" t="s">
        <v>917</v>
      </c>
      <c r="G870" s="4" t="e">
        <f>E870*VLOOKUP(B870,alimentos_master!$A:$M,13,FALSE())/100</f>
        <v>#N/A</v>
      </c>
      <c r="H870" s="4" t="e">
        <f>E870*VLOOKUP(B870,alimentos_master!$A:$N,14,FALSE())/100</f>
        <v>#N/A</v>
      </c>
      <c r="I870" s="4" t="e">
        <f>E870*VLOOKUP(B870,alimentos_master!$A:$O,15,FALSE())/100</f>
        <v>#N/A</v>
      </c>
      <c r="J870" s="4" t="e">
        <f>E870*VLOOKUP(B870,alimentos_master!$A:$R,18,FALSE())/100</f>
        <v>#N/A</v>
      </c>
    </row>
    <row r="871" spans="1:10" ht="15" customHeight="1" x14ac:dyDescent="0.2">
      <c r="A871" s="4">
        <v>870</v>
      </c>
      <c r="B871" s="4">
        <v>218</v>
      </c>
      <c r="C871" s="4" t="s">
        <v>323</v>
      </c>
      <c r="D871" s="4" t="s">
        <v>918</v>
      </c>
      <c r="E871" s="4">
        <v>100</v>
      </c>
      <c r="F871" s="4" t="s">
        <v>917</v>
      </c>
      <c r="G871" s="4" t="e">
        <f>E871*VLOOKUP(B871,alimentos_master!$A:$M,13,FALSE())/100</f>
        <v>#N/A</v>
      </c>
      <c r="H871" s="4" t="e">
        <f>E871*VLOOKUP(B871,alimentos_master!$A:$N,14,FALSE())/100</f>
        <v>#N/A</v>
      </c>
      <c r="I871" s="4" t="e">
        <f>E871*VLOOKUP(B871,alimentos_master!$A:$O,15,FALSE())/100</f>
        <v>#N/A</v>
      </c>
      <c r="J871" s="4" t="e">
        <f>E871*VLOOKUP(B871,alimentos_master!$A:$R,18,FALSE())/100</f>
        <v>#N/A</v>
      </c>
    </row>
    <row r="872" spans="1:10" ht="15" customHeight="1" x14ac:dyDescent="0.2">
      <c r="A872" s="4">
        <v>871</v>
      </c>
      <c r="B872" s="4">
        <v>218</v>
      </c>
      <c r="C872" s="4" t="s">
        <v>323</v>
      </c>
      <c r="D872" s="4" t="s">
        <v>919</v>
      </c>
      <c r="E872" s="4">
        <v>150</v>
      </c>
      <c r="F872" s="4" t="s">
        <v>917</v>
      </c>
      <c r="G872" s="4" t="e">
        <f>E872*VLOOKUP(B872,alimentos_master!$A:$M,13,FALSE())/100</f>
        <v>#N/A</v>
      </c>
      <c r="H872" s="4" t="e">
        <f>E872*VLOOKUP(B872,alimentos_master!$A:$N,14,FALSE())/100</f>
        <v>#N/A</v>
      </c>
      <c r="I872" s="4" t="e">
        <f>E872*VLOOKUP(B872,alimentos_master!$A:$O,15,FALSE())/100</f>
        <v>#N/A</v>
      </c>
      <c r="J872" s="4" t="e">
        <f>E872*VLOOKUP(B872,alimentos_master!$A:$R,18,FALSE())/100</f>
        <v>#N/A</v>
      </c>
    </row>
    <row r="873" spans="1:10" ht="15" customHeight="1" x14ac:dyDescent="0.2">
      <c r="A873" s="4">
        <v>872</v>
      </c>
      <c r="B873" s="4">
        <v>218</v>
      </c>
      <c r="C873" s="4" t="s">
        <v>323</v>
      </c>
      <c r="D873" s="4" t="s">
        <v>920</v>
      </c>
      <c r="E873" s="4">
        <v>200</v>
      </c>
      <c r="F873" s="4" t="s">
        <v>917</v>
      </c>
      <c r="G873" s="4" t="e">
        <f>E873*VLOOKUP(B873,alimentos_master!$A:$M,13,FALSE())/100</f>
        <v>#N/A</v>
      </c>
      <c r="H873" s="4" t="e">
        <f>E873*VLOOKUP(B873,alimentos_master!$A:$N,14,FALSE())/100</f>
        <v>#N/A</v>
      </c>
      <c r="I873" s="4" t="e">
        <f>E873*VLOOKUP(B873,alimentos_master!$A:$O,15,FALSE())/100</f>
        <v>#N/A</v>
      </c>
      <c r="J873" s="4" t="e">
        <f>E873*VLOOKUP(B873,alimentos_master!$A:$R,18,FALSE())/100</f>
        <v>#N/A</v>
      </c>
    </row>
    <row r="874" spans="1:10" ht="15" customHeight="1" x14ac:dyDescent="0.2">
      <c r="A874" s="4">
        <v>873</v>
      </c>
      <c r="B874" s="4">
        <v>219</v>
      </c>
      <c r="C874" s="4" t="s">
        <v>324</v>
      </c>
      <c r="D874" s="4" t="s">
        <v>916</v>
      </c>
      <c r="E874" s="4">
        <v>75</v>
      </c>
      <c r="F874" s="4" t="s">
        <v>917</v>
      </c>
      <c r="G874" s="4" t="e">
        <f>E874*VLOOKUP(B874,alimentos_master!$A:$M,13,FALSE())/100</f>
        <v>#N/A</v>
      </c>
      <c r="H874" s="4" t="e">
        <f>E874*VLOOKUP(B874,alimentos_master!$A:$N,14,FALSE())/100</f>
        <v>#N/A</v>
      </c>
      <c r="I874" s="4" t="e">
        <f>E874*VLOOKUP(B874,alimentos_master!$A:$O,15,FALSE())/100</f>
        <v>#N/A</v>
      </c>
      <c r="J874" s="4" t="e">
        <f>E874*VLOOKUP(B874,alimentos_master!$A:$R,18,FALSE())/100</f>
        <v>#N/A</v>
      </c>
    </row>
    <row r="875" spans="1:10" ht="15" customHeight="1" x14ac:dyDescent="0.2">
      <c r="A875" s="4">
        <v>874</v>
      </c>
      <c r="B875" s="4">
        <v>219</v>
      </c>
      <c r="C875" s="4" t="s">
        <v>324</v>
      </c>
      <c r="D875" s="4" t="s">
        <v>918</v>
      </c>
      <c r="E875" s="4">
        <v>100</v>
      </c>
      <c r="F875" s="4" t="s">
        <v>917</v>
      </c>
      <c r="G875" s="4" t="e">
        <f>E875*VLOOKUP(B875,alimentos_master!$A:$M,13,FALSE())/100</f>
        <v>#N/A</v>
      </c>
      <c r="H875" s="4" t="e">
        <f>E875*VLOOKUP(B875,alimentos_master!$A:$N,14,FALSE())/100</f>
        <v>#N/A</v>
      </c>
      <c r="I875" s="4" t="e">
        <f>E875*VLOOKUP(B875,alimentos_master!$A:$O,15,FALSE())/100</f>
        <v>#N/A</v>
      </c>
      <c r="J875" s="4" t="e">
        <f>E875*VLOOKUP(B875,alimentos_master!$A:$R,18,FALSE())/100</f>
        <v>#N/A</v>
      </c>
    </row>
    <row r="876" spans="1:10" ht="15" customHeight="1" x14ac:dyDescent="0.2">
      <c r="A876" s="4">
        <v>875</v>
      </c>
      <c r="B876" s="4">
        <v>219</v>
      </c>
      <c r="C876" s="4" t="s">
        <v>324</v>
      </c>
      <c r="D876" s="4" t="s">
        <v>919</v>
      </c>
      <c r="E876" s="4">
        <v>150</v>
      </c>
      <c r="F876" s="4" t="s">
        <v>917</v>
      </c>
      <c r="G876" s="4" t="e">
        <f>E876*VLOOKUP(B876,alimentos_master!$A:$M,13,FALSE())/100</f>
        <v>#N/A</v>
      </c>
      <c r="H876" s="4" t="e">
        <f>E876*VLOOKUP(B876,alimentos_master!$A:$N,14,FALSE())/100</f>
        <v>#N/A</v>
      </c>
      <c r="I876" s="4" t="e">
        <f>E876*VLOOKUP(B876,alimentos_master!$A:$O,15,FALSE())/100</f>
        <v>#N/A</v>
      </c>
      <c r="J876" s="4" t="e">
        <f>E876*VLOOKUP(B876,alimentos_master!$A:$R,18,FALSE())/100</f>
        <v>#N/A</v>
      </c>
    </row>
    <row r="877" spans="1:10" ht="15" customHeight="1" x14ac:dyDescent="0.2">
      <c r="A877" s="4">
        <v>876</v>
      </c>
      <c r="B877" s="4">
        <v>219</v>
      </c>
      <c r="C877" s="4" t="s">
        <v>324</v>
      </c>
      <c r="D877" s="4" t="s">
        <v>920</v>
      </c>
      <c r="E877" s="4">
        <v>200</v>
      </c>
      <c r="F877" s="4" t="s">
        <v>917</v>
      </c>
      <c r="G877" s="4" t="e">
        <f>E877*VLOOKUP(B877,alimentos_master!$A:$M,13,FALSE())/100</f>
        <v>#N/A</v>
      </c>
      <c r="H877" s="4" t="e">
        <f>E877*VLOOKUP(B877,alimentos_master!$A:$N,14,FALSE())/100</f>
        <v>#N/A</v>
      </c>
      <c r="I877" s="4" t="e">
        <f>E877*VLOOKUP(B877,alimentos_master!$A:$O,15,FALSE())/100</f>
        <v>#N/A</v>
      </c>
      <c r="J877" s="4" t="e">
        <f>E877*VLOOKUP(B877,alimentos_master!$A:$R,18,FALSE())/100</f>
        <v>#N/A</v>
      </c>
    </row>
    <row r="878" spans="1:10" ht="15" customHeight="1" x14ac:dyDescent="0.2">
      <c r="A878" s="4">
        <v>877</v>
      </c>
      <c r="B878" s="4">
        <v>220</v>
      </c>
      <c r="C878" s="4" t="s">
        <v>325</v>
      </c>
      <c r="D878" s="4" t="s">
        <v>916</v>
      </c>
      <c r="E878" s="4">
        <v>75</v>
      </c>
      <c r="F878" s="4" t="s">
        <v>917</v>
      </c>
      <c r="G878" s="4" t="e">
        <f>E878*VLOOKUP(B878,alimentos_master!$A:$M,13,FALSE())/100</f>
        <v>#N/A</v>
      </c>
      <c r="H878" s="4" t="e">
        <f>E878*VLOOKUP(B878,alimentos_master!$A:$N,14,FALSE())/100</f>
        <v>#N/A</v>
      </c>
      <c r="I878" s="4" t="e">
        <f>E878*VLOOKUP(B878,alimentos_master!$A:$O,15,FALSE())/100</f>
        <v>#N/A</v>
      </c>
      <c r="J878" s="4" t="e">
        <f>E878*VLOOKUP(B878,alimentos_master!$A:$R,18,FALSE())/100</f>
        <v>#N/A</v>
      </c>
    </row>
    <row r="879" spans="1:10" ht="15" customHeight="1" x14ac:dyDescent="0.2">
      <c r="A879" s="4">
        <v>878</v>
      </c>
      <c r="B879" s="4">
        <v>220</v>
      </c>
      <c r="C879" s="4" t="s">
        <v>325</v>
      </c>
      <c r="D879" s="4" t="s">
        <v>918</v>
      </c>
      <c r="E879" s="4">
        <v>100</v>
      </c>
      <c r="F879" s="4" t="s">
        <v>917</v>
      </c>
      <c r="G879" s="4" t="e">
        <f>E879*VLOOKUP(B879,alimentos_master!$A:$M,13,FALSE())/100</f>
        <v>#N/A</v>
      </c>
      <c r="H879" s="4" t="e">
        <f>E879*VLOOKUP(B879,alimentos_master!$A:$N,14,FALSE())/100</f>
        <v>#N/A</v>
      </c>
      <c r="I879" s="4" t="e">
        <f>E879*VLOOKUP(B879,alimentos_master!$A:$O,15,FALSE())/100</f>
        <v>#N/A</v>
      </c>
      <c r="J879" s="4" t="e">
        <f>E879*VLOOKUP(B879,alimentos_master!$A:$R,18,FALSE())/100</f>
        <v>#N/A</v>
      </c>
    </row>
    <row r="880" spans="1:10" ht="15" customHeight="1" x14ac:dyDescent="0.2">
      <c r="A880" s="4">
        <v>879</v>
      </c>
      <c r="B880" s="4">
        <v>220</v>
      </c>
      <c r="C880" s="4" t="s">
        <v>325</v>
      </c>
      <c r="D880" s="4" t="s">
        <v>919</v>
      </c>
      <c r="E880" s="4">
        <v>150</v>
      </c>
      <c r="F880" s="4" t="s">
        <v>917</v>
      </c>
      <c r="G880" s="4" t="e">
        <f>E880*VLOOKUP(B880,alimentos_master!$A:$M,13,FALSE())/100</f>
        <v>#N/A</v>
      </c>
      <c r="H880" s="4" t="e">
        <f>E880*VLOOKUP(B880,alimentos_master!$A:$N,14,FALSE())/100</f>
        <v>#N/A</v>
      </c>
      <c r="I880" s="4" t="e">
        <f>E880*VLOOKUP(B880,alimentos_master!$A:$O,15,FALSE())/100</f>
        <v>#N/A</v>
      </c>
      <c r="J880" s="4" t="e">
        <f>E880*VLOOKUP(B880,alimentos_master!$A:$R,18,FALSE())/100</f>
        <v>#N/A</v>
      </c>
    </row>
    <row r="881" spans="1:10" ht="15" customHeight="1" x14ac:dyDescent="0.2">
      <c r="A881" s="4">
        <v>880</v>
      </c>
      <c r="B881" s="4">
        <v>220</v>
      </c>
      <c r="C881" s="4" t="s">
        <v>325</v>
      </c>
      <c r="D881" s="4" t="s">
        <v>920</v>
      </c>
      <c r="E881" s="4">
        <v>200</v>
      </c>
      <c r="F881" s="4" t="s">
        <v>917</v>
      </c>
      <c r="G881" s="4" t="e">
        <f>E881*VLOOKUP(B881,alimentos_master!$A:$M,13,FALSE())/100</f>
        <v>#N/A</v>
      </c>
      <c r="H881" s="4" t="e">
        <f>E881*VLOOKUP(B881,alimentos_master!$A:$N,14,FALSE())/100</f>
        <v>#N/A</v>
      </c>
      <c r="I881" s="4" t="e">
        <f>E881*VLOOKUP(B881,alimentos_master!$A:$O,15,FALSE())/100</f>
        <v>#N/A</v>
      </c>
      <c r="J881" s="4" t="e">
        <f>E881*VLOOKUP(B881,alimentos_master!$A:$R,18,FALSE())/100</f>
        <v>#N/A</v>
      </c>
    </row>
    <row r="882" spans="1:10" ht="15" customHeight="1" x14ac:dyDescent="0.2">
      <c r="A882" s="4">
        <v>881</v>
      </c>
      <c r="B882" s="4">
        <v>221</v>
      </c>
      <c r="C882" s="4" t="s">
        <v>327</v>
      </c>
      <c r="D882" s="4" t="s">
        <v>916</v>
      </c>
      <c r="E882" s="4">
        <v>75</v>
      </c>
      <c r="F882" s="4" t="s">
        <v>917</v>
      </c>
      <c r="G882" s="4" t="e">
        <f>E882*VLOOKUP(B882,alimentos_master!$A:$M,13,FALSE())/100</f>
        <v>#N/A</v>
      </c>
      <c r="H882" s="4" t="e">
        <f>E882*VLOOKUP(B882,alimentos_master!$A:$N,14,FALSE())/100</f>
        <v>#N/A</v>
      </c>
      <c r="I882" s="4" t="e">
        <f>E882*VLOOKUP(B882,alimentos_master!$A:$O,15,FALSE())/100</f>
        <v>#N/A</v>
      </c>
      <c r="J882" s="4" t="e">
        <f>E882*VLOOKUP(B882,alimentos_master!$A:$R,18,FALSE())/100</f>
        <v>#N/A</v>
      </c>
    </row>
    <row r="883" spans="1:10" ht="15" customHeight="1" x14ac:dyDescent="0.2">
      <c r="A883" s="4">
        <v>882</v>
      </c>
      <c r="B883" s="4">
        <v>221</v>
      </c>
      <c r="C883" s="4" t="s">
        <v>327</v>
      </c>
      <c r="D883" s="4" t="s">
        <v>918</v>
      </c>
      <c r="E883" s="4">
        <v>100</v>
      </c>
      <c r="F883" s="4" t="s">
        <v>917</v>
      </c>
      <c r="G883" s="4" t="e">
        <f>E883*VLOOKUP(B883,alimentos_master!$A:$M,13,FALSE())/100</f>
        <v>#N/A</v>
      </c>
      <c r="H883" s="4" t="e">
        <f>E883*VLOOKUP(B883,alimentos_master!$A:$N,14,FALSE())/100</f>
        <v>#N/A</v>
      </c>
      <c r="I883" s="4" t="e">
        <f>E883*VLOOKUP(B883,alimentos_master!$A:$O,15,FALSE())/100</f>
        <v>#N/A</v>
      </c>
      <c r="J883" s="4" t="e">
        <f>E883*VLOOKUP(B883,alimentos_master!$A:$R,18,FALSE())/100</f>
        <v>#N/A</v>
      </c>
    </row>
    <row r="884" spans="1:10" ht="15" customHeight="1" x14ac:dyDescent="0.2">
      <c r="A884" s="4">
        <v>883</v>
      </c>
      <c r="B884" s="4">
        <v>221</v>
      </c>
      <c r="C884" s="4" t="s">
        <v>327</v>
      </c>
      <c r="D884" s="4" t="s">
        <v>919</v>
      </c>
      <c r="E884" s="4">
        <v>150</v>
      </c>
      <c r="F884" s="4" t="s">
        <v>917</v>
      </c>
      <c r="G884" s="4" t="e">
        <f>E884*VLOOKUP(B884,alimentos_master!$A:$M,13,FALSE())/100</f>
        <v>#N/A</v>
      </c>
      <c r="H884" s="4" t="e">
        <f>E884*VLOOKUP(B884,alimentos_master!$A:$N,14,FALSE())/100</f>
        <v>#N/A</v>
      </c>
      <c r="I884" s="4" t="e">
        <f>E884*VLOOKUP(B884,alimentos_master!$A:$O,15,FALSE())/100</f>
        <v>#N/A</v>
      </c>
      <c r="J884" s="4" t="e">
        <f>E884*VLOOKUP(B884,alimentos_master!$A:$R,18,FALSE())/100</f>
        <v>#N/A</v>
      </c>
    </row>
    <row r="885" spans="1:10" ht="15" customHeight="1" x14ac:dyDescent="0.2">
      <c r="A885" s="4">
        <v>884</v>
      </c>
      <c r="B885" s="4">
        <v>221</v>
      </c>
      <c r="C885" s="4" t="s">
        <v>327</v>
      </c>
      <c r="D885" s="4" t="s">
        <v>920</v>
      </c>
      <c r="E885" s="4">
        <v>200</v>
      </c>
      <c r="F885" s="4" t="s">
        <v>917</v>
      </c>
      <c r="G885" s="4" t="e">
        <f>E885*VLOOKUP(B885,alimentos_master!$A:$M,13,FALSE())/100</f>
        <v>#N/A</v>
      </c>
      <c r="H885" s="4" t="e">
        <f>E885*VLOOKUP(B885,alimentos_master!$A:$N,14,FALSE())/100</f>
        <v>#N/A</v>
      </c>
      <c r="I885" s="4" t="e">
        <f>E885*VLOOKUP(B885,alimentos_master!$A:$O,15,FALSE())/100</f>
        <v>#N/A</v>
      </c>
      <c r="J885" s="4" t="e">
        <f>E885*VLOOKUP(B885,alimentos_master!$A:$R,18,FALSE())/100</f>
        <v>#N/A</v>
      </c>
    </row>
    <row r="886" spans="1:10" ht="15" customHeight="1" x14ac:dyDescent="0.2">
      <c r="A886" s="4">
        <v>885</v>
      </c>
      <c r="B886" s="4">
        <v>222</v>
      </c>
      <c r="C886" s="4" t="s">
        <v>328</v>
      </c>
      <c r="D886" s="4" t="s">
        <v>916</v>
      </c>
      <c r="E886" s="4">
        <v>75</v>
      </c>
      <c r="F886" s="4" t="s">
        <v>917</v>
      </c>
      <c r="G886" s="4" t="e">
        <f>E886*VLOOKUP(B886,alimentos_master!$A:$M,13,FALSE())/100</f>
        <v>#N/A</v>
      </c>
      <c r="H886" s="4" t="e">
        <f>E886*VLOOKUP(B886,alimentos_master!$A:$N,14,FALSE())/100</f>
        <v>#N/A</v>
      </c>
      <c r="I886" s="4" t="e">
        <f>E886*VLOOKUP(B886,alimentos_master!$A:$O,15,FALSE())/100</f>
        <v>#N/A</v>
      </c>
      <c r="J886" s="4" t="e">
        <f>E886*VLOOKUP(B886,alimentos_master!$A:$R,18,FALSE())/100</f>
        <v>#N/A</v>
      </c>
    </row>
    <row r="887" spans="1:10" ht="15" customHeight="1" x14ac:dyDescent="0.2">
      <c r="A887" s="4">
        <v>886</v>
      </c>
      <c r="B887" s="4">
        <v>222</v>
      </c>
      <c r="C887" s="4" t="s">
        <v>328</v>
      </c>
      <c r="D887" s="4" t="s">
        <v>918</v>
      </c>
      <c r="E887" s="4">
        <v>100</v>
      </c>
      <c r="F887" s="4" t="s">
        <v>917</v>
      </c>
      <c r="G887" s="4" t="e">
        <f>E887*VLOOKUP(B887,alimentos_master!$A:$M,13,FALSE())/100</f>
        <v>#N/A</v>
      </c>
      <c r="H887" s="4" t="e">
        <f>E887*VLOOKUP(B887,alimentos_master!$A:$N,14,FALSE())/100</f>
        <v>#N/A</v>
      </c>
      <c r="I887" s="4" t="e">
        <f>E887*VLOOKUP(B887,alimentos_master!$A:$O,15,FALSE())/100</f>
        <v>#N/A</v>
      </c>
      <c r="J887" s="4" t="e">
        <f>E887*VLOOKUP(B887,alimentos_master!$A:$R,18,FALSE())/100</f>
        <v>#N/A</v>
      </c>
    </row>
    <row r="888" spans="1:10" ht="15" customHeight="1" x14ac:dyDescent="0.2">
      <c r="A888" s="4">
        <v>887</v>
      </c>
      <c r="B888" s="4">
        <v>222</v>
      </c>
      <c r="C888" s="4" t="s">
        <v>328</v>
      </c>
      <c r="D888" s="4" t="s">
        <v>919</v>
      </c>
      <c r="E888" s="4">
        <v>150</v>
      </c>
      <c r="F888" s="4" t="s">
        <v>917</v>
      </c>
      <c r="G888" s="4" t="e">
        <f>E888*VLOOKUP(B888,alimentos_master!$A:$M,13,FALSE())/100</f>
        <v>#N/A</v>
      </c>
      <c r="H888" s="4" t="e">
        <f>E888*VLOOKUP(B888,alimentos_master!$A:$N,14,FALSE())/100</f>
        <v>#N/A</v>
      </c>
      <c r="I888" s="4" t="e">
        <f>E888*VLOOKUP(B888,alimentos_master!$A:$O,15,FALSE())/100</f>
        <v>#N/A</v>
      </c>
      <c r="J888" s="4" t="e">
        <f>E888*VLOOKUP(B888,alimentos_master!$A:$R,18,FALSE())/100</f>
        <v>#N/A</v>
      </c>
    </row>
    <row r="889" spans="1:10" ht="15" customHeight="1" x14ac:dyDescent="0.2">
      <c r="A889" s="4">
        <v>888</v>
      </c>
      <c r="B889" s="4">
        <v>222</v>
      </c>
      <c r="C889" s="4" t="s">
        <v>328</v>
      </c>
      <c r="D889" s="4" t="s">
        <v>920</v>
      </c>
      <c r="E889" s="4">
        <v>200</v>
      </c>
      <c r="F889" s="4" t="s">
        <v>917</v>
      </c>
      <c r="G889" s="4" t="e">
        <f>E889*VLOOKUP(B889,alimentos_master!$A:$M,13,FALSE())/100</f>
        <v>#N/A</v>
      </c>
      <c r="H889" s="4" t="e">
        <f>E889*VLOOKUP(B889,alimentos_master!$A:$N,14,FALSE())/100</f>
        <v>#N/A</v>
      </c>
      <c r="I889" s="4" t="e">
        <f>E889*VLOOKUP(B889,alimentos_master!$A:$O,15,FALSE())/100</f>
        <v>#N/A</v>
      </c>
      <c r="J889" s="4" t="e">
        <f>E889*VLOOKUP(B889,alimentos_master!$A:$R,18,FALSE())/100</f>
        <v>#N/A</v>
      </c>
    </row>
    <row r="890" spans="1:10" ht="15" customHeight="1" x14ac:dyDescent="0.2">
      <c r="A890" s="4">
        <v>889</v>
      </c>
      <c r="B890" s="4">
        <v>223</v>
      </c>
      <c r="C890" s="4" t="s">
        <v>329</v>
      </c>
      <c r="D890" s="4" t="s">
        <v>916</v>
      </c>
      <c r="E890" s="4">
        <v>75</v>
      </c>
      <c r="F890" s="4" t="s">
        <v>917</v>
      </c>
      <c r="G890" s="4">
        <f>E890*VLOOKUP(B890,alimentos_master!$A:$M,13,FALSE())/100</f>
        <v>39</v>
      </c>
      <c r="H890" s="4">
        <f>E890*VLOOKUP(B890,alimentos_master!$A:$N,14,FALSE())/100</f>
        <v>0.22500000000000001</v>
      </c>
      <c r="I890" s="4">
        <f>E890*VLOOKUP(B890,alimentos_master!$A:$O,15,FALSE())/100</f>
        <v>10.35</v>
      </c>
      <c r="J890" s="4">
        <f>E890*VLOOKUP(B890,alimentos_master!$A:$R,18,FALSE())/100</f>
        <v>0.15</v>
      </c>
    </row>
    <row r="891" spans="1:10" ht="15" customHeight="1" x14ac:dyDescent="0.2">
      <c r="A891" s="4">
        <v>890</v>
      </c>
      <c r="B891" s="4">
        <v>223</v>
      </c>
      <c r="C891" s="4" t="s">
        <v>329</v>
      </c>
      <c r="D891" s="4" t="s">
        <v>918</v>
      </c>
      <c r="E891" s="4">
        <v>100</v>
      </c>
      <c r="F891" s="4" t="s">
        <v>917</v>
      </c>
      <c r="G891" s="4">
        <f>E891*VLOOKUP(B891,alimentos_master!$A:$M,13,FALSE())/100</f>
        <v>52</v>
      </c>
      <c r="H891" s="4">
        <f>E891*VLOOKUP(B891,alimentos_master!$A:$N,14,FALSE())/100</f>
        <v>0.3</v>
      </c>
      <c r="I891" s="4">
        <f>E891*VLOOKUP(B891,alimentos_master!$A:$O,15,FALSE())/100</f>
        <v>13.8</v>
      </c>
      <c r="J891" s="4">
        <f>E891*VLOOKUP(B891,alimentos_master!$A:$R,18,FALSE())/100</f>
        <v>0.2</v>
      </c>
    </row>
    <row r="892" spans="1:10" ht="15" customHeight="1" x14ac:dyDescent="0.2">
      <c r="A892" s="4">
        <v>891</v>
      </c>
      <c r="B892" s="4">
        <v>223</v>
      </c>
      <c r="C892" s="4" t="s">
        <v>329</v>
      </c>
      <c r="D892" s="4" t="s">
        <v>919</v>
      </c>
      <c r="E892" s="4">
        <v>150</v>
      </c>
      <c r="F892" s="4" t="s">
        <v>917</v>
      </c>
      <c r="G892" s="4">
        <f>E892*VLOOKUP(B892,alimentos_master!$A:$M,13,FALSE())/100</f>
        <v>78</v>
      </c>
      <c r="H892" s="4">
        <f>E892*VLOOKUP(B892,alimentos_master!$A:$N,14,FALSE())/100</f>
        <v>0.45</v>
      </c>
      <c r="I892" s="4">
        <f>E892*VLOOKUP(B892,alimentos_master!$A:$O,15,FALSE())/100</f>
        <v>20.7</v>
      </c>
      <c r="J892" s="4">
        <f>E892*VLOOKUP(B892,alimentos_master!$A:$R,18,FALSE())/100</f>
        <v>0.3</v>
      </c>
    </row>
    <row r="893" spans="1:10" ht="15" customHeight="1" x14ac:dyDescent="0.2">
      <c r="A893" s="4">
        <v>892</v>
      </c>
      <c r="B893" s="4">
        <v>223</v>
      </c>
      <c r="C893" s="4" t="s">
        <v>329</v>
      </c>
      <c r="D893" s="4" t="s">
        <v>920</v>
      </c>
      <c r="E893" s="4">
        <v>200</v>
      </c>
      <c r="F893" s="4" t="s">
        <v>917</v>
      </c>
      <c r="G893" s="4">
        <f>E893*VLOOKUP(B893,alimentos_master!$A:$M,13,FALSE())/100</f>
        <v>104</v>
      </c>
      <c r="H893" s="4">
        <f>E893*VLOOKUP(B893,alimentos_master!$A:$N,14,FALSE())/100</f>
        <v>0.6</v>
      </c>
      <c r="I893" s="4">
        <f>E893*VLOOKUP(B893,alimentos_master!$A:$O,15,FALSE())/100</f>
        <v>27.6</v>
      </c>
      <c r="J893" s="4">
        <f>E893*VLOOKUP(B893,alimentos_master!$A:$R,18,FALSE())/100</f>
        <v>0.4</v>
      </c>
    </row>
    <row r="894" spans="1:10" ht="15" customHeight="1" x14ac:dyDescent="0.2">
      <c r="A894" s="4">
        <v>893</v>
      </c>
      <c r="B894" s="4">
        <v>224</v>
      </c>
      <c r="C894" s="4" t="s">
        <v>331</v>
      </c>
      <c r="D894" s="4" t="s">
        <v>916</v>
      </c>
      <c r="E894" s="4">
        <v>75</v>
      </c>
      <c r="F894" s="4" t="s">
        <v>917</v>
      </c>
      <c r="G894" s="4" t="e">
        <f>E894*VLOOKUP(B894,alimentos_master!$A:$M,13,FALSE())/100</f>
        <v>#N/A</v>
      </c>
      <c r="H894" s="4" t="e">
        <f>E894*VLOOKUP(B894,alimentos_master!$A:$N,14,FALSE())/100</f>
        <v>#N/A</v>
      </c>
      <c r="I894" s="4" t="e">
        <f>E894*VLOOKUP(B894,alimentos_master!$A:$O,15,FALSE())/100</f>
        <v>#N/A</v>
      </c>
      <c r="J894" s="4" t="e">
        <f>E894*VLOOKUP(B894,alimentos_master!$A:$R,18,FALSE())/100</f>
        <v>#N/A</v>
      </c>
    </row>
    <row r="895" spans="1:10" ht="15" customHeight="1" x14ac:dyDescent="0.2">
      <c r="A895" s="4">
        <v>894</v>
      </c>
      <c r="B895" s="4">
        <v>224</v>
      </c>
      <c r="C895" s="4" t="s">
        <v>331</v>
      </c>
      <c r="D895" s="4" t="s">
        <v>918</v>
      </c>
      <c r="E895" s="4">
        <v>100</v>
      </c>
      <c r="F895" s="4" t="s">
        <v>917</v>
      </c>
      <c r="G895" s="4" t="e">
        <f>E895*VLOOKUP(B895,alimentos_master!$A:$M,13,FALSE())/100</f>
        <v>#N/A</v>
      </c>
      <c r="H895" s="4" t="e">
        <f>E895*VLOOKUP(B895,alimentos_master!$A:$N,14,FALSE())/100</f>
        <v>#N/A</v>
      </c>
      <c r="I895" s="4" t="e">
        <f>E895*VLOOKUP(B895,alimentos_master!$A:$O,15,FALSE())/100</f>
        <v>#N/A</v>
      </c>
      <c r="J895" s="4" t="e">
        <f>E895*VLOOKUP(B895,alimentos_master!$A:$R,18,FALSE())/100</f>
        <v>#N/A</v>
      </c>
    </row>
    <row r="896" spans="1:10" ht="15" customHeight="1" x14ac:dyDescent="0.2">
      <c r="A896" s="4">
        <v>895</v>
      </c>
      <c r="B896" s="4">
        <v>224</v>
      </c>
      <c r="C896" s="4" t="s">
        <v>331</v>
      </c>
      <c r="D896" s="4" t="s">
        <v>919</v>
      </c>
      <c r="E896" s="4">
        <v>150</v>
      </c>
      <c r="F896" s="4" t="s">
        <v>917</v>
      </c>
      <c r="G896" s="4" t="e">
        <f>E896*VLOOKUP(B896,alimentos_master!$A:$M,13,FALSE())/100</f>
        <v>#N/A</v>
      </c>
      <c r="H896" s="4" t="e">
        <f>E896*VLOOKUP(B896,alimentos_master!$A:$N,14,FALSE())/100</f>
        <v>#N/A</v>
      </c>
      <c r="I896" s="4" t="e">
        <f>E896*VLOOKUP(B896,alimentos_master!$A:$O,15,FALSE())/100</f>
        <v>#N/A</v>
      </c>
      <c r="J896" s="4" t="e">
        <f>E896*VLOOKUP(B896,alimentos_master!$A:$R,18,FALSE())/100</f>
        <v>#N/A</v>
      </c>
    </row>
    <row r="897" spans="1:10" ht="15" customHeight="1" x14ac:dyDescent="0.2">
      <c r="A897" s="4">
        <v>896</v>
      </c>
      <c r="B897" s="4">
        <v>224</v>
      </c>
      <c r="C897" s="4" t="s">
        <v>331</v>
      </c>
      <c r="D897" s="4" t="s">
        <v>920</v>
      </c>
      <c r="E897" s="4">
        <v>200</v>
      </c>
      <c r="F897" s="4" t="s">
        <v>917</v>
      </c>
      <c r="G897" s="4" t="e">
        <f>E897*VLOOKUP(B897,alimentos_master!$A:$M,13,FALSE())/100</f>
        <v>#N/A</v>
      </c>
      <c r="H897" s="4" t="e">
        <f>E897*VLOOKUP(B897,alimentos_master!$A:$N,14,FALSE())/100</f>
        <v>#N/A</v>
      </c>
      <c r="I897" s="4" t="e">
        <f>E897*VLOOKUP(B897,alimentos_master!$A:$O,15,FALSE())/100</f>
        <v>#N/A</v>
      </c>
      <c r="J897" s="4" t="e">
        <f>E897*VLOOKUP(B897,alimentos_master!$A:$R,18,FALSE())/100</f>
        <v>#N/A</v>
      </c>
    </row>
    <row r="898" spans="1:10" ht="15" customHeight="1" x14ac:dyDescent="0.2">
      <c r="A898" s="4">
        <v>897</v>
      </c>
      <c r="B898" s="4">
        <v>225</v>
      </c>
      <c r="C898" s="4" t="s">
        <v>332</v>
      </c>
      <c r="D898" s="4" t="s">
        <v>916</v>
      </c>
      <c r="E898" s="4">
        <v>75</v>
      </c>
      <c r="F898" s="4" t="s">
        <v>917</v>
      </c>
      <c r="G898" s="4" t="e">
        <f>E898*VLOOKUP(B898,alimentos_master!$A:$M,13,FALSE())/100</f>
        <v>#N/A</v>
      </c>
      <c r="H898" s="4" t="e">
        <f>E898*VLOOKUP(B898,alimentos_master!$A:$N,14,FALSE())/100</f>
        <v>#N/A</v>
      </c>
      <c r="I898" s="4" t="e">
        <f>E898*VLOOKUP(B898,alimentos_master!$A:$O,15,FALSE())/100</f>
        <v>#N/A</v>
      </c>
      <c r="J898" s="4" t="e">
        <f>E898*VLOOKUP(B898,alimentos_master!$A:$R,18,FALSE())/100</f>
        <v>#N/A</v>
      </c>
    </row>
    <row r="899" spans="1:10" ht="15" customHeight="1" x14ac:dyDescent="0.2">
      <c r="A899" s="4">
        <v>898</v>
      </c>
      <c r="B899" s="4">
        <v>225</v>
      </c>
      <c r="C899" s="4" t="s">
        <v>332</v>
      </c>
      <c r="D899" s="4" t="s">
        <v>918</v>
      </c>
      <c r="E899" s="4">
        <v>100</v>
      </c>
      <c r="F899" s="4" t="s">
        <v>917</v>
      </c>
      <c r="G899" s="4" t="e">
        <f>E899*VLOOKUP(B899,alimentos_master!$A:$M,13,FALSE())/100</f>
        <v>#N/A</v>
      </c>
      <c r="H899" s="4" t="e">
        <f>E899*VLOOKUP(B899,alimentos_master!$A:$N,14,FALSE())/100</f>
        <v>#N/A</v>
      </c>
      <c r="I899" s="4" t="e">
        <f>E899*VLOOKUP(B899,alimentos_master!$A:$O,15,FALSE())/100</f>
        <v>#N/A</v>
      </c>
      <c r="J899" s="4" t="e">
        <f>E899*VLOOKUP(B899,alimentos_master!$A:$R,18,FALSE())/100</f>
        <v>#N/A</v>
      </c>
    </row>
    <row r="900" spans="1:10" ht="15" customHeight="1" x14ac:dyDescent="0.2">
      <c r="A900" s="4">
        <v>899</v>
      </c>
      <c r="B900" s="4">
        <v>225</v>
      </c>
      <c r="C900" s="4" t="s">
        <v>332</v>
      </c>
      <c r="D900" s="4" t="s">
        <v>919</v>
      </c>
      <c r="E900" s="4">
        <v>150</v>
      </c>
      <c r="F900" s="4" t="s">
        <v>917</v>
      </c>
      <c r="G900" s="4" t="e">
        <f>E900*VLOOKUP(B900,alimentos_master!$A:$M,13,FALSE())/100</f>
        <v>#N/A</v>
      </c>
      <c r="H900" s="4" t="e">
        <f>E900*VLOOKUP(B900,alimentos_master!$A:$N,14,FALSE())/100</f>
        <v>#N/A</v>
      </c>
      <c r="I900" s="4" t="e">
        <f>E900*VLOOKUP(B900,alimentos_master!$A:$O,15,FALSE())/100</f>
        <v>#N/A</v>
      </c>
      <c r="J900" s="4" t="e">
        <f>E900*VLOOKUP(B900,alimentos_master!$A:$R,18,FALSE())/100</f>
        <v>#N/A</v>
      </c>
    </row>
    <row r="901" spans="1:10" ht="15" customHeight="1" x14ac:dyDescent="0.2">
      <c r="A901" s="4">
        <v>900</v>
      </c>
      <c r="B901" s="4">
        <v>225</v>
      </c>
      <c r="C901" s="4" t="s">
        <v>332</v>
      </c>
      <c r="D901" s="4" t="s">
        <v>920</v>
      </c>
      <c r="E901" s="4">
        <v>200</v>
      </c>
      <c r="F901" s="4" t="s">
        <v>917</v>
      </c>
      <c r="G901" s="4" t="e">
        <f>E901*VLOOKUP(B901,alimentos_master!$A:$M,13,FALSE())/100</f>
        <v>#N/A</v>
      </c>
      <c r="H901" s="4" t="e">
        <f>E901*VLOOKUP(B901,alimentos_master!$A:$N,14,FALSE())/100</f>
        <v>#N/A</v>
      </c>
      <c r="I901" s="4" t="e">
        <f>E901*VLOOKUP(B901,alimentos_master!$A:$O,15,FALSE())/100</f>
        <v>#N/A</v>
      </c>
      <c r="J901" s="4" t="e">
        <f>E901*VLOOKUP(B901,alimentos_master!$A:$R,18,FALSE())/100</f>
        <v>#N/A</v>
      </c>
    </row>
    <row r="902" spans="1:10" ht="15" customHeight="1" x14ac:dyDescent="0.2">
      <c r="A902" s="4">
        <v>901</v>
      </c>
      <c r="B902" s="4">
        <v>226</v>
      </c>
      <c r="C902" s="4" t="s">
        <v>333</v>
      </c>
      <c r="D902" s="4" t="s">
        <v>916</v>
      </c>
      <c r="E902" s="4">
        <v>75</v>
      </c>
      <c r="F902" s="4" t="s">
        <v>917</v>
      </c>
      <c r="G902" s="4" t="e">
        <f>E902*VLOOKUP(B902,alimentos_master!$A:$M,13,FALSE())/100</f>
        <v>#N/A</v>
      </c>
      <c r="H902" s="4" t="e">
        <f>E902*VLOOKUP(B902,alimentos_master!$A:$N,14,FALSE())/100</f>
        <v>#N/A</v>
      </c>
      <c r="I902" s="4" t="e">
        <f>E902*VLOOKUP(B902,alimentos_master!$A:$O,15,FALSE())/100</f>
        <v>#N/A</v>
      </c>
      <c r="J902" s="4" t="e">
        <f>E902*VLOOKUP(B902,alimentos_master!$A:$R,18,FALSE())/100</f>
        <v>#N/A</v>
      </c>
    </row>
    <row r="903" spans="1:10" ht="15" customHeight="1" x14ac:dyDescent="0.2">
      <c r="A903" s="4">
        <v>902</v>
      </c>
      <c r="B903" s="4">
        <v>226</v>
      </c>
      <c r="C903" s="4" t="s">
        <v>333</v>
      </c>
      <c r="D903" s="4" t="s">
        <v>918</v>
      </c>
      <c r="E903" s="4">
        <v>100</v>
      </c>
      <c r="F903" s="4" t="s">
        <v>917</v>
      </c>
      <c r="G903" s="4" t="e">
        <f>E903*VLOOKUP(B903,alimentos_master!$A:$M,13,FALSE())/100</f>
        <v>#N/A</v>
      </c>
      <c r="H903" s="4" t="e">
        <f>E903*VLOOKUP(B903,alimentos_master!$A:$N,14,FALSE())/100</f>
        <v>#N/A</v>
      </c>
      <c r="I903" s="4" t="e">
        <f>E903*VLOOKUP(B903,alimentos_master!$A:$O,15,FALSE())/100</f>
        <v>#N/A</v>
      </c>
      <c r="J903" s="4" t="e">
        <f>E903*VLOOKUP(B903,alimentos_master!$A:$R,18,FALSE())/100</f>
        <v>#N/A</v>
      </c>
    </row>
    <row r="904" spans="1:10" ht="15" customHeight="1" x14ac:dyDescent="0.2">
      <c r="A904" s="4">
        <v>903</v>
      </c>
      <c r="B904" s="4">
        <v>226</v>
      </c>
      <c r="C904" s="4" t="s">
        <v>333</v>
      </c>
      <c r="D904" s="4" t="s">
        <v>919</v>
      </c>
      <c r="E904" s="4">
        <v>150</v>
      </c>
      <c r="F904" s="4" t="s">
        <v>917</v>
      </c>
      <c r="G904" s="4" t="e">
        <f>E904*VLOOKUP(B904,alimentos_master!$A:$M,13,FALSE())/100</f>
        <v>#N/A</v>
      </c>
      <c r="H904" s="4" t="e">
        <f>E904*VLOOKUP(B904,alimentos_master!$A:$N,14,FALSE())/100</f>
        <v>#N/A</v>
      </c>
      <c r="I904" s="4" t="e">
        <f>E904*VLOOKUP(B904,alimentos_master!$A:$O,15,FALSE())/100</f>
        <v>#N/A</v>
      </c>
      <c r="J904" s="4" t="e">
        <f>E904*VLOOKUP(B904,alimentos_master!$A:$R,18,FALSE())/100</f>
        <v>#N/A</v>
      </c>
    </row>
    <row r="905" spans="1:10" ht="15" customHeight="1" x14ac:dyDescent="0.2">
      <c r="A905" s="4">
        <v>904</v>
      </c>
      <c r="B905" s="4">
        <v>226</v>
      </c>
      <c r="C905" s="4" t="s">
        <v>333</v>
      </c>
      <c r="D905" s="4" t="s">
        <v>920</v>
      </c>
      <c r="E905" s="4">
        <v>200</v>
      </c>
      <c r="F905" s="4" t="s">
        <v>917</v>
      </c>
      <c r="G905" s="4" t="e">
        <f>E905*VLOOKUP(B905,alimentos_master!$A:$M,13,FALSE())/100</f>
        <v>#N/A</v>
      </c>
      <c r="H905" s="4" t="e">
        <f>E905*VLOOKUP(B905,alimentos_master!$A:$N,14,FALSE())/100</f>
        <v>#N/A</v>
      </c>
      <c r="I905" s="4" t="e">
        <f>E905*VLOOKUP(B905,alimentos_master!$A:$O,15,FALSE())/100</f>
        <v>#N/A</v>
      </c>
      <c r="J905" s="4" t="e">
        <f>E905*VLOOKUP(B905,alimentos_master!$A:$R,18,FALSE())/100</f>
        <v>#N/A</v>
      </c>
    </row>
    <row r="906" spans="1:10" ht="15" customHeight="1" x14ac:dyDescent="0.2">
      <c r="A906" s="4">
        <v>905</v>
      </c>
      <c r="B906" s="4">
        <v>227</v>
      </c>
      <c r="C906" s="4" t="s">
        <v>334</v>
      </c>
      <c r="D906" s="4" t="s">
        <v>916</v>
      </c>
      <c r="E906" s="4">
        <v>75</v>
      </c>
      <c r="F906" s="4" t="s">
        <v>917</v>
      </c>
      <c r="G906" s="4" t="e">
        <f>E906*VLOOKUP(B906,alimentos_master!$A:$M,13,FALSE())/100</f>
        <v>#N/A</v>
      </c>
      <c r="H906" s="4" t="e">
        <f>E906*VLOOKUP(B906,alimentos_master!$A:$N,14,FALSE())/100</f>
        <v>#N/A</v>
      </c>
      <c r="I906" s="4" t="e">
        <f>E906*VLOOKUP(B906,alimentos_master!$A:$O,15,FALSE())/100</f>
        <v>#N/A</v>
      </c>
      <c r="J906" s="4" t="e">
        <f>E906*VLOOKUP(B906,alimentos_master!$A:$R,18,FALSE())/100</f>
        <v>#N/A</v>
      </c>
    </row>
    <row r="907" spans="1:10" ht="15" customHeight="1" x14ac:dyDescent="0.2">
      <c r="A907" s="4">
        <v>906</v>
      </c>
      <c r="B907" s="4">
        <v>227</v>
      </c>
      <c r="C907" s="4" t="s">
        <v>334</v>
      </c>
      <c r="D907" s="4" t="s">
        <v>918</v>
      </c>
      <c r="E907" s="4">
        <v>100</v>
      </c>
      <c r="F907" s="4" t="s">
        <v>917</v>
      </c>
      <c r="G907" s="4" t="e">
        <f>E907*VLOOKUP(B907,alimentos_master!$A:$M,13,FALSE())/100</f>
        <v>#N/A</v>
      </c>
      <c r="H907" s="4" t="e">
        <f>E907*VLOOKUP(B907,alimentos_master!$A:$N,14,FALSE())/100</f>
        <v>#N/A</v>
      </c>
      <c r="I907" s="4" t="e">
        <f>E907*VLOOKUP(B907,alimentos_master!$A:$O,15,FALSE())/100</f>
        <v>#N/A</v>
      </c>
      <c r="J907" s="4" t="e">
        <f>E907*VLOOKUP(B907,alimentos_master!$A:$R,18,FALSE())/100</f>
        <v>#N/A</v>
      </c>
    </row>
    <row r="908" spans="1:10" ht="15" customHeight="1" x14ac:dyDescent="0.2">
      <c r="A908" s="4">
        <v>907</v>
      </c>
      <c r="B908" s="4">
        <v>227</v>
      </c>
      <c r="C908" s="4" t="s">
        <v>334</v>
      </c>
      <c r="D908" s="4" t="s">
        <v>919</v>
      </c>
      <c r="E908" s="4">
        <v>150</v>
      </c>
      <c r="F908" s="4" t="s">
        <v>917</v>
      </c>
      <c r="G908" s="4" t="e">
        <f>E908*VLOOKUP(B908,alimentos_master!$A:$M,13,FALSE())/100</f>
        <v>#N/A</v>
      </c>
      <c r="H908" s="4" t="e">
        <f>E908*VLOOKUP(B908,alimentos_master!$A:$N,14,FALSE())/100</f>
        <v>#N/A</v>
      </c>
      <c r="I908" s="4" t="e">
        <f>E908*VLOOKUP(B908,alimentos_master!$A:$O,15,FALSE())/100</f>
        <v>#N/A</v>
      </c>
      <c r="J908" s="4" t="e">
        <f>E908*VLOOKUP(B908,alimentos_master!$A:$R,18,FALSE())/100</f>
        <v>#N/A</v>
      </c>
    </row>
    <row r="909" spans="1:10" ht="15" customHeight="1" x14ac:dyDescent="0.2">
      <c r="A909" s="4">
        <v>908</v>
      </c>
      <c r="B909" s="4">
        <v>227</v>
      </c>
      <c r="C909" s="4" t="s">
        <v>334</v>
      </c>
      <c r="D909" s="4" t="s">
        <v>920</v>
      </c>
      <c r="E909" s="4">
        <v>200</v>
      </c>
      <c r="F909" s="4" t="s">
        <v>917</v>
      </c>
      <c r="G909" s="4" t="e">
        <f>E909*VLOOKUP(B909,alimentos_master!$A:$M,13,FALSE())/100</f>
        <v>#N/A</v>
      </c>
      <c r="H909" s="4" t="e">
        <f>E909*VLOOKUP(B909,alimentos_master!$A:$N,14,FALSE())/100</f>
        <v>#N/A</v>
      </c>
      <c r="I909" s="4" t="e">
        <f>E909*VLOOKUP(B909,alimentos_master!$A:$O,15,FALSE())/100</f>
        <v>#N/A</v>
      </c>
      <c r="J909" s="4" t="e">
        <f>E909*VLOOKUP(B909,alimentos_master!$A:$R,18,FALSE())/100</f>
        <v>#N/A</v>
      </c>
    </row>
    <row r="910" spans="1:10" ht="15" customHeight="1" x14ac:dyDescent="0.2">
      <c r="A910" s="4">
        <v>909</v>
      </c>
      <c r="B910" s="4">
        <v>228</v>
      </c>
      <c r="C910" s="4" t="s">
        <v>335</v>
      </c>
      <c r="D910" s="4" t="s">
        <v>916</v>
      </c>
      <c r="E910" s="4">
        <v>75</v>
      </c>
      <c r="F910" s="4" t="s">
        <v>917</v>
      </c>
      <c r="G910" s="4" t="e">
        <f>E910*VLOOKUP(B910,alimentos_master!$A:$M,13,FALSE())/100</f>
        <v>#N/A</v>
      </c>
      <c r="H910" s="4" t="e">
        <f>E910*VLOOKUP(B910,alimentos_master!$A:$N,14,FALSE())/100</f>
        <v>#N/A</v>
      </c>
      <c r="I910" s="4" t="e">
        <f>E910*VLOOKUP(B910,alimentos_master!$A:$O,15,FALSE())/100</f>
        <v>#N/A</v>
      </c>
      <c r="J910" s="4" t="e">
        <f>E910*VLOOKUP(B910,alimentos_master!$A:$R,18,FALSE())/100</f>
        <v>#N/A</v>
      </c>
    </row>
    <row r="911" spans="1:10" ht="15" customHeight="1" x14ac:dyDescent="0.2">
      <c r="A911" s="4">
        <v>910</v>
      </c>
      <c r="B911" s="4">
        <v>228</v>
      </c>
      <c r="C911" s="4" t="s">
        <v>335</v>
      </c>
      <c r="D911" s="4" t="s">
        <v>918</v>
      </c>
      <c r="E911" s="4">
        <v>100</v>
      </c>
      <c r="F911" s="4" t="s">
        <v>917</v>
      </c>
      <c r="G911" s="4" t="e">
        <f>E911*VLOOKUP(B911,alimentos_master!$A:$M,13,FALSE())/100</f>
        <v>#N/A</v>
      </c>
      <c r="H911" s="4" t="e">
        <f>E911*VLOOKUP(B911,alimentos_master!$A:$N,14,FALSE())/100</f>
        <v>#N/A</v>
      </c>
      <c r="I911" s="4" t="e">
        <f>E911*VLOOKUP(B911,alimentos_master!$A:$O,15,FALSE())/100</f>
        <v>#N/A</v>
      </c>
      <c r="J911" s="4" t="e">
        <f>E911*VLOOKUP(B911,alimentos_master!$A:$R,18,FALSE())/100</f>
        <v>#N/A</v>
      </c>
    </row>
    <row r="912" spans="1:10" ht="15" customHeight="1" x14ac:dyDescent="0.2">
      <c r="A912" s="4">
        <v>911</v>
      </c>
      <c r="B912" s="4">
        <v>228</v>
      </c>
      <c r="C912" s="4" t="s">
        <v>335</v>
      </c>
      <c r="D912" s="4" t="s">
        <v>919</v>
      </c>
      <c r="E912" s="4">
        <v>150</v>
      </c>
      <c r="F912" s="4" t="s">
        <v>917</v>
      </c>
      <c r="G912" s="4" t="e">
        <f>E912*VLOOKUP(B912,alimentos_master!$A:$M,13,FALSE())/100</f>
        <v>#N/A</v>
      </c>
      <c r="H912" s="4" t="e">
        <f>E912*VLOOKUP(B912,alimentos_master!$A:$N,14,FALSE())/100</f>
        <v>#N/A</v>
      </c>
      <c r="I912" s="4" t="e">
        <f>E912*VLOOKUP(B912,alimentos_master!$A:$O,15,FALSE())/100</f>
        <v>#N/A</v>
      </c>
      <c r="J912" s="4" t="e">
        <f>E912*VLOOKUP(B912,alimentos_master!$A:$R,18,FALSE())/100</f>
        <v>#N/A</v>
      </c>
    </row>
    <row r="913" spans="1:10" ht="15" customHeight="1" x14ac:dyDescent="0.2">
      <c r="A913" s="4">
        <v>912</v>
      </c>
      <c r="B913" s="4">
        <v>228</v>
      </c>
      <c r="C913" s="4" t="s">
        <v>335</v>
      </c>
      <c r="D913" s="4" t="s">
        <v>920</v>
      </c>
      <c r="E913" s="4">
        <v>200</v>
      </c>
      <c r="F913" s="4" t="s">
        <v>917</v>
      </c>
      <c r="G913" s="4" t="e">
        <f>E913*VLOOKUP(B913,alimentos_master!$A:$M,13,FALSE())/100</f>
        <v>#N/A</v>
      </c>
      <c r="H913" s="4" t="e">
        <f>E913*VLOOKUP(B913,alimentos_master!$A:$N,14,FALSE())/100</f>
        <v>#N/A</v>
      </c>
      <c r="I913" s="4" t="e">
        <f>E913*VLOOKUP(B913,alimentos_master!$A:$O,15,FALSE())/100</f>
        <v>#N/A</v>
      </c>
      <c r="J913" s="4" t="e">
        <f>E913*VLOOKUP(B913,alimentos_master!$A:$R,18,FALSE())/100</f>
        <v>#N/A</v>
      </c>
    </row>
    <row r="914" spans="1:10" ht="15" customHeight="1" x14ac:dyDescent="0.2">
      <c r="A914" s="4">
        <v>913</v>
      </c>
      <c r="B914" s="4">
        <v>229</v>
      </c>
      <c r="C914" s="4" t="s">
        <v>336</v>
      </c>
      <c r="D914" s="4" t="s">
        <v>916</v>
      </c>
      <c r="E914" s="4">
        <v>75</v>
      </c>
      <c r="F914" s="4" t="s">
        <v>917</v>
      </c>
      <c r="G914" s="4">
        <f>E914*VLOOKUP(B914,alimentos_master!$A:$M,13,FALSE())/100</f>
        <v>31.95</v>
      </c>
      <c r="H914" s="4">
        <f>E914*VLOOKUP(B914,alimentos_master!$A:$N,14,FALSE())/100</f>
        <v>0.19500000000000001</v>
      </c>
      <c r="I914" s="4">
        <f>E914*VLOOKUP(B914,alimentos_master!$A:$O,15,FALSE())/100</f>
        <v>8.7974999999999994</v>
      </c>
      <c r="J914" s="4">
        <f>E914*VLOOKUP(B914,alimentos_master!$A:$R,18,FALSE())/100</f>
        <v>0.12750000000000003</v>
      </c>
    </row>
    <row r="915" spans="1:10" ht="15" customHeight="1" x14ac:dyDescent="0.2">
      <c r="A915" s="4">
        <v>914</v>
      </c>
      <c r="B915" s="4">
        <v>229</v>
      </c>
      <c r="C915" s="4" t="s">
        <v>336</v>
      </c>
      <c r="D915" s="4" t="s">
        <v>918</v>
      </c>
      <c r="E915" s="4">
        <v>100</v>
      </c>
      <c r="F915" s="4" t="s">
        <v>917</v>
      </c>
      <c r="G915" s="4">
        <f>E915*VLOOKUP(B915,alimentos_master!$A:$M,13,FALSE())/100</f>
        <v>42.6</v>
      </c>
      <c r="H915" s="4">
        <f>E915*VLOOKUP(B915,alimentos_master!$A:$N,14,FALSE())/100</f>
        <v>0.26</v>
      </c>
      <c r="I915" s="4">
        <f>E915*VLOOKUP(B915,alimentos_master!$A:$O,15,FALSE())/100</f>
        <v>11.73</v>
      </c>
      <c r="J915" s="4">
        <f>E915*VLOOKUP(B915,alimentos_master!$A:$R,18,FALSE())/100</f>
        <v>0.17</v>
      </c>
    </row>
    <row r="916" spans="1:10" ht="15" customHeight="1" x14ac:dyDescent="0.2">
      <c r="A916" s="4">
        <v>915</v>
      </c>
      <c r="B916" s="4">
        <v>229</v>
      </c>
      <c r="C916" s="4" t="s">
        <v>336</v>
      </c>
      <c r="D916" s="4" t="s">
        <v>919</v>
      </c>
      <c r="E916" s="4">
        <v>150</v>
      </c>
      <c r="F916" s="4" t="s">
        <v>917</v>
      </c>
      <c r="G916" s="4">
        <f>E916*VLOOKUP(B916,alimentos_master!$A:$M,13,FALSE())/100</f>
        <v>63.9</v>
      </c>
      <c r="H916" s="4">
        <f>E916*VLOOKUP(B916,alimentos_master!$A:$N,14,FALSE())/100</f>
        <v>0.39</v>
      </c>
      <c r="I916" s="4">
        <f>E916*VLOOKUP(B916,alimentos_master!$A:$O,15,FALSE())/100</f>
        <v>17.594999999999999</v>
      </c>
      <c r="J916" s="4">
        <f>E916*VLOOKUP(B916,alimentos_master!$A:$R,18,FALSE())/100</f>
        <v>0.25500000000000006</v>
      </c>
    </row>
    <row r="917" spans="1:10" ht="15" customHeight="1" x14ac:dyDescent="0.2">
      <c r="A917" s="4">
        <v>916</v>
      </c>
      <c r="B917" s="4">
        <v>229</v>
      </c>
      <c r="C917" s="4" t="s">
        <v>336</v>
      </c>
      <c r="D917" s="4" t="s">
        <v>920</v>
      </c>
      <c r="E917" s="4">
        <v>200</v>
      </c>
      <c r="F917" s="4" t="s">
        <v>917</v>
      </c>
      <c r="G917" s="4">
        <f>E917*VLOOKUP(B917,alimentos_master!$A:$M,13,FALSE())/100</f>
        <v>85.2</v>
      </c>
      <c r="H917" s="4">
        <f>E917*VLOOKUP(B917,alimentos_master!$A:$N,14,FALSE())/100</f>
        <v>0.52</v>
      </c>
      <c r="I917" s="4">
        <f>E917*VLOOKUP(B917,alimentos_master!$A:$O,15,FALSE())/100</f>
        <v>23.46</v>
      </c>
      <c r="J917" s="4">
        <f>E917*VLOOKUP(B917,alimentos_master!$A:$R,18,FALSE())/100</f>
        <v>0.34</v>
      </c>
    </row>
    <row r="918" spans="1:10" ht="15" customHeight="1" x14ac:dyDescent="0.2">
      <c r="A918" s="4">
        <v>917</v>
      </c>
      <c r="B918" s="4">
        <v>230</v>
      </c>
      <c r="C918" s="4" t="s">
        <v>337</v>
      </c>
      <c r="D918" s="4" t="s">
        <v>916</v>
      </c>
      <c r="E918" s="4">
        <v>75</v>
      </c>
      <c r="F918" s="4" t="s">
        <v>917</v>
      </c>
      <c r="G918" s="4" t="e">
        <f>E918*VLOOKUP(B918,alimentos_master!$A:$M,13,FALSE())/100</f>
        <v>#N/A</v>
      </c>
      <c r="H918" s="4" t="e">
        <f>E918*VLOOKUP(B918,alimentos_master!$A:$N,14,FALSE())/100</f>
        <v>#N/A</v>
      </c>
      <c r="I918" s="4" t="e">
        <f>E918*VLOOKUP(B918,alimentos_master!$A:$O,15,FALSE())/100</f>
        <v>#N/A</v>
      </c>
      <c r="J918" s="4" t="e">
        <f>E918*VLOOKUP(B918,alimentos_master!$A:$R,18,FALSE())/100</f>
        <v>#N/A</v>
      </c>
    </row>
    <row r="919" spans="1:10" ht="15" customHeight="1" x14ac:dyDescent="0.2">
      <c r="A919" s="4">
        <v>918</v>
      </c>
      <c r="B919" s="4">
        <v>230</v>
      </c>
      <c r="C919" s="4" t="s">
        <v>337</v>
      </c>
      <c r="D919" s="4" t="s">
        <v>918</v>
      </c>
      <c r="E919" s="4">
        <v>100</v>
      </c>
      <c r="F919" s="4" t="s">
        <v>917</v>
      </c>
      <c r="G919" s="4" t="e">
        <f>E919*VLOOKUP(B919,alimentos_master!$A:$M,13,FALSE())/100</f>
        <v>#N/A</v>
      </c>
      <c r="H919" s="4" t="e">
        <f>E919*VLOOKUP(B919,alimentos_master!$A:$N,14,FALSE())/100</f>
        <v>#N/A</v>
      </c>
      <c r="I919" s="4" t="e">
        <f>E919*VLOOKUP(B919,alimentos_master!$A:$O,15,FALSE())/100</f>
        <v>#N/A</v>
      </c>
      <c r="J919" s="4" t="e">
        <f>E919*VLOOKUP(B919,alimentos_master!$A:$R,18,FALSE())/100</f>
        <v>#N/A</v>
      </c>
    </row>
    <row r="920" spans="1:10" ht="15" customHeight="1" x14ac:dyDescent="0.2">
      <c r="A920" s="4">
        <v>919</v>
      </c>
      <c r="B920" s="4">
        <v>230</v>
      </c>
      <c r="C920" s="4" t="s">
        <v>337</v>
      </c>
      <c r="D920" s="4" t="s">
        <v>919</v>
      </c>
      <c r="E920" s="4">
        <v>150</v>
      </c>
      <c r="F920" s="4" t="s">
        <v>917</v>
      </c>
      <c r="G920" s="4" t="e">
        <f>E920*VLOOKUP(B920,alimentos_master!$A:$M,13,FALSE())/100</f>
        <v>#N/A</v>
      </c>
      <c r="H920" s="4" t="e">
        <f>E920*VLOOKUP(B920,alimentos_master!$A:$N,14,FALSE())/100</f>
        <v>#N/A</v>
      </c>
      <c r="I920" s="4" t="e">
        <f>E920*VLOOKUP(B920,alimentos_master!$A:$O,15,FALSE())/100</f>
        <v>#N/A</v>
      </c>
      <c r="J920" s="4" t="e">
        <f>E920*VLOOKUP(B920,alimentos_master!$A:$R,18,FALSE())/100</f>
        <v>#N/A</v>
      </c>
    </row>
    <row r="921" spans="1:10" ht="15" customHeight="1" x14ac:dyDescent="0.2">
      <c r="A921" s="4">
        <v>920</v>
      </c>
      <c r="B921" s="4">
        <v>230</v>
      </c>
      <c r="C921" s="4" t="s">
        <v>337</v>
      </c>
      <c r="D921" s="4" t="s">
        <v>920</v>
      </c>
      <c r="E921" s="4">
        <v>200</v>
      </c>
      <c r="F921" s="4" t="s">
        <v>917</v>
      </c>
      <c r="G921" s="4" t="e">
        <f>E921*VLOOKUP(B921,alimentos_master!$A:$M,13,FALSE())/100</f>
        <v>#N/A</v>
      </c>
      <c r="H921" s="4" t="e">
        <f>E921*VLOOKUP(B921,alimentos_master!$A:$N,14,FALSE())/100</f>
        <v>#N/A</v>
      </c>
      <c r="I921" s="4" t="e">
        <f>E921*VLOOKUP(B921,alimentos_master!$A:$O,15,FALSE())/100</f>
        <v>#N/A</v>
      </c>
      <c r="J921" s="4" t="e">
        <f>E921*VLOOKUP(B921,alimentos_master!$A:$R,18,FALSE())/100</f>
        <v>#N/A</v>
      </c>
    </row>
    <row r="922" spans="1:10" ht="15" customHeight="1" x14ac:dyDescent="0.2">
      <c r="A922" s="4">
        <v>921</v>
      </c>
      <c r="B922" s="4">
        <v>231</v>
      </c>
      <c r="C922" s="4" t="s">
        <v>338</v>
      </c>
      <c r="D922" s="4" t="s">
        <v>916</v>
      </c>
      <c r="E922" s="4">
        <v>75</v>
      </c>
      <c r="F922" s="4" t="s">
        <v>917</v>
      </c>
      <c r="G922" s="4" t="e">
        <f>E922*VLOOKUP(B922,alimentos_master!$A:$M,13,FALSE())/100</f>
        <v>#N/A</v>
      </c>
      <c r="H922" s="4" t="e">
        <f>E922*VLOOKUP(B922,alimentos_master!$A:$N,14,FALSE())/100</f>
        <v>#N/A</v>
      </c>
      <c r="I922" s="4" t="e">
        <f>E922*VLOOKUP(B922,alimentos_master!$A:$O,15,FALSE())/100</f>
        <v>#N/A</v>
      </c>
      <c r="J922" s="4" t="e">
        <f>E922*VLOOKUP(B922,alimentos_master!$A:$R,18,FALSE())/100</f>
        <v>#N/A</v>
      </c>
    </row>
    <row r="923" spans="1:10" ht="15" customHeight="1" x14ac:dyDescent="0.2">
      <c r="A923" s="4">
        <v>922</v>
      </c>
      <c r="B923" s="4">
        <v>231</v>
      </c>
      <c r="C923" s="4" t="s">
        <v>338</v>
      </c>
      <c r="D923" s="4" t="s">
        <v>918</v>
      </c>
      <c r="E923" s="4">
        <v>100</v>
      </c>
      <c r="F923" s="4" t="s">
        <v>917</v>
      </c>
      <c r="G923" s="4" t="e">
        <f>E923*VLOOKUP(B923,alimentos_master!$A:$M,13,FALSE())/100</f>
        <v>#N/A</v>
      </c>
      <c r="H923" s="4" t="e">
        <f>E923*VLOOKUP(B923,alimentos_master!$A:$N,14,FALSE())/100</f>
        <v>#N/A</v>
      </c>
      <c r="I923" s="4" t="e">
        <f>E923*VLOOKUP(B923,alimentos_master!$A:$O,15,FALSE())/100</f>
        <v>#N/A</v>
      </c>
      <c r="J923" s="4" t="e">
        <f>E923*VLOOKUP(B923,alimentos_master!$A:$R,18,FALSE())/100</f>
        <v>#N/A</v>
      </c>
    </row>
    <row r="924" spans="1:10" ht="15" customHeight="1" x14ac:dyDescent="0.2">
      <c r="A924" s="4">
        <v>923</v>
      </c>
      <c r="B924" s="4">
        <v>231</v>
      </c>
      <c r="C924" s="4" t="s">
        <v>338</v>
      </c>
      <c r="D924" s="4" t="s">
        <v>919</v>
      </c>
      <c r="E924" s="4">
        <v>150</v>
      </c>
      <c r="F924" s="4" t="s">
        <v>917</v>
      </c>
      <c r="G924" s="4" t="e">
        <f>E924*VLOOKUP(B924,alimentos_master!$A:$M,13,FALSE())/100</f>
        <v>#N/A</v>
      </c>
      <c r="H924" s="4" t="e">
        <f>E924*VLOOKUP(B924,alimentos_master!$A:$N,14,FALSE())/100</f>
        <v>#N/A</v>
      </c>
      <c r="I924" s="4" t="e">
        <f>E924*VLOOKUP(B924,alimentos_master!$A:$O,15,FALSE())/100</f>
        <v>#N/A</v>
      </c>
      <c r="J924" s="4" t="e">
        <f>E924*VLOOKUP(B924,alimentos_master!$A:$R,18,FALSE())/100</f>
        <v>#N/A</v>
      </c>
    </row>
    <row r="925" spans="1:10" ht="15" customHeight="1" x14ac:dyDescent="0.2">
      <c r="A925" s="4">
        <v>924</v>
      </c>
      <c r="B925" s="4">
        <v>231</v>
      </c>
      <c r="C925" s="4" t="s">
        <v>338</v>
      </c>
      <c r="D925" s="4" t="s">
        <v>920</v>
      </c>
      <c r="E925" s="4">
        <v>200</v>
      </c>
      <c r="F925" s="4" t="s">
        <v>917</v>
      </c>
      <c r="G925" s="4" t="e">
        <f>E925*VLOOKUP(B925,alimentos_master!$A:$M,13,FALSE())/100</f>
        <v>#N/A</v>
      </c>
      <c r="H925" s="4" t="e">
        <f>E925*VLOOKUP(B925,alimentos_master!$A:$N,14,FALSE())/100</f>
        <v>#N/A</v>
      </c>
      <c r="I925" s="4" t="e">
        <f>E925*VLOOKUP(B925,alimentos_master!$A:$O,15,FALSE())/100</f>
        <v>#N/A</v>
      </c>
      <c r="J925" s="4" t="e">
        <f>E925*VLOOKUP(B925,alimentos_master!$A:$R,18,FALSE())/100</f>
        <v>#N/A</v>
      </c>
    </row>
    <row r="926" spans="1:10" ht="15" customHeight="1" x14ac:dyDescent="0.2">
      <c r="A926" s="4">
        <v>925</v>
      </c>
      <c r="B926" s="4">
        <v>232</v>
      </c>
      <c r="C926" s="4" t="s">
        <v>339</v>
      </c>
      <c r="D926" s="4" t="s">
        <v>916</v>
      </c>
      <c r="E926" s="4">
        <v>75</v>
      </c>
      <c r="F926" s="4" t="s">
        <v>917</v>
      </c>
      <c r="G926" s="4">
        <f>E926*VLOOKUP(B926,alimentos_master!$A:$M,13,FALSE())/100</f>
        <v>117</v>
      </c>
      <c r="H926" s="4">
        <f>E926*VLOOKUP(B926,alimentos_master!$A:$N,14,FALSE())/100</f>
        <v>0.63</v>
      </c>
      <c r="I926" s="4">
        <f>E926*VLOOKUP(B926,alimentos_master!$A:$O,15,FALSE())/100</f>
        <v>28.98</v>
      </c>
      <c r="J926" s="4">
        <f>E926*VLOOKUP(B926,alimentos_master!$A:$R,18,FALSE())/100</f>
        <v>0.4200000000000001</v>
      </c>
    </row>
    <row r="927" spans="1:10" ht="15" customHeight="1" x14ac:dyDescent="0.2">
      <c r="A927" s="4">
        <v>926</v>
      </c>
      <c r="B927" s="4">
        <v>232</v>
      </c>
      <c r="C927" s="4" t="s">
        <v>339</v>
      </c>
      <c r="D927" s="4" t="s">
        <v>918</v>
      </c>
      <c r="E927" s="4">
        <v>100</v>
      </c>
      <c r="F927" s="4" t="s">
        <v>917</v>
      </c>
      <c r="G927" s="4">
        <f>E927*VLOOKUP(B927,alimentos_master!$A:$M,13,FALSE())/100</f>
        <v>156</v>
      </c>
      <c r="H927" s="4">
        <f>E927*VLOOKUP(B927,alimentos_master!$A:$N,14,FALSE())/100</f>
        <v>0.84</v>
      </c>
      <c r="I927" s="4">
        <f>E927*VLOOKUP(B927,alimentos_master!$A:$O,15,FALSE())/100</f>
        <v>38.64</v>
      </c>
      <c r="J927" s="4">
        <f>E927*VLOOKUP(B927,alimentos_master!$A:$R,18,FALSE())/100</f>
        <v>0.56000000000000005</v>
      </c>
    </row>
    <row r="928" spans="1:10" ht="15" customHeight="1" x14ac:dyDescent="0.2">
      <c r="A928" s="4">
        <v>927</v>
      </c>
      <c r="B928" s="4">
        <v>232</v>
      </c>
      <c r="C928" s="4" t="s">
        <v>339</v>
      </c>
      <c r="D928" s="4" t="s">
        <v>919</v>
      </c>
      <c r="E928" s="4">
        <v>150</v>
      </c>
      <c r="F928" s="4" t="s">
        <v>917</v>
      </c>
      <c r="G928" s="4">
        <f>E928*VLOOKUP(B928,alimentos_master!$A:$M,13,FALSE())/100</f>
        <v>234</v>
      </c>
      <c r="H928" s="4">
        <f>E928*VLOOKUP(B928,alimentos_master!$A:$N,14,FALSE())/100</f>
        <v>1.26</v>
      </c>
      <c r="I928" s="4">
        <f>E928*VLOOKUP(B928,alimentos_master!$A:$O,15,FALSE())/100</f>
        <v>57.96</v>
      </c>
      <c r="J928" s="4">
        <f>E928*VLOOKUP(B928,alimentos_master!$A:$R,18,FALSE())/100</f>
        <v>0.84000000000000019</v>
      </c>
    </row>
    <row r="929" spans="1:10" ht="15" customHeight="1" x14ac:dyDescent="0.2">
      <c r="A929" s="4">
        <v>928</v>
      </c>
      <c r="B929" s="4">
        <v>232</v>
      </c>
      <c r="C929" s="4" t="s">
        <v>339</v>
      </c>
      <c r="D929" s="4" t="s">
        <v>920</v>
      </c>
      <c r="E929" s="4">
        <v>200</v>
      </c>
      <c r="F929" s="4" t="s">
        <v>917</v>
      </c>
      <c r="G929" s="4">
        <f>E929*VLOOKUP(B929,alimentos_master!$A:$M,13,FALSE())/100</f>
        <v>312</v>
      </c>
      <c r="H929" s="4">
        <f>E929*VLOOKUP(B929,alimentos_master!$A:$N,14,FALSE())/100</f>
        <v>1.68</v>
      </c>
      <c r="I929" s="4">
        <f>E929*VLOOKUP(B929,alimentos_master!$A:$O,15,FALSE())/100</f>
        <v>77.28</v>
      </c>
      <c r="J929" s="4">
        <f>E929*VLOOKUP(B929,alimentos_master!$A:$R,18,FALSE())/100</f>
        <v>1.1200000000000001</v>
      </c>
    </row>
    <row r="930" spans="1:10" ht="15" customHeight="1" x14ac:dyDescent="0.2">
      <c r="A930" s="4">
        <v>929</v>
      </c>
      <c r="B930" s="4">
        <v>233</v>
      </c>
      <c r="C930" s="4" t="s">
        <v>340</v>
      </c>
      <c r="D930" s="4" t="s">
        <v>916</v>
      </c>
      <c r="E930" s="4">
        <v>75</v>
      </c>
      <c r="F930" s="4" t="s">
        <v>917</v>
      </c>
      <c r="G930" s="4" t="e">
        <f>E930*VLOOKUP(B930,alimentos_master!$A:$M,13,FALSE())/100</f>
        <v>#N/A</v>
      </c>
      <c r="H930" s="4" t="e">
        <f>E930*VLOOKUP(B930,alimentos_master!$A:$N,14,FALSE())/100</f>
        <v>#N/A</v>
      </c>
      <c r="I930" s="4" t="e">
        <f>E930*VLOOKUP(B930,alimentos_master!$A:$O,15,FALSE())/100</f>
        <v>#N/A</v>
      </c>
      <c r="J930" s="4" t="e">
        <f>E930*VLOOKUP(B930,alimentos_master!$A:$R,18,FALSE())/100</f>
        <v>#N/A</v>
      </c>
    </row>
    <row r="931" spans="1:10" ht="15" customHeight="1" x14ac:dyDescent="0.2">
      <c r="A931" s="4">
        <v>930</v>
      </c>
      <c r="B931" s="4">
        <v>233</v>
      </c>
      <c r="C931" s="4" t="s">
        <v>340</v>
      </c>
      <c r="D931" s="4" t="s">
        <v>918</v>
      </c>
      <c r="E931" s="4">
        <v>100</v>
      </c>
      <c r="F931" s="4" t="s">
        <v>917</v>
      </c>
      <c r="G931" s="4" t="e">
        <f>E931*VLOOKUP(B931,alimentos_master!$A:$M,13,FALSE())/100</f>
        <v>#N/A</v>
      </c>
      <c r="H931" s="4" t="e">
        <f>E931*VLOOKUP(B931,alimentos_master!$A:$N,14,FALSE())/100</f>
        <v>#N/A</v>
      </c>
      <c r="I931" s="4" t="e">
        <f>E931*VLOOKUP(B931,alimentos_master!$A:$O,15,FALSE())/100</f>
        <v>#N/A</v>
      </c>
      <c r="J931" s="4" t="e">
        <f>E931*VLOOKUP(B931,alimentos_master!$A:$R,18,FALSE())/100</f>
        <v>#N/A</v>
      </c>
    </row>
    <row r="932" spans="1:10" ht="15" customHeight="1" x14ac:dyDescent="0.2">
      <c r="A932" s="4">
        <v>931</v>
      </c>
      <c r="B932" s="4">
        <v>233</v>
      </c>
      <c r="C932" s="4" t="s">
        <v>340</v>
      </c>
      <c r="D932" s="4" t="s">
        <v>919</v>
      </c>
      <c r="E932" s="4">
        <v>150</v>
      </c>
      <c r="F932" s="4" t="s">
        <v>917</v>
      </c>
      <c r="G932" s="4" t="e">
        <f>E932*VLOOKUP(B932,alimentos_master!$A:$M,13,FALSE())/100</f>
        <v>#N/A</v>
      </c>
      <c r="H932" s="4" t="e">
        <f>E932*VLOOKUP(B932,alimentos_master!$A:$N,14,FALSE())/100</f>
        <v>#N/A</v>
      </c>
      <c r="I932" s="4" t="e">
        <f>E932*VLOOKUP(B932,alimentos_master!$A:$O,15,FALSE())/100</f>
        <v>#N/A</v>
      </c>
      <c r="J932" s="4" t="e">
        <f>E932*VLOOKUP(B932,alimentos_master!$A:$R,18,FALSE())/100</f>
        <v>#N/A</v>
      </c>
    </row>
    <row r="933" spans="1:10" ht="15" customHeight="1" x14ac:dyDescent="0.2">
      <c r="A933" s="4">
        <v>932</v>
      </c>
      <c r="B933" s="4">
        <v>233</v>
      </c>
      <c r="C933" s="4" t="s">
        <v>340</v>
      </c>
      <c r="D933" s="4" t="s">
        <v>920</v>
      </c>
      <c r="E933" s="4">
        <v>200</v>
      </c>
      <c r="F933" s="4" t="s">
        <v>917</v>
      </c>
      <c r="G933" s="4" t="e">
        <f>E933*VLOOKUP(B933,alimentos_master!$A:$M,13,FALSE())/100</f>
        <v>#N/A</v>
      </c>
      <c r="H933" s="4" t="e">
        <f>E933*VLOOKUP(B933,alimentos_master!$A:$N,14,FALSE())/100</f>
        <v>#N/A</v>
      </c>
      <c r="I933" s="4" t="e">
        <f>E933*VLOOKUP(B933,alimentos_master!$A:$O,15,FALSE())/100</f>
        <v>#N/A</v>
      </c>
      <c r="J933" s="4" t="e">
        <f>E933*VLOOKUP(B933,alimentos_master!$A:$R,18,FALSE())/100</f>
        <v>#N/A</v>
      </c>
    </row>
    <row r="934" spans="1:10" ht="15" customHeight="1" x14ac:dyDescent="0.2">
      <c r="A934" s="4">
        <v>933</v>
      </c>
      <c r="B934" s="4">
        <v>234</v>
      </c>
      <c r="C934" s="4" t="s">
        <v>341</v>
      </c>
      <c r="D934" s="4" t="s">
        <v>916</v>
      </c>
      <c r="E934" s="4">
        <v>75</v>
      </c>
      <c r="F934" s="4" t="s">
        <v>917</v>
      </c>
      <c r="G934" s="4" t="e">
        <f>E934*VLOOKUP(B934,alimentos_master!$A:$M,13,FALSE())/100</f>
        <v>#N/A</v>
      </c>
      <c r="H934" s="4" t="e">
        <f>E934*VLOOKUP(B934,alimentos_master!$A:$N,14,FALSE())/100</f>
        <v>#N/A</v>
      </c>
      <c r="I934" s="4" t="e">
        <f>E934*VLOOKUP(B934,alimentos_master!$A:$O,15,FALSE())/100</f>
        <v>#N/A</v>
      </c>
      <c r="J934" s="4" t="e">
        <f>E934*VLOOKUP(B934,alimentos_master!$A:$R,18,FALSE())/100</f>
        <v>#N/A</v>
      </c>
    </row>
    <row r="935" spans="1:10" ht="15" customHeight="1" x14ac:dyDescent="0.2">
      <c r="A935" s="4">
        <v>934</v>
      </c>
      <c r="B935" s="4">
        <v>234</v>
      </c>
      <c r="C935" s="4" t="s">
        <v>341</v>
      </c>
      <c r="D935" s="4" t="s">
        <v>918</v>
      </c>
      <c r="E935" s="4">
        <v>100</v>
      </c>
      <c r="F935" s="4" t="s">
        <v>917</v>
      </c>
      <c r="G935" s="4" t="e">
        <f>E935*VLOOKUP(B935,alimentos_master!$A:$M,13,FALSE())/100</f>
        <v>#N/A</v>
      </c>
      <c r="H935" s="4" t="e">
        <f>E935*VLOOKUP(B935,alimentos_master!$A:$N,14,FALSE())/100</f>
        <v>#N/A</v>
      </c>
      <c r="I935" s="4" t="e">
        <f>E935*VLOOKUP(B935,alimentos_master!$A:$O,15,FALSE())/100</f>
        <v>#N/A</v>
      </c>
      <c r="J935" s="4" t="e">
        <f>E935*VLOOKUP(B935,alimentos_master!$A:$R,18,FALSE())/100</f>
        <v>#N/A</v>
      </c>
    </row>
    <row r="936" spans="1:10" ht="15" customHeight="1" x14ac:dyDescent="0.2">
      <c r="A936" s="4">
        <v>935</v>
      </c>
      <c r="B936" s="4">
        <v>234</v>
      </c>
      <c r="C936" s="4" t="s">
        <v>341</v>
      </c>
      <c r="D936" s="4" t="s">
        <v>919</v>
      </c>
      <c r="E936" s="4">
        <v>150</v>
      </c>
      <c r="F936" s="4" t="s">
        <v>917</v>
      </c>
      <c r="G936" s="4" t="e">
        <f>E936*VLOOKUP(B936,alimentos_master!$A:$M,13,FALSE())/100</f>
        <v>#N/A</v>
      </c>
      <c r="H936" s="4" t="e">
        <f>E936*VLOOKUP(B936,alimentos_master!$A:$N,14,FALSE())/100</f>
        <v>#N/A</v>
      </c>
      <c r="I936" s="4" t="e">
        <f>E936*VLOOKUP(B936,alimentos_master!$A:$O,15,FALSE())/100</f>
        <v>#N/A</v>
      </c>
      <c r="J936" s="4" t="e">
        <f>E936*VLOOKUP(B936,alimentos_master!$A:$R,18,FALSE())/100</f>
        <v>#N/A</v>
      </c>
    </row>
    <row r="937" spans="1:10" ht="15" customHeight="1" x14ac:dyDescent="0.2">
      <c r="A937" s="4">
        <v>936</v>
      </c>
      <c r="B937" s="4">
        <v>234</v>
      </c>
      <c r="C937" s="4" t="s">
        <v>341</v>
      </c>
      <c r="D937" s="4" t="s">
        <v>920</v>
      </c>
      <c r="E937" s="4">
        <v>200</v>
      </c>
      <c r="F937" s="4" t="s">
        <v>917</v>
      </c>
      <c r="G937" s="4" t="e">
        <f>E937*VLOOKUP(B937,alimentos_master!$A:$M,13,FALSE())/100</f>
        <v>#N/A</v>
      </c>
      <c r="H937" s="4" t="e">
        <f>E937*VLOOKUP(B937,alimentos_master!$A:$N,14,FALSE())/100</f>
        <v>#N/A</v>
      </c>
      <c r="I937" s="4" t="e">
        <f>E937*VLOOKUP(B937,alimentos_master!$A:$O,15,FALSE())/100</f>
        <v>#N/A</v>
      </c>
      <c r="J937" s="4" t="e">
        <f>E937*VLOOKUP(B937,alimentos_master!$A:$R,18,FALSE())/100</f>
        <v>#N/A</v>
      </c>
    </row>
    <row r="938" spans="1:10" ht="15" customHeight="1" x14ac:dyDescent="0.2">
      <c r="A938" s="4">
        <v>937</v>
      </c>
      <c r="B938" s="4">
        <v>235</v>
      </c>
      <c r="C938" s="4" t="s">
        <v>342</v>
      </c>
      <c r="D938" s="4" t="s">
        <v>916</v>
      </c>
      <c r="E938" s="4">
        <v>75</v>
      </c>
      <c r="F938" s="4" t="s">
        <v>917</v>
      </c>
      <c r="G938" s="4" t="e">
        <f>E938*VLOOKUP(B938,alimentos_master!$A:$M,13,FALSE())/100</f>
        <v>#N/A</v>
      </c>
      <c r="H938" s="4" t="e">
        <f>E938*VLOOKUP(B938,alimentos_master!$A:$N,14,FALSE())/100</f>
        <v>#N/A</v>
      </c>
      <c r="I938" s="4" t="e">
        <f>E938*VLOOKUP(B938,alimentos_master!$A:$O,15,FALSE())/100</f>
        <v>#N/A</v>
      </c>
      <c r="J938" s="4" t="e">
        <f>E938*VLOOKUP(B938,alimentos_master!$A:$R,18,FALSE())/100</f>
        <v>#N/A</v>
      </c>
    </row>
    <row r="939" spans="1:10" ht="15" customHeight="1" x14ac:dyDescent="0.2">
      <c r="A939" s="4">
        <v>938</v>
      </c>
      <c r="B939" s="4">
        <v>235</v>
      </c>
      <c r="C939" s="4" t="s">
        <v>342</v>
      </c>
      <c r="D939" s="4" t="s">
        <v>918</v>
      </c>
      <c r="E939" s="4">
        <v>100</v>
      </c>
      <c r="F939" s="4" t="s">
        <v>917</v>
      </c>
      <c r="G939" s="4" t="e">
        <f>E939*VLOOKUP(B939,alimentos_master!$A:$M,13,FALSE())/100</f>
        <v>#N/A</v>
      </c>
      <c r="H939" s="4" t="e">
        <f>E939*VLOOKUP(B939,alimentos_master!$A:$N,14,FALSE())/100</f>
        <v>#N/A</v>
      </c>
      <c r="I939" s="4" t="e">
        <f>E939*VLOOKUP(B939,alimentos_master!$A:$O,15,FALSE())/100</f>
        <v>#N/A</v>
      </c>
      <c r="J939" s="4" t="e">
        <f>E939*VLOOKUP(B939,alimentos_master!$A:$R,18,FALSE())/100</f>
        <v>#N/A</v>
      </c>
    </row>
    <row r="940" spans="1:10" ht="15" customHeight="1" x14ac:dyDescent="0.2">
      <c r="A940" s="4">
        <v>939</v>
      </c>
      <c r="B940" s="4">
        <v>235</v>
      </c>
      <c r="C940" s="4" t="s">
        <v>342</v>
      </c>
      <c r="D940" s="4" t="s">
        <v>919</v>
      </c>
      <c r="E940" s="4">
        <v>150</v>
      </c>
      <c r="F940" s="4" t="s">
        <v>917</v>
      </c>
      <c r="G940" s="4" t="e">
        <f>E940*VLOOKUP(B940,alimentos_master!$A:$M,13,FALSE())/100</f>
        <v>#N/A</v>
      </c>
      <c r="H940" s="4" t="e">
        <f>E940*VLOOKUP(B940,alimentos_master!$A:$N,14,FALSE())/100</f>
        <v>#N/A</v>
      </c>
      <c r="I940" s="4" t="e">
        <f>E940*VLOOKUP(B940,alimentos_master!$A:$O,15,FALSE())/100</f>
        <v>#N/A</v>
      </c>
      <c r="J940" s="4" t="e">
        <f>E940*VLOOKUP(B940,alimentos_master!$A:$R,18,FALSE())/100</f>
        <v>#N/A</v>
      </c>
    </row>
    <row r="941" spans="1:10" ht="15" customHeight="1" x14ac:dyDescent="0.2">
      <c r="A941" s="4">
        <v>940</v>
      </c>
      <c r="B941" s="4">
        <v>235</v>
      </c>
      <c r="C941" s="4" t="s">
        <v>342</v>
      </c>
      <c r="D941" s="4" t="s">
        <v>920</v>
      </c>
      <c r="E941" s="4">
        <v>200</v>
      </c>
      <c r="F941" s="4" t="s">
        <v>917</v>
      </c>
      <c r="G941" s="4" t="e">
        <f>E941*VLOOKUP(B941,alimentos_master!$A:$M,13,FALSE())/100</f>
        <v>#N/A</v>
      </c>
      <c r="H941" s="4" t="e">
        <f>E941*VLOOKUP(B941,alimentos_master!$A:$N,14,FALSE())/100</f>
        <v>#N/A</v>
      </c>
      <c r="I941" s="4" t="e">
        <f>E941*VLOOKUP(B941,alimentos_master!$A:$O,15,FALSE())/100</f>
        <v>#N/A</v>
      </c>
      <c r="J941" s="4" t="e">
        <f>E941*VLOOKUP(B941,alimentos_master!$A:$R,18,FALSE())/100</f>
        <v>#N/A</v>
      </c>
    </row>
    <row r="942" spans="1:10" ht="15" customHeight="1" x14ac:dyDescent="0.2">
      <c r="A942" s="4">
        <v>941</v>
      </c>
      <c r="B942" s="4">
        <v>236</v>
      </c>
      <c r="C942" s="4" t="s">
        <v>343</v>
      </c>
      <c r="D942" s="4" t="s">
        <v>916</v>
      </c>
      <c r="E942" s="4">
        <v>75</v>
      </c>
      <c r="F942" s="4" t="s">
        <v>917</v>
      </c>
      <c r="G942" s="4" t="e">
        <f>E942*VLOOKUP(B942,alimentos_master!$A:$M,13,FALSE())/100</f>
        <v>#N/A</v>
      </c>
      <c r="H942" s="4" t="e">
        <f>E942*VLOOKUP(B942,alimentos_master!$A:$N,14,FALSE())/100</f>
        <v>#N/A</v>
      </c>
      <c r="I942" s="4" t="e">
        <f>E942*VLOOKUP(B942,alimentos_master!$A:$O,15,FALSE())/100</f>
        <v>#N/A</v>
      </c>
      <c r="J942" s="4" t="e">
        <f>E942*VLOOKUP(B942,alimentos_master!$A:$R,18,FALSE())/100</f>
        <v>#N/A</v>
      </c>
    </row>
    <row r="943" spans="1:10" ht="15" customHeight="1" x14ac:dyDescent="0.2">
      <c r="A943" s="4">
        <v>942</v>
      </c>
      <c r="B943" s="4">
        <v>236</v>
      </c>
      <c r="C943" s="4" t="s">
        <v>343</v>
      </c>
      <c r="D943" s="4" t="s">
        <v>918</v>
      </c>
      <c r="E943" s="4">
        <v>100</v>
      </c>
      <c r="F943" s="4" t="s">
        <v>917</v>
      </c>
      <c r="G943" s="4" t="e">
        <f>E943*VLOOKUP(B943,alimentos_master!$A:$M,13,FALSE())/100</f>
        <v>#N/A</v>
      </c>
      <c r="H943" s="4" t="e">
        <f>E943*VLOOKUP(B943,alimentos_master!$A:$N,14,FALSE())/100</f>
        <v>#N/A</v>
      </c>
      <c r="I943" s="4" t="e">
        <f>E943*VLOOKUP(B943,alimentos_master!$A:$O,15,FALSE())/100</f>
        <v>#N/A</v>
      </c>
      <c r="J943" s="4" t="e">
        <f>E943*VLOOKUP(B943,alimentos_master!$A:$R,18,FALSE())/100</f>
        <v>#N/A</v>
      </c>
    </row>
    <row r="944" spans="1:10" ht="15" customHeight="1" x14ac:dyDescent="0.2">
      <c r="A944" s="4">
        <v>943</v>
      </c>
      <c r="B944" s="4">
        <v>236</v>
      </c>
      <c r="C944" s="4" t="s">
        <v>343</v>
      </c>
      <c r="D944" s="4" t="s">
        <v>919</v>
      </c>
      <c r="E944" s="4">
        <v>150</v>
      </c>
      <c r="F944" s="4" t="s">
        <v>917</v>
      </c>
      <c r="G944" s="4" t="e">
        <f>E944*VLOOKUP(B944,alimentos_master!$A:$M,13,FALSE())/100</f>
        <v>#N/A</v>
      </c>
      <c r="H944" s="4" t="e">
        <f>E944*VLOOKUP(B944,alimentos_master!$A:$N,14,FALSE())/100</f>
        <v>#N/A</v>
      </c>
      <c r="I944" s="4" t="e">
        <f>E944*VLOOKUP(B944,alimentos_master!$A:$O,15,FALSE())/100</f>
        <v>#N/A</v>
      </c>
      <c r="J944" s="4" t="e">
        <f>E944*VLOOKUP(B944,alimentos_master!$A:$R,18,FALSE())/100</f>
        <v>#N/A</v>
      </c>
    </row>
    <row r="945" spans="1:10" ht="15" customHeight="1" x14ac:dyDescent="0.2">
      <c r="A945" s="4">
        <v>944</v>
      </c>
      <c r="B945" s="4">
        <v>236</v>
      </c>
      <c r="C945" s="4" t="s">
        <v>343</v>
      </c>
      <c r="D945" s="4" t="s">
        <v>920</v>
      </c>
      <c r="E945" s="4">
        <v>200</v>
      </c>
      <c r="F945" s="4" t="s">
        <v>917</v>
      </c>
      <c r="G945" s="4" t="e">
        <f>E945*VLOOKUP(B945,alimentos_master!$A:$M,13,FALSE())/100</f>
        <v>#N/A</v>
      </c>
      <c r="H945" s="4" t="e">
        <f>E945*VLOOKUP(B945,alimentos_master!$A:$N,14,FALSE())/100</f>
        <v>#N/A</v>
      </c>
      <c r="I945" s="4" t="e">
        <f>E945*VLOOKUP(B945,alimentos_master!$A:$O,15,FALSE())/100</f>
        <v>#N/A</v>
      </c>
      <c r="J945" s="4" t="e">
        <f>E945*VLOOKUP(B945,alimentos_master!$A:$R,18,FALSE())/100</f>
        <v>#N/A</v>
      </c>
    </row>
    <row r="946" spans="1:10" ht="15" customHeight="1" x14ac:dyDescent="0.2">
      <c r="A946" s="4">
        <v>945</v>
      </c>
      <c r="B946" s="4">
        <v>237</v>
      </c>
      <c r="C946" s="4" t="s">
        <v>344</v>
      </c>
      <c r="D946" s="4" t="s">
        <v>916</v>
      </c>
      <c r="E946" s="4">
        <v>75</v>
      </c>
      <c r="F946" s="4" t="s">
        <v>917</v>
      </c>
      <c r="G946" s="4" t="e">
        <f>E946*VLOOKUP(B946,alimentos_master!$A:$M,13,FALSE())/100</f>
        <v>#N/A</v>
      </c>
      <c r="H946" s="4" t="e">
        <f>E946*VLOOKUP(B946,alimentos_master!$A:$N,14,FALSE())/100</f>
        <v>#N/A</v>
      </c>
      <c r="I946" s="4" t="e">
        <f>E946*VLOOKUP(B946,alimentos_master!$A:$O,15,FALSE())/100</f>
        <v>#N/A</v>
      </c>
      <c r="J946" s="4" t="e">
        <f>E946*VLOOKUP(B946,alimentos_master!$A:$R,18,FALSE())/100</f>
        <v>#N/A</v>
      </c>
    </row>
    <row r="947" spans="1:10" ht="15" customHeight="1" x14ac:dyDescent="0.2">
      <c r="A947" s="4">
        <v>946</v>
      </c>
      <c r="B947" s="4">
        <v>237</v>
      </c>
      <c r="C947" s="4" t="s">
        <v>344</v>
      </c>
      <c r="D947" s="4" t="s">
        <v>918</v>
      </c>
      <c r="E947" s="4">
        <v>100</v>
      </c>
      <c r="F947" s="4" t="s">
        <v>917</v>
      </c>
      <c r="G947" s="4" t="e">
        <f>E947*VLOOKUP(B947,alimentos_master!$A:$M,13,FALSE())/100</f>
        <v>#N/A</v>
      </c>
      <c r="H947" s="4" t="e">
        <f>E947*VLOOKUP(B947,alimentos_master!$A:$N,14,FALSE())/100</f>
        <v>#N/A</v>
      </c>
      <c r="I947" s="4" t="e">
        <f>E947*VLOOKUP(B947,alimentos_master!$A:$O,15,FALSE())/100</f>
        <v>#N/A</v>
      </c>
      <c r="J947" s="4" t="e">
        <f>E947*VLOOKUP(B947,alimentos_master!$A:$R,18,FALSE())/100</f>
        <v>#N/A</v>
      </c>
    </row>
    <row r="948" spans="1:10" ht="15" customHeight="1" x14ac:dyDescent="0.2">
      <c r="A948" s="4">
        <v>947</v>
      </c>
      <c r="B948" s="4">
        <v>237</v>
      </c>
      <c r="C948" s="4" t="s">
        <v>344</v>
      </c>
      <c r="D948" s="4" t="s">
        <v>919</v>
      </c>
      <c r="E948" s="4">
        <v>150</v>
      </c>
      <c r="F948" s="4" t="s">
        <v>917</v>
      </c>
      <c r="G948" s="4" t="e">
        <f>E948*VLOOKUP(B948,alimentos_master!$A:$M,13,FALSE())/100</f>
        <v>#N/A</v>
      </c>
      <c r="H948" s="4" t="e">
        <f>E948*VLOOKUP(B948,alimentos_master!$A:$N,14,FALSE())/100</f>
        <v>#N/A</v>
      </c>
      <c r="I948" s="4" t="e">
        <f>E948*VLOOKUP(B948,alimentos_master!$A:$O,15,FALSE())/100</f>
        <v>#N/A</v>
      </c>
      <c r="J948" s="4" t="e">
        <f>E948*VLOOKUP(B948,alimentos_master!$A:$R,18,FALSE())/100</f>
        <v>#N/A</v>
      </c>
    </row>
    <row r="949" spans="1:10" ht="15" customHeight="1" x14ac:dyDescent="0.2">
      <c r="A949" s="4">
        <v>948</v>
      </c>
      <c r="B949" s="4">
        <v>237</v>
      </c>
      <c r="C949" s="4" t="s">
        <v>344</v>
      </c>
      <c r="D949" s="4" t="s">
        <v>920</v>
      </c>
      <c r="E949" s="4">
        <v>200</v>
      </c>
      <c r="F949" s="4" t="s">
        <v>917</v>
      </c>
      <c r="G949" s="4" t="e">
        <f>E949*VLOOKUP(B949,alimentos_master!$A:$M,13,FALSE())/100</f>
        <v>#N/A</v>
      </c>
      <c r="H949" s="4" t="e">
        <f>E949*VLOOKUP(B949,alimentos_master!$A:$N,14,FALSE())/100</f>
        <v>#N/A</v>
      </c>
      <c r="I949" s="4" t="e">
        <f>E949*VLOOKUP(B949,alimentos_master!$A:$O,15,FALSE())/100</f>
        <v>#N/A</v>
      </c>
      <c r="J949" s="4" t="e">
        <f>E949*VLOOKUP(B949,alimentos_master!$A:$R,18,FALSE())/100</f>
        <v>#N/A</v>
      </c>
    </row>
    <row r="950" spans="1:10" ht="15" customHeight="1" x14ac:dyDescent="0.2">
      <c r="A950" s="4">
        <v>949</v>
      </c>
      <c r="B950" s="4">
        <v>238</v>
      </c>
      <c r="C950" s="4" t="s">
        <v>345</v>
      </c>
      <c r="D950" s="4" t="s">
        <v>916</v>
      </c>
      <c r="E950" s="4">
        <v>75</v>
      </c>
      <c r="F950" s="4" t="s">
        <v>917</v>
      </c>
      <c r="G950" s="4">
        <f>E950*VLOOKUP(B950,alimentos_master!$A:$M,13,FALSE())/100</f>
        <v>42.75</v>
      </c>
      <c r="H950" s="4">
        <f>E950*VLOOKUP(B950,alimentos_master!$A:$N,14,FALSE())/100</f>
        <v>0.3</v>
      </c>
      <c r="I950" s="4">
        <f>E950*VLOOKUP(B950,alimentos_master!$A:$O,15,FALSE())/100</f>
        <v>11.4</v>
      </c>
      <c r="J950" s="4">
        <f>E950*VLOOKUP(B950,alimentos_master!$A:$R,18,FALSE())/100</f>
        <v>7.4999999999999997E-2</v>
      </c>
    </row>
    <row r="951" spans="1:10" ht="15" customHeight="1" x14ac:dyDescent="0.2">
      <c r="A951" s="4">
        <v>950</v>
      </c>
      <c r="B951" s="4">
        <v>238</v>
      </c>
      <c r="C951" s="4" t="s">
        <v>345</v>
      </c>
      <c r="D951" s="4" t="s">
        <v>918</v>
      </c>
      <c r="E951" s="4">
        <v>100</v>
      </c>
      <c r="F951" s="4" t="s">
        <v>917</v>
      </c>
      <c r="G951" s="4">
        <f>E951*VLOOKUP(B951,alimentos_master!$A:$M,13,FALSE())/100</f>
        <v>57</v>
      </c>
      <c r="H951" s="4">
        <f>E951*VLOOKUP(B951,alimentos_master!$A:$N,14,FALSE())/100</f>
        <v>0.4</v>
      </c>
      <c r="I951" s="4">
        <f>E951*VLOOKUP(B951,alimentos_master!$A:$O,15,FALSE())/100</f>
        <v>15.2</v>
      </c>
      <c r="J951" s="4">
        <f>E951*VLOOKUP(B951,alimentos_master!$A:$R,18,FALSE())/100</f>
        <v>0.1</v>
      </c>
    </row>
    <row r="952" spans="1:10" ht="15" customHeight="1" x14ac:dyDescent="0.2">
      <c r="A952" s="4">
        <v>951</v>
      </c>
      <c r="B952" s="4">
        <v>238</v>
      </c>
      <c r="C952" s="4" t="s">
        <v>345</v>
      </c>
      <c r="D952" s="4" t="s">
        <v>919</v>
      </c>
      <c r="E952" s="4">
        <v>150</v>
      </c>
      <c r="F952" s="4" t="s">
        <v>917</v>
      </c>
      <c r="G952" s="4">
        <f>E952*VLOOKUP(B952,alimentos_master!$A:$M,13,FALSE())/100</f>
        <v>85.5</v>
      </c>
      <c r="H952" s="4">
        <f>E952*VLOOKUP(B952,alimentos_master!$A:$N,14,FALSE())/100</f>
        <v>0.6</v>
      </c>
      <c r="I952" s="4">
        <f>E952*VLOOKUP(B952,alimentos_master!$A:$O,15,FALSE())/100</f>
        <v>22.8</v>
      </c>
      <c r="J952" s="4">
        <f>E952*VLOOKUP(B952,alimentos_master!$A:$R,18,FALSE())/100</f>
        <v>0.15</v>
      </c>
    </row>
    <row r="953" spans="1:10" ht="15" customHeight="1" x14ac:dyDescent="0.2">
      <c r="A953" s="4">
        <v>952</v>
      </c>
      <c r="B953" s="4">
        <v>238</v>
      </c>
      <c r="C953" s="4" t="s">
        <v>345</v>
      </c>
      <c r="D953" s="4" t="s">
        <v>920</v>
      </c>
      <c r="E953" s="4">
        <v>200</v>
      </c>
      <c r="F953" s="4" t="s">
        <v>917</v>
      </c>
      <c r="G953" s="4">
        <f>E953*VLOOKUP(B953,alimentos_master!$A:$M,13,FALSE())/100</f>
        <v>114</v>
      </c>
      <c r="H953" s="4">
        <f>E953*VLOOKUP(B953,alimentos_master!$A:$N,14,FALSE())/100</f>
        <v>0.8</v>
      </c>
      <c r="I953" s="4">
        <f>E953*VLOOKUP(B953,alimentos_master!$A:$O,15,FALSE())/100</f>
        <v>30.4</v>
      </c>
      <c r="J953" s="4">
        <f>E953*VLOOKUP(B953,alimentos_master!$A:$R,18,FALSE())/100</f>
        <v>0.2</v>
      </c>
    </row>
    <row r="954" spans="1:10" ht="15" customHeight="1" x14ac:dyDescent="0.2">
      <c r="A954" s="4">
        <v>953</v>
      </c>
      <c r="B954" s="4">
        <v>239</v>
      </c>
      <c r="C954" s="4" t="s">
        <v>346</v>
      </c>
      <c r="D954" s="4" t="s">
        <v>916</v>
      </c>
      <c r="E954" s="4">
        <v>75</v>
      </c>
      <c r="F954" s="4" t="s">
        <v>917</v>
      </c>
      <c r="G954" s="4" t="e">
        <f>E954*VLOOKUP(B954,alimentos_master!$A:$M,13,FALSE())/100</f>
        <v>#N/A</v>
      </c>
      <c r="H954" s="4" t="e">
        <f>E954*VLOOKUP(B954,alimentos_master!$A:$N,14,FALSE())/100</f>
        <v>#N/A</v>
      </c>
      <c r="I954" s="4" t="e">
        <f>E954*VLOOKUP(B954,alimentos_master!$A:$O,15,FALSE())/100</f>
        <v>#N/A</v>
      </c>
      <c r="J954" s="4" t="e">
        <f>E954*VLOOKUP(B954,alimentos_master!$A:$R,18,FALSE())/100</f>
        <v>#N/A</v>
      </c>
    </row>
    <row r="955" spans="1:10" ht="15" customHeight="1" x14ac:dyDescent="0.2">
      <c r="A955" s="4">
        <v>954</v>
      </c>
      <c r="B955" s="4">
        <v>239</v>
      </c>
      <c r="C955" s="4" t="s">
        <v>346</v>
      </c>
      <c r="D955" s="4" t="s">
        <v>918</v>
      </c>
      <c r="E955" s="4">
        <v>100</v>
      </c>
      <c r="F955" s="4" t="s">
        <v>917</v>
      </c>
      <c r="G955" s="4" t="e">
        <f>E955*VLOOKUP(B955,alimentos_master!$A:$M,13,FALSE())/100</f>
        <v>#N/A</v>
      </c>
      <c r="H955" s="4" t="e">
        <f>E955*VLOOKUP(B955,alimentos_master!$A:$N,14,FALSE())/100</f>
        <v>#N/A</v>
      </c>
      <c r="I955" s="4" t="e">
        <f>E955*VLOOKUP(B955,alimentos_master!$A:$O,15,FALSE())/100</f>
        <v>#N/A</v>
      </c>
      <c r="J955" s="4" t="e">
        <f>E955*VLOOKUP(B955,alimentos_master!$A:$R,18,FALSE())/100</f>
        <v>#N/A</v>
      </c>
    </row>
    <row r="956" spans="1:10" ht="15" customHeight="1" x14ac:dyDescent="0.2">
      <c r="A956" s="4">
        <v>955</v>
      </c>
      <c r="B956" s="4">
        <v>239</v>
      </c>
      <c r="C956" s="4" t="s">
        <v>346</v>
      </c>
      <c r="D956" s="4" t="s">
        <v>919</v>
      </c>
      <c r="E956" s="4">
        <v>150</v>
      </c>
      <c r="F956" s="4" t="s">
        <v>917</v>
      </c>
      <c r="G956" s="4" t="e">
        <f>E956*VLOOKUP(B956,alimentos_master!$A:$M,13,FALSE())/100</f>
        <v>#N/A</v>
      </c>
      <c r="H956" s="4" t="e">
        <f>E956*VLOOKUP(B956,alimentos_master!$A:$N,14,FALSE())/100</f>
        <v>#N/A</v>
      </c>
      <c r="I956" s="4" t="e">
        <f>E956*VLOOKUP(B956,alimentos_master!$A:$O,15,FALSE())/100</f>
        <v>#N/A</v>
      </c>
      <c r="J956" s="4" t="e">
        <f>E956*VLOOKUP(B956,alimentos_master!$A:$R,18,FALSE())/100</f>
        <v>#N/A</v>
      </c>
    </row>
    <row r="957" spans="1:10" ht="15" customHeight="1" x14ac:dyDescent="0.2">
      <c r="A957" s="4">
        <v>956</v>
      </c>
      <c r="B957" s="4">
        <v>239</v>
      </c>
      <c r="C957" s="4" t="s">
        <v>346</v>
      </c>
      <c r="D957" s="4" t="s">
        <v>920</v>
      </c>
      <c r="E957" s="4">
        <v>200</v>
      </c>
      <c r="F957" s="4" t="s">
        <v>917</v>
      </c>
      <c r="G957" s="4" t="e">
        <f>E957*VLOOKUP(B957,alimentos_master!$A:$M,13,FALSE())/100</f>
        <v>#N/A</v>
      </c>
      <c r="H957" s="4" t="e">
        <f>E957*VLOOKUP(B957,alimentos_master!$A:$N,14,FALSE())/100</f>
        <v>#N/A</v>
      </c>
      <c r="I957" s="4" t="e">
        <f>E957*VLOOKUP(B957,alimentos_master!$A:$O,15,FALSE())/100</f>
        <v>#N/A</v>
      </c>
      <c r="J957" s="4" t="e">
        <f>E957*VLOOKUP(B957,alimentos_master!$A:$R,18,FALSE())/100</f>
        <v>#N/A</v>
      </c>
    </row>
    <row r="958" spans="1:10" ht="15" customHeight="1" x14ac:dyDescent="0.2">
      <c r="A958" s="4">
        <v>957</v>
      </c>
      <c r="B958" s="4">
        <v>240</v>
      </c>
      <c r="C958" s="4" t="s">
        <v>347</v>
      </c>
      <c r="D958" s="4" t="s">
        <v>916</v>
      </c>
      <c r="E958" s="4">
        <v>75</v>
      </c>
      <c r="F958" s="4" t="s">
        <v>917</v>
      </c>
      <c r="G958" s="4" t="e">
        <f>E958*VLOOKUP(B958,alimentos_master!$A:$M,13,FALSE())/100</f>
        <v>#N/A</v>
      </c>
      <c r="H958" s="4" t="e">
        <f>E958*VLOOKUP(B958,alimentos_master!$A:$N,14,FALSE())/100</f>
        <v>#N/A</v>
      </c>
      <c r="I958" s="4" t="e">
        <f>E958*VLOOKUP(B958,alimentos_master!$A:$O,15,FALSE())/100</f>
        <v>#N/A</v>
      </c>
      <c r="J958" s="4" t="e">
        <f>E958*VLOOKUP(B958,alimentos_master!$A:$R,18,FALSE())/100</f>
        <v>#N/A</v>
      </c>
    </row>
    <row r="959" spans="1:10" ht="15" customHeight="1" x14ac:dyDescent="0.2">
      <c r="A959" s="4">
        <v>958</v>
      </c>
      <c r="B959" s="4">
        <v>240</v>
      </c>
      <c r="C959" s="4" t="s">
        <v>347</v>
      </c>
      <c r="D959" s="4" t="s">
        <v>918</v>
      </c>
      <c r="E959" s="4">
        <v>100</v>
      </c>
      <c r="F959" s="4" t="s">
        <v>917</v>
      </c>
      <c r="G959" s="4" t="e">
        <f>E959*VLOOKUP(B959,alimentos_master!$A:$M,13,FALSE())/100</f>
        <v>#N/A</v>
      </c>
      <c r="H959" s="4" t="e">
        <f>E959*VLOOKUP(B959,alimentos_master!$A:$N,14,FALSE())/100</f>
        <v>#N/A</v>
      </c>
      <c r="I959" s="4" t="e">
        <f>E959*VLOOKUP(B959,alimentos_master!$A:$O,15,FALSE())/100</f>
        <v>#N/A</v>
      </c>
      <c r="J959" s="4" t="e">
        <f>E959*VLOOKUP(B959,alimentos_master!$A:$R,18,FALSE())/100</f>
        <v>#N/A</v>
      </c>
    </row>
    <row r="960" spans="1:10" ht="15" customHeight="1" x14ac:dyDescent="0.2">
      <c r="A960" s="4">
        <v>959</v>
      </c>
      <c r="B960" s="4">
        <v>240</v>
      </c>
      <c r="C960" s="4" t="s">
        <v>347</v>
      </c>
      <c r="D960" s="4" t="s">
        <v>919</v>
      </c>
      <c r="E960" s="4">
        <v>150</v>
      </c>
      <c r="F960" s="4" t="s">
        <v>917</v>
      </c>
      <c r="G960" s="4" t="e">
        <f>E960*VLOOKUP(B960,alimentos_master!$A:$M,13,FALSE())/100</f>
        <v>#N/A</v>
      </c>
      <c r="H960" s="4" t="e">
        <f>E960*VLOOKUP(B960,alimentos_master!$A:$N,14,FALSE())/100</f>
        <v>#N/A</v>
      </c>
      <c r="I960" s="4" t="e">
        <f>E960*VLOOKUP(B960,alimentos_master!$A:$O,15,FALSE())/100</f>
        <v>#N/A</v>
      </c>
      <c r="J960" s="4" t="e">
        <f>E960*VLOOKUP(B960,alimentos_master!$A:$R,18,FALSE())/100</f>
        <v>#N/A</v>
      </c>
    </row>
    <row r="961" spans="1:10" ht="15" customHeight="1" x14ac:dyDescent="0.2">
      <c r="A961" s="4">
        <v>960</v>
      </c>
      <c r="B961" s="4">
        <v>240</v>
      </c>
      <c r="C961" s="4" t="s">
        <v>347</v>
      </c>
      <c r="D961" s="4" t="s">
        <v>920</v>
      </c>
      <c r="E961" s="4">
        <v>200</v>
      </c>
      <c r="F961" s="4" t="s">
        <v>917</v>
      </c>
      <c r="G961" s="4" t="e">
        <f>E961*VLOOKUP(B961,alimentos_master!$A:$M,13,FALSE())/100</f>
        <v>#N/A</v>
      </c>
      <c r="H961" s="4" t="e">
        <f>E961*VLOOKUP(B961,alimentos_master!$A:$N,14,FALSE())/100</f>
        <v>#N/A</v>
      </c>
      <c r="I961" s="4" t="e">
        <f>E961*VLOOKUP(B961,alimentos_master!$A:$O,15,FALSE())/100</f>
        <v>#N/A</v>
      </c>
      <c r="J961" s="4" t="e">
        <f>E961*VLOOKUP(B961,alimentos_master!$A:$R,18,FALSE())/100</f>
        <v>#N/A</v>
      </c>
    </row>
    <row r="962" spans="1:10" ht="15" customHeight="1" x14ac:dyDescent="0.2">
      <c r="A962" s="4">
        <v>961</v>
      </c>
      <c r="B962" s="4">
        <v>241</v>
      </c>
      <c r="C962" s="4" t="s">
        <v>348</v>
      </c>
      <c r="D962" s="4" t="s">
        <v>916</v>
      </c>
      <c r="E962" s="4">
        <v>75</v>
      </c>
      <c r="F962" s="4" t="s">
        <v>917</v>
      </c>
      <c r="G962" s="4" t="e">
        <f>E962*VLOOKUP(B962,alimentos_master!$A:$M,13,FALSE())/100</f>
        <v>#N/A</v>
      </c>
      <c r="H962" s="4" t="e">
        <f>E962*VLOOKUP(B962,alimentos_master!$A:$N,14,FALSE())/100</f>
        <v>#N/A</v>
      </c>
      <c r="I962" s="4" t="e">
        <f>E962*VLOOKUP(B962,alimentos_master!$A:$O,15,FALSE())/100</f>
        <v>#N/A</v>
      </c>
      <c r="J962" s="4" t="e">
        <f>E962*VLOOKUP(B962,alimentos_master!$A:$R,18,FALSE())/100</f>
        <v>#N/A</v>
      </c>
    </row>
    <row r="963" spans="1:10" ht="15" customHeight="1" x14ac:dyDescent="0.2">
      <c r="A963" s="4">
        <v>962</v>
      </c>
      <c r="B963" s="4">
        <v>241</v>
      </c>
      <c r="C963" s="4" t="s">
        <v>348</v>
      </c>
      <c r="D963" s="4" t="s">
        <v>918</v>
      </c>
      <c r="E963" s="4">
        <v>100</v>
      </c>
      <c r="F963" s="4" t="s">
        <v>917</v>
      </c>
      <c r="G963" s="4" t="e">
        <f>E963*VLOOKUP(B963,alimentos_master!$A:$M,13,FALSE())/100</f>
        <v>#N/A</v>
      </c>
      <c r="H963" s="4" t="e">
        <f>E963*VLOOKUP(B963,alimentos_master!$A:$N,14,FALSE())/100</f>
        <v>#N/A</v>
      </c>
      <c r="I963" s="4" t="e">
        <f>E963*VLOOKUP(B963,alimentos_master!$A:$O,15,FALSE())/100</f>
        <v>#N/A</v>
      </c>
      <c r="J963" s="4" t="e">
        <f>E963*VLOOKUP(B963,alimentos_master!$A:$R,18,FALSE())/100</f>
        <v>#N/A</v>
      </c>
    </row>
    <row r="964" spans="1:10" ht="15" customHeight="1" x14ac:dyDescent="0.2">
      <c r="A964" s="4">
        <v>963</v>
      </c>
      <c r="B964" s="4">
        <v>241</v>
      </c>
      <c r="C964" s="4" t="s">
        <v>348</v>
      </c>
      <c r="D964" s="4" t="s">
        <v>919</v>
      </c>
      <c r="E964" s="4">
        <v>150</v>
      </c>
      <c r="F964" s="4" t="s">
        <v>917</v>
      </c>
      <c r="G964" s="4" t="e">
        <f>E964*VLOOKUP(B964,alimentos_master!$A:$M,13,FALSE())/100</f>
        <v>#N/A</v>
      </c>
      <c r="H964" s="4" t="e">
        <f>E964*VLOOKUP(B964,alimentos_master!$A:$N,14,FALSE())/100</f>
        <v>#N/A</v>
      </c>
      <c r="I964" s="4" t="e">
        <f>E964*VLOOKUP(B964,alimentos_master!$A:$O,15,FALSE())/100</f>
        <v>#N/A</v>
      </c>
      <c r="J964" s="4" t="e">
        <f>E964*VLOOKUP(B964,alimentos_master!$A:$R,18,FALSE())/100</f>
        <v>#N/A</v>
      </c>
    </row>
    <row r="965" spans="1:10" ht="15" customHeight="1" x14ac:dyDescent="0.2">
      <c r="A965" s="4">
        <v>964</v>
      </c>
      <c r="B965" s="4">
        <v>241</v>
      </c>
      <c r="C965" s="4" t="s">
        <v>348</v>
      </c>
      <c r="D965" s="4" t="s">
        <v>920</v>
      </c>
      <c r="E965" s="4">
        <v>200</v>
      </c>
      <c r="F965" s="4" t="s">
        <v>917</v>
      </c>
      <c r="G965" s="4" t="e">
        <f>E965*VLOOKUP(B965,alimentos_master!$A:$M,13,FALSE())/100</f>
        <v>#N/A</v>
      </c>
      <c r="H965" s="4" t="e">
        <f>E965*VLOOKUP(B965,alimentos_master!$A:$N,14,FALSE())/100</f>
        <v>#N/A</v>
      </c>
      <c r="I965" s="4" t="e">
        <f>E965*VLOOKUP(B965,alimentos_master!$A:$O,15,FALSE())/100</f>
        <v>#N/A</v>
      </c>
      <c r="J965" s="4" t="e">
        <f>E965*VLOOKUP(B965,alimentos_master!$A:$R,18,FALSE())/100</f>
        <v>#N/A</v>
      </c>
    </row>
    <row r="966" spans="1:10" ht="15" customHeight="1" x14ac:dyDescent="0.2">
      <c r="A966" s="4">
        <v>965</v>
      </c>
      <c r="B966" s="4">
        <v>242</v>
      </c>
      <c r="C966" s="4" t="s">
        <v>349</v>
      </c>
      <c r="D966" s="4" t="s">
        <v>916</v>
      </c>
      <c r="E966" s="4">
        <v>75</v>
      </c>
      <c r="F966" s="4" t="s">
        <v>917</v>
      </c>
      <c r="G966" s="4" t="e">
        <f>E966*VLOOKUP(B966,alimentos_master!$A:$M,13,FALSE())/100</f>
        <v>#N/A</v>
      </c>
      <c r="H966" s="4" t="e">
        <f>E966*VLOOKUP(B966,alimentos_master!$A:$N,14,FALSE())/100</f>
        <v>#N/A</v>
      </c>
      <c r="I966" s="4" t="e">
        <f>E966*VLOOKUP(B966,alimentos_master!$A:$O,15,FALSE())/100</f>
        <v>#N/A</v>
      </c>
      <c r="J966" s="4" t="e">
        <f>E966*VLOOKUP(B966,alimentos_master!$A:$R,18,FALSE())/100</f>
        <v>#N/A</v>
      </c>
    </row>
    <row r="967" spans="1:10" ht="15" customHeight="1" x14ac:dyDescent="0.2">
      <c r="A967" s="4">
        <v>966</v>
      </c>
      <c r="B967" s="4">
        <v>242</v>
      </c>
      <c r="C967" s="4" t="s">
        <v>349</v>
      </c>
      <c r="D967" s="4" t="s">
        <v>918</v>
      </c>
      <c r="E967" s="4">
        <v>100</v>
      </c>
      <c r="F967" s="4" t="s">
        <v>917</v>
      </c>
      <c r="G967" s="4" t="e">
        <f>E967*VLOOKUP(B967,alimentos_master!$A:$M,13,FALSE())/100</f>
        <v>#N/A</v>
      </c>
      <c r="H967" s="4" t="e">
        <f>E967*VLOOKUP(B967,alimentos_master!$A:$N,14,FALSE())/100</f>
        <v>#N/A</v>
      </c>
      <c r="I967" s="4" t="e">
        <f>E967*VLOOKUP(B967,alimentos_master!$A:$O,15,FALSE())/100</f>
        <v>#N/A</v>
      </c>
      <c r="J967" s="4" t="e">
        <f>E967*VLOOKUP(B967,alimentos_master!$A:$R,18,FALSE())/100</f>
        <v>#N/A</v>
      </c>
    </row>
    <row r="968" spans="1:10" ht="15" customHeight="1" x14ac:dyDescent="0.2">
      <c r="A968" s="4">
        <v>967</v>
      </c>
      <c r="B968" s="4">
        <v>242</v>
      </c>
      <c r="C968" s="4" t="s">
        <v>349</v>
      </c>
      <c r="D968" s="4" t="s">
        <v>919</v>
      </c>
      <c r="E968" s="4">
        <v>150</v>
      </c>
      <c r="F968" s="4" t="s">
        <v>917</v>
      </c>
      <c r="G968" s="4" t="e">
        <f>E968*VLOOKUP(B968,alimentos_master!$A:$M,13,FALSE())/100</f>
        <v>#N/A</v>
      </c>
      <c r="H968" s="4" t="e">
        <f>E968*VLOOKUP(B968,alimentos_master!$A:$N,14,FALSE())/100</f>
        <v>#N/A</v>
      </c>
      <c r="I968" s="4" t="e">
        <f>E968*VLOOKUP(B968,alimentos_master!$A:$O,15,FALSE())/100</f>
        <v>#N/A</v>
      </c>
      <c r="J968" s="4" t="e">
        <f>E968*VLOOKUP(B968,alimentos_master!$A:$R,18,FALSE())/100</f>
        <v>#N/A</v>
      </c>
    </row>
    <row r="969" spans="1:10" ht="15" customHeight="1" x14ac:dyDescent="0.2">
      <c r="A969" s="4">
        <v>968</v>
      </c>
      <c r="B969" s="4">
        <v>242</v>
      </c>
      <c r="C969" s="4" t="s">
        <v>349</v>
      </c>
      <c r="D969" s="4" t="s">
        <v>920</v>
      </c>
      <c r="E969" s="4">
        <v>200</v>
      </c>
      <c r="F969" s="4" t="s">
        <v>917</v>
      </c>
      <c r="G969" s="4" t="e">
        <f>E969*VLOOKUP(B969,alimentos_master!$A:$M,13,FALSE())/100</f>
        <v>#N/A</v>
      </c>
      <c r="H969" s="4" t="e">
        <f>E969*VLOOKUP(B969,alimentos_master!$A:$N,14,FALSE())/100</f>
        <v>#N/A</v>
      </c>
      <c r="I969" s="4" t="e">
        <f>E969*VLOOKUP(B969,alimentos_master!$A:$O,15,FALSE())/100</f>
        <v>#N/A</v>
      </c>
      <c r="J969" s="4" t="e">
        <f>E969*VLOOKUP(B969,alimentos_master!$A:$R,18,FALSE())/100</f>
        <v>#N/A</v>
      </c>
    </row>
    <row r="970" spans="1:10" ht="15" customHeight="1" x14ac:dyDescent="0.2">
      <c r="A970" s="4">
        <v>969</v>
      </c>
      <c r="B970" s="4">
        <v>243</v>
      </c>
      <c r="C970" s="4" t="s">
        <v>350</v>
      </c>
      <c r="D970" s="4" t="s">
        <v>916</v>
      </c>
      <c r="E970" s="4">
        <v>75</v>
      </c>
      <c r="F970" s="4" t="s">
        <v>917</v>
      </c>
      <c r="G970" s="4" t="e">
        <f>E970*VLOOKUP(B970,alimentos_master!$A:$M,13,FALSE())/100</f>
        <v>#N/A</v>
      </c>
      <c r="H970" s="4" t="e">
        <f>E970*VLOOKUP(B970,alimentos_master!$A:$N,14,FALSE())/100</f>
        <v>#N/A</v>
      </c>
      <c r="I970" s="4" t="e">
        <f>E970*VLOOKUP(B970,alimentos_master!$A:$O,15,FALSE())/100</f>
        <v>#N/A</v>
      </c>
      <c r="J970" s="4" t="e">
        <f>E970*VLOOKUP(B970,alimentos_master!$A:$R,18,FALSE())/100</f>
        <v>#N/A</v>
      </c>
    </row>
    <row r="971" spans="1:10" ht="15" customHeight="1" x14ac:dyDescent="0.2">
      <c r="A971" s="4">
        <v>970</v>
      </c>
      <c r="B971" s="4">
        <v>243</v>
      </c>
      <c r="C971" s="4" t="s">
        <v>350</v>
      </c>
      <c r="D971" s="4" t="s">
        <v>918</v>
      </c>
      <c r="E971" s="4">
        <v>100</v>
      </c>
      <c r="F971" s="4" t="s">
        <v>917</v>
      </c>
      <c r="G971" s="4" t="e">
        <f>E971*VLOOKUP(B971,alimentos_master!$A:$M,13,FALSE())/100</f>
        <v>#N/A</v>
      </c>
      <c r="H971" s="4" t="e">
        <f>E971*VLOOKUP(B971,alimentos_master!$A:$N,14,FALSE())/100</f>
        <v>#N/A</v>
      </c>
      <c r="I971" s="4" t="e">
        <f>E971*VLOOKUP(B971,alimentos_master!$A:$O,15,FALSE())/100</f>
        <v>#N/A</v>
      </c>
      <c r="J971" s="4" t="e">
        <f>E971*VLOOKUP(B971,alimentos_master!$A:$R,18,FALSE())/100</f>
        <v>#N/A</v>
      </c>
    </row>
    <row r="972" spans="1:10" ht="15" customHeight="1" x14ac:dyDescent="0.2">
      <c r="A972" s="4">
        <v>971</v>
      </c>
      <c r="B972" s="4">
        <v>243</v>
      </c>
      <c r="C972" s="4" t="s">
        <v>350</v>
      </c>
      <c r="D972" s="4" t="s">
        <v>919</v>
      </c>
      <c r="E972" s="4">
        <v>150</v>
      </c>
      <c r="F972" s="4" t="s">
        <v>917</v>
      </c>
      <c r="G972" s="4" t="e">
        <f>E972*VLOOKUP(B972,alimentos_master!$A:$M,13,FALSE())/100</f>
        <v>#N/A</v>
      </c>
      <c r="H972" s="4" t="e">
        <f>E972*VLOOKUP(B972,alimentos_master!$A:$N,14,FALSE())/100</f>
        <v>#N/A</v>
      </c>
      <c r="I972" s="4" t="e">
        <f>E972*VLOOKUP(B972,alimentos_master!$A:$O,15,FALSE())/100</f>
        <v>#N/A</v>
      </c>
      <c r="J972" s="4" t="e">
        <f>E972*VLOOKUP(B972,alimentos_master!$A:$R,18,FALSE())/100</f>
        <v>#N/A</v>
      </c>
    </row>
    <row r="973" spans="1:10" ht="15" customHeight="1" x14ac:dyDescent="0.2">
      <c r="A973" s="4">
        <v>972</v>
      </c>
      <c r="B973" s="4">
        <v>243</v>
      </c>
      <c r="C973" s="4" t="s">
        <v>350</v>
      </c>
      <c r="D973" s="4" t="s">
        <v>920</v>
      </c>
      <c r="E973" s="4">
        <v>200</v>
      </c>
      <c r="F973" s="4" t="s">
        <v>917</v>
      </c>
      <c r="G973" s="4" t="e">
        <f>E973*VLOOKUP(B973,alimentos_master!$A:$M,13,FALSE())/100</f>
        <v>#N/A</v>
      </c>
      <c r="H973" s="4" t="e">
        <f>E973*VLOOKUP(B973,alimentos_master!$A:$N,14,FALSE())/100</f>
        <v>#N/A</v>
      </c>
      <c r="I973" s="4" t="e">
        <f>E973*VLOOKUP(B973,alimentos_master!$A:$O,15,FALSE())/100</f>
        <v>#N/A</v>
      </c>
      <c r="J973" s="4" t="e">
        <f>E973*VLOOKUP(B973,alimentos_master!$A:$R,18,FALSE())/100</f>
        <v>#N/A</v>
      </c>
    </row>
    <row r="974" spans="1:10" ht="15" customHeight="1" x14ac:dyDescent="0.2">
      <c r="A974" s="4">
        <v>973</v>
      </c>
      <c r="B974" s="4">
        <v>244</v>
      </c>
      <c r="C974" s="4" t="s">
        <v>351</v>
      </c>
      <c r="D974" s="4" t="s">
        <v>916</v>
      </c>
      <c r="E974" s="4">
        <v>75</v>
      </c>
      <c r="F974" s="4" t="s">
        <v>917</v>
      </c>
      <c r="G974" s="4">
        <f>E974*VLOOKUP(B974,alimentos_master!$A:$M,13,FALSE())/100</f>
        <v>35.024999999999999</v>
      </c>
      <c r="H974" s="4">
        <f>E974*VLOOKUP(B974,alimentos_master!$A:$N,14,FALSE())/100</f>
        <v>0.25500000000000006</v>
      </c>
      <c r="I974" s="4">
        <f>E974*VLOOKUP(B974,alimentos_master!$A:$O,15,FALSE())/100</f>
        <v>9.69</v>
      </c>
      <c r="J974" s="4">
        <f>E974*VLOOKUP(B974,alimentos_master!$A:$R,18,FALSE())/100</f>
        <v>6.7500000000000004E-2</v>
      </c>
    </row>
    <row r="975" spans="1:10" ht="15" customHeight="1" x14ac:dyDescent="0.2">
      <c r="A975" s="4">
        <v>974</v>
      </c>
      <c r="B975" s="4">
        <v>244</v>
      </c>
      <c r="C975" s="4" t="s">
        <v>351</v>
      </c>
      <c r="D975" s="4" t="s">
        <v>918</v>
      </c>
      <c r="E975" s="4">
        <v>100</v>
      </c>
      <c r="F975" s="4" t="s">
        <v>917</v>
      </c>
      <c r="G975" s="4">
        <f>E975*VLOOKUP(B975,alimentos_master!$A:$M,13,FALSE())/100</f>
        <v>46.7</v>
      </c>
      <c r="H975" s="4">
        <f>E975*VLOOKUP(B975,alimentos_master!$A:$N,14,FALSE())/100</f>
        <v>0.34</v>
      </c>
      <c r="I975" s="4">
        <f>E975*VLOOKUP(B975,alimentos_master!$A:$O,15,FALSE())/100</f>
        <v>12.92</v>
      </c>
      <c r="J975" s="4">
        <f>E975*VLOOKUP(B975,alimentos_master!$A:$R,18,FALSE())/100</f>
        <v>0.09</v>
      </c>
    </row>
    <row r="976" spans="1:10" ht="15" customHeight="1" x14ac:dyDescent="0.2">
      <c r="A976" s="4">
        <v>975</v>
      </c>
      <c r="B976" s="4">
        <v>244</v>
      </c>
      <c r="C976" s="4" t="s">
        <v>351</v>
      </c>
      <c r="D976" s="4" t="s">
        <v>919</v>
      </c>
      <c r="E976" s="4">
        <v>150</v>
      </c>
      <c r="F976" s="4" t="s">
        <v>917</v>
      </c>
      <c r="G976" s="4">
        <f>E976*VLOOKUP(B976,alimentos_master!$A:$M,13,FALSE())/100</f>
        <v>70.05</v>
      </c>
      <c r="H976" s="4">
        <f>E976*VLOOKUP(B976,alimentos_master!$A:$N,14,FALSE())/100</f>
        <v>0.51000000000000012</v>
      </c>
      <c r="I976" s="4">
        <f>E976*VLOOKUP(B976,alimentos_master!$A:$O,15,FALSE())/100</f>
        <v>19.38</v>
      </c>
      <c r="J976" s="4">
        <f>E976*VLOOKUP(B976,alimentos_master!$A:$R,18,FALSE())/100</f>
        <v>0.13500000000000001</v>
      </c>
    </row>
    <row r="977" spans="1:10" ht="15" customHeight="1" x14ac:dyDescent="0.2">
      <c r="A977" s="4">
        <v>976</v>
      </c>
      <c r="B977" s="4">
        <v>244</v>
      </c>
      <c r="C977" s="4" t="s">
        <v>351</v>
      </c>
      <c r="D977" s="4" t="s">
        <v>920</v>
      </c>
      <c r="E977" s="4">
        <v>200</v>
      </c>
      <c r="F977" s="4" t="s">
        <v>917</v>
      </c>
      <c r="G977" s="4">
        <f>E977*VLOOKUP(B977,alimentos_master!$A:$M,13,FALSE())/100</f>
        <v>93.4</v>
      </c>
      <c r="H977" s="4">
        <f>E977*VLOOKUP(B977,alimentos_master!$A:$N,14,FALSE())/100</f>
        <v>0.68</v>
      </c>
      <c r="I977" s="4">
        <f>E977*VLOOKUP(B977,alimentos_master!$A:$O,15,FALSE())/100</f>
        <v>25.84</v>
      </c>
      <c r="J977" s="4">
        <f>E977*VLOOKUP(B977,alimentos_master!$A:$R,18,FALSE())/100</f>
        <v>0.18</v>
      </c>
    </row>
    <row r="978" spans="1:10" ht="15" customHeight="1" x14ac:dyDescent="0.2">
      <c r="A978" s="4">
        <v>977</v>
      </c>
      <c r="B978" s="4">
        <v>245</v>
      </c>
      <c r="C978" s="4" t="s">
        <v>352</v>
      </c>
      <c r="D978" s="4" t="s">
        <v>916</v>
      </c>
      <c r="E978" s="4">
        <v>75</v>
      </c>
      <c r="F978" s="4" t="s">
        <v>917</v>
      </c>
      <c r="G978" s="4" t="e">
        <f>E978*VLOOKUP(B978,alimentos_master!$A:$M,13,FALSE())/100</f>
        <v>#N/A</v>
      </c>
      <c r="H978" s="4" t="e">
        <f>E978*VLOOKUP(B978,alimentos_master!$A:$N,14,FALSE())/100</f>
        <v>#N/A</v>
      </c>
      <c r="I978" s="4" t="e">
        <f>E978*VLOOKUP(B978,alimentos_master!$A:$O,15,FALSE())/100</f>
        <v>#N/A</v>
      </c>
      <c r="J978" s="4" t="e">
        <f>E978*VLOOKUP(B978,alimentos_master!$A:$R,18,FALSE())/100</f>
        <v>#N/A</v>
      </c>
    </row>
    <row r="979" spans="1:10" ht="15" customHeight="1" x14ac:dyDescent="0.2">
      <c r="A979" s="4">
        <v>978</v>
      </c>
      <c r="B979" s="4">
        <v>245</v>
      </c>
      <c r="C979" s="4" t="s">
        <v>352</v>
      </c>
      <c r="D979" s="4" t="s">
        <v>918</v>
      </c>
      <c r="E979" s="4">
        <v>100</v>
      </c>
      <c r="F979" s="4" t="s">
        <v>917</v>
      </c>
      <c r="G979" s="4" t="e">
        <f>E979*VLOOKUP(B979,alimentos_master!$A:$M,13,FALSE())/100</f>
        <v>#N/A</v>
      </c>
      <c r="H979" s="4" t="e">
        <f>E979*VLOOKUP(B979,alimentos_master!$A:$N,14,FALSE())/100</f>
        <v>#N/A</v>
      </c>
      <c r="I979" s="4" t="e">
        <f>E979*VLOOKUP(B979,alimentos_master!$A:$O,15,FALSE())/100</f>
        <v>#N/A</v>
      </c>
      <c r="J979" s="4" t="e">
        <f>E979*VLOOKUP(B979,alimentos_master!$A:$R,18,FALSE())/100</f>
        <v>#N/A</v>
      </c>
    </row>
    <row r="980" spans="1:10" ht="15" customHeight="1" x14ac:dyDescent="0.2">
      <c r="A980" s="4">
        <v>979</v>
      </c>
      <c r="B980" s="4">
        <v>245</v>
      </c>
      <c r="C980" s="4" t="s">
        <v>352</v>
      </c>
      <c r="D980" s="4" t="s">
        <v>919</v>
      </c>
      <c r="E980" s="4">
        <v>150</v>
      </c>
      <c r="F980" s="4" t="s">
        <v>917</v>
      </c>
      <c r="G980" s="4" t="e">
        <f>E980*VLOOKUP(B980,alimentos_master!$A:$M,13,FALSE())/100</f>
        <v>#N/A</v>
      </c>
      <c r="H980" s="4" t="e">
        <f>E980*VLOOKUP(B980,alimentos_master!$A:$N,14,FALSE())/100</f>
        <v>#N/A</v>
      </c>
      <c r="I980" s="4" t="e">
        <f>E980*VLOOKUP(B980,alimentos_master!$A:$O,15,FALSE())/100</f>
        <v>#N/A</v>
      </c>
      <c r="J980" s="4" t="e">
        <f>E980*VLOOKUP(B980,alimentos_master!$A:$R,18,FALSE())/100</f>
        <v>#N/A</v>
      </c>
    </row>
    <row r="981" spans="1:10" ht="15" customHeight="1" x14ac:dyDescent="0.2">
      <c r="A981" s="4">
        <v>980</v>
      </c>
      <c r="B981" s="4">
        <v>245</v>
      </c>
      <c r="C981" s="4" t="s">
        <v>352</v>
      </c>
      <c r="D981" s="4" t="s">
        <v>920</v>
      </c>
      <c r="E981" s="4">
        <v>200</v>
      </c>
      <c r="F981" s="4" t="s">
        <v>917</v>
      </c>
      <c r="G981" s="4" t="e">
        <f>E981*VLOOKUP(B981,alimentos_master!$A:$M,13,FALSE())/100</f>
        <v>#N/A</v>
      </c>
      <c r="H981" s="4" t="e">
        <f>E981*VLOOKUP(B981,alimentos_master!$A:$N,14,FALSE())/100</f>
        <v>#N/A</v>
      </c>
      <c r="I981" s="4" t="e">
        <f>E981*VLOOKUP(B981,alimentos_master!$A:$O,15,FALSE())/100</f>
        <v>#N/A</v>
      </c>
      <c r="J981" s="4" t="e">
        <f>E981*VLOOKUP(B981,alimentos_master!$A:$R,18,FALSE())/100</f>
        <v>#N/A</v>
      </c>
    </row>
    <row r="982" spans="1:10" ht="15" customHeight="1" x14ac:dyDescent="0.2">
      <c r="A982" s="4">
        <v>981</v>
      </c>
      <c r="B982" s="4">
        <v>246</v>
      </c>
      <c r="C982" s="4" t="s">
        <v>353</v>
      </c>
      <c r="D982" s="4" t="s">
        <v>916</v>
      </c>
      <c r="E982" s="4">
        <v>75</v>
      </c>
      <c r="F982" s="4" t="s">
        <v>917</v>
      </c>
      <c r="G982" s="4" t="e">
        <f>E982*VLOOKUP(B982,alimentos_master!$A:$M,13,FALSE())/100</f>
        <v>#N/A</v>
      </c>
      <c r="H982" s="4" t="e">
        <f>E982*VLOOKUP(B982,alimentos_master!$A:$N,14,FALSE())/100</f>
        <v>#N/A</v>
      </c>
      <c r="I982" s="4" t="e">
        <f>E982*VLOOKUP(B982,alimentos_master!$A:$O,15,FALSE())/100</f>
        <v>#N/A</v>
      </c>
      <c r="J982" s="4" t="e">
        <f>E982*VLOOKUP(B982,alimentos_master!$A:$R,18,FALSE())/100</f>
        <v>#N/A</v>
      </c>
    </row>
    <row r="983" spans="1:10" ht="15" customHeight="1" x14ac:dyDescent="0.2">
      <c r="A983" s="4">
        <v>982</v>
      </c>
      <c r="B983" s="4">
        <v>246</v>
      </c>
      <c r="C983" s="4" t="s">
        <v>353</v>
      </c>
      <c r="D983" s="4" t="s">
        <v>918</v>
      </c>
      <c r="E983" s="4">
        <v>100</v>
      </c>
      <c r="F983" s="4" t="s">
        <v>917</v>
      </c>
      <c r="G983" s="4" t="e">
        <f>E983*VLOOKUP(B983,alimentos_master!$A:$M,13,FALSE())/100</f>
        <v>#N/A</v>
      </c>
      <c r="H983" s="4" t="e">
        <f>E983*VLOOKUP(B983,alimentos_master!$A:$N,14,FALSE())/100</f>
        <v>#N/A</v>
      </c>
      <c r="I983" s="4" t="e">
        <f>E983*VLOOKUP(B983,alimentos_master!$A:$O,15,FALSE())/100</f>
        <v>#N/A</v>
      </c>
      <c r="J983" s="4" t="e">
        <f>E983*VLOOKUP(B983,alimentos_master!$A:$R,18,FALSE())/100</f>
        <v>#N/A</v>
      </c>
    </row>
    <row r="984" spans="1:10" ht="15" customHeight="1" x14ac:dyDescent="0.2">
      <c r="A984" s="4">
        <v>983</v>
      </c>
      <c r="B984" s="4">
        <v>246</v>
      </c>
      <c r="C984" s="4" t="s">
        <v>353</v>
      </c>
      <c r="D984" s="4" t="s">
        <v>919</v>
      </c>
      <c r="E984" s="4">
        <v>150</v>
      </c>
      <c r="F984" s="4" t="s">
        <v>917</v>
      </c>
      <c r="G984" s="4" t="e">
        <f>E984*VLOOKUP(B984,alimentos_master!$A:$M,13,FALSE())/100</f>
        <v>#N/A</v>
      </c>
      <c r="H984" s="4" t="e">
        <f>E984*VLOOKUP(B984,alimentos_master!$A:$N,14,FALSE())/100</f>
        <v>#N/A</v>
      </c>
      <c r="I984" s="4" t="e">
        <f>E984*VLOOKUP(B984,alimentos_master!$A:$O,15,FALSE())/100</f>
        <v>#N/A</v>
      </c>
      <c r="J984" s="4" t="e">
        <f>E984*VLOOKUP(B984,alimentos_master!$A:$R,18,FALSE())/100</f>
        <v>#N/A</v>
      </c>
    </row>
    <row r="985" spans="1:10" ht="15" customHeight="1" x14ac:dyDescent="0.2">
      <c r="A985" s="4">
        <v>984</v>
      </c>
      <c r="B985" s="4">
        <v>246</v>
      </c>
      <c r="C985" s="4" t="s">
        <v>353</v>
      </c>
      <c r="D985" s="4" t="s">
        <v>920</v>
      </c>
      <c r="E985" s="4">
        <v>200</v>
      </c>
      <c r="F985" s="4" t="s">
        <v>917</v>
      </c>
      <c r="G985" s="4" t="e">
        <f>E985*VLOOKUP(B985,alimentos_master!$A:$M,13,FALSE())/100</f>
        <v>#N/A</v>
      </c>
      <c r="H985" s="4" t="e">
        <f>E985*VLOOKUP(B985,alimentos_master!$A:$N,14,FALSE())/100</f>
        <v>#N/A</v>
      </c>
      <c r="I985" s="4" t="e">
        <f>E985*VLOOKUP(B985,alimentos_master!$A:$O,15,FALSE())/100</f>
        <v>#N/A</v>
      </c>
      <c r="J985" s="4" t="e">
        <f>E985*VLOOKUP(B985,alimentos_master!$A:$R,18,FALSE())/100</f>
        <v>#N/A</v>
      </c>
    </row>
    <row r="986" spans="1:10" ht="15" customHeight="1" x14ac:dyDescent="0.2">
      <c r="A986" s="4">
        <v>985</v>
      </c>
      <c r="B986" s="4">
        <v>247</v>
      </c>
      <c r="C986" s="4" t="s">
        <v>354</v>
      </c>
      <c r="D986" s="4" t="s">
        <v>916</v>
      </c>
      <c r="E986" s="4">
        <v>75</v>
      </c>
      <c r="F986" s="4" t="s">
        <v>917</v>
      </c>
      <c r="G986" s="4" t="e">
        <f>E986*VLOOKUP(B986,alimentos_master!$A:$M,13,FALSE())/100</f>
        <v>#N/A</v>
      </c>
      <c r="H986" s="4" t="e">
        <f>E986*VLOOKUP(B986,alimentos_master!$A:$N,14,FALSE())/100</f>
        <v>#N/A</v>
      </c>
      <c r="I986" s="4" t="e">
        <f>E986*VLOOKUP(B986,alimentos_master!$A:$O,15,FALSE())/100</f>
        <v>#N/A</v>
      </c>
      <c r="J986" s="4" t="e">
        <f>E986*VLOOKUP(B986,alimentos_master!$A:$R,18,FALSE())/100</f>
        <v>#N/A</v>
      </c>
    </row>
    <row r="987" spans="1:10" ht="15" customHeight="1" x14ac:dyDescent="0.2">
      <c r="A987" s="4">
        <v>986</v>
      </c>
      <c r="B987" s="4">
        <v>247</v>
      </c>
      <c r="C987" s="4" t="s">
        <v>354</v>
      </c>
      <c r="D987" s="4" t="s">
        <v>918</v>
      </c>
      <c r="E987" s="4">
        <v>100</v>
      </c>
      <c r="F987" s="4" t="s">
        <v>917</v>
      </c>
      <c r="G987" s="4" t="e">
        <f>E987*VLOOKUP(B987,alimentos_master!$A:$M,13,FALSE())/100</f>
        <v>#N/A</v>
      </c>
      <c r="H987" s="4" t="e">
        <f>E987*VLOOKUP(B987,alimentos_master!$A:$N,14,FALSE())/100</f>
        <v>#N/A</v>
      </c>
      <c r="I987" s="4" t="e">
        <f>E987*VLOOKUP(B987,alimentos_master!$A:$O,15,FALSE())/100</f>
        <v>#N/A</v>
      </c>
      <c r="J987" s="4" t="e">
        <f>E987*VLOOKUP(B987,alimentos_master!$A:$R,18,FALSE())/100</f>
        <v>#N/A</v>
      </c>
    </row>
    <row r="988" spans="1:10" ht="15" customHeight="1" x14ac:dyDescent="0.2">
      <c r="A988" s="4">
        <v>987</v>
      </c>
      <c r="B988" s="4">
        <v>247</v>
      </c>
      <c r="C988" s="4" t="s">
        <v>354</v>
      </c>
      <c r="D988" s="4" t="s">
        <v>919</v>
      </c>
      <c r="E988" s="4">
        <v>150</v>
      </c>
      <c r="F988" s="4" t="s">
        <v>917</v>
      </c>
      <c r="G988" s="4" t="e">
        <f>E988*VLOOKUP(B988,alimentos_master!$A:$M,13,FALSE())/100</f>
        <v>#N/A</v>
      </c>
      <c r="H988" s="4" t="e">
        <f>E988*VLOOKUP(B988,alimentos_master!$A:$N,14,FALSE())/100</f>
        <v>#N/A</v>
      </c>
      <c r="I988" s="4" t="e">
        <f>E988*VLOOKUP(B988,alimentos_master!$A:$O,15,FALSE())/100</f>
        <v>#N/A</v>
      </c>
      <c r="J988" s="4" t="e">
        <f>E988*VLOOKUP(B988,alimentos_master!$A:$R,18,FALSE())/100</f>
        <v>#N/A</v>
      </c>
    </row>
    <row r="989" spans="1:10" ht="15" customHeight="1" x14ac:dyDescent="0.2">
      <c r="A989" s="4">
        <v>988</v>
      </c>
      <c r="B989" s="4">
        <v>247</v>
      </c>
      <c r="C989" s="4" t="s">
        <v>354</v>
      </c>
      <c r="D989" s="4" t="s">
        <v>920</v>
      </c>
      <c r="E989" s="4">
        <v>200</v>
      </c>
      <c r="F989" s="4" t="s">
        <v>917</v>
      </c>
      <c r="G989" s="4" t="e">
        <f>E989*VLOOKUP(B989,alimentos_master!$A:$M,13,FALSE())/100</f>
        <v>#N/A</v>
      </c>
      <c r="H989" s="4" t="e">
        <f>E989*VLOOKUP(B989,alimentos_master!$A:$N,14,FALSE())/100</f>
        <v>#N/A</v>
      </c>
      <c r="I989" s="4" t="e">
        <f>E989*VLOOKUP(B989,alimentos_master!$A:$O,15,FALSE())/100</f>
        <v>#N/A</v>
      </c>
      <c r="J989" s="4" t="e">
        <f>E989*VLOOKUP(B989,alimentos_master!$A:$R,18,FALSE())/100</f>
        <v>#N/A</v>
      </c>
    </row>
    <row r="990" spans="1:10" ht="15" customHeight="1" x14ac:dyDescent="0.2">
      <c r="A990" s="4">
        <v>989</v>
      </c>
      <c r="B990" s="4">
        <v>248</v>
      </c>
      <c r="C990" s="4" t="s">
        <v>355</v>
      </c>
      <c r="D990" s="4" t="s">
        <v>916</v>
      </c>
      <c r="E990" s="4">
        <v>75</v>
      </c>
      <c r="F990" s="4" t="s">
        <v>917</v>
      </c>
      <c r="G990" s="4" t="e">
        <f>E990*VLOOKUP(B990,alimentos_master!$A:$M,13,FALSE())/100</f>
        <v>#N/A</v>
      </c>
      <c r="H990" s="4" t="e">
        <f>E990*VLOOKUP(B990,alimentos_master!$A:$N,14,FALSE())/100</f>
        <v>#N/A</v>
      </c>
      <c r="I990" s="4" t="e">
        <f>E990*VLOOKUP(B990,alimentos_master!$A:$O,15,FALSE())/100</f>
        <v>#N/A</v>
      </c>
      <c r="J990" s="4" t="e">
        <f>E990*VLOOKUP(B990,alimentos_master!$A:$R,18,FALSE())/100</f>
        <v>#N/A</v>
      </c>
    </row>
    <row r="991" spans="1:10" ht="15" customHeight="1" x14ac:dyDescent="0.2">
      <c r="A991" s="4">
        <v>990</v>
      </c>
      <c r="B991" s="4">
        <v>248</v>
      </c>
      <c r="C991" s="4" t="s">
        <v>355</v>
      </c>
      <c r="D991" s="4" t="s">
        <v>918</v>
      </c>
      <c r="E991" s="4">
        <v>100</v>
      </c>
      <c r="F991" s="4" t="s">
        <v>917</v>
      </c>
      <c r="G991" s="4" t="e">
        <f>E991*VLOOKUP(B991,alimentos_master!$A:$M,13,FALSE())/100</f>
        <v>#N/A</v>
      </c>
      <c r="H991" s="4" t="e">
        <f>E991*VLOOKUP(B991,alimentos_master!$A:$N,14,FALSE())/100</f>
        <v>#N/A</v>
      </c>
      <c r="I991" s="4" t="e">
        <f>E991*VLOOKUP(B991,alimentos_master!$A:$O,15,FALSE())/100</f>
        <v>#N/A</v>
      </c>
      <c r="J991" s="4" t="e">
        <f>E991*VLOOKUP(B991,alimentos_master!$A:$R,18,FALSE())/100</f>
        <v>#N/A</v>
      </c>
    </row>
    <row r="992" spans="1:10" ht="15" customHeight="1" x14ac:dyDescent="0.2">
      <c r="A992" s="4">
        <v>991</v>
      </c>
      <c r="B992" s="4">
        <v>248</v>
      </c>
      <c r="C992" s="4" t="s">
        <v>355</v>
      </c>
      <c r="D992" s="4" t="s">
        <v>919</v>
      </c>
      <c r="E992" s="4">
        <v>150</v>
      </c>
      <c r="F992" s="4" t="s">
        <v>917</v>
      </c>
      <c r="G992" s="4" t="e">
        <f>E992*VLOOKUP(B992,alimentos_master!$A:$M,13,FALSE())/100</f>
        <v>#N/A</v>
      </c>
      <c r="H992" s="4" t="e">
        <f>E992*VLOOKUP(B992,alimentos_master!$A:$N,14,FALSE())/100</f>
        <v>#N/A</v>
      </c>
      <c r="I992" s="4" t="e">
        <f>E992*VLOOKUP(B992,alimentos_master!$A:$O,15,FALSE())/100</f>
        <v>#N/A</v>
      </c>
      <c r="J992" s="4" t="e">
        <f>E992*VLOOKUP(B992,alimentos_master!$A:$R,18,FALSE())/100</f>
        <v>#N/A</v>
      </c>
    </row>
    <row r="993" spans="1:10" ht="15" customHeight="1" x14ac:dyDescent="0.2">
      <c r="A993" s="4">
        <v>992</v>
      </c>
      <c r="B993" s="4">
        <v>248</v>
      </c>
      <c r="C993" s="4" t="s">
        <v>355</v>
      </c>
      <c r="D993" s="4" t="s">
        <v>920</v>
      </c>
      <c r="E993" s="4">
        <v>200</v>
      </c>
      <c r="F993" s="4" t="s">
        <v>917</v>
      </c>
      <c r="G993" s="4" t="e">
        <f>E993*VLOOKUP(B993,alimentos_master!$A:$M,13,FALSE())/100</f>
        <v>#N/A</v>
      </c>
      <c r="H993" s="4" t="e">
        <f>E993*VLOOKUP(B993,alimentos_master!$A:$N,14,FALSE())/100</f>
        <v>#N/A</v>
      </c>
      <c r="I993" s="4" t="e">
        <f>E993*VLOOKUP(B993,alimentos_master!$A:$O,15,FALSE())/100</f>
        <v>#N/A</v>
      </c>
      <c r="J993" s="4" t="e">
        <f>E993*VLOOKUP(B993,alimentos_master!$A:$R,18,FALSE())/100</f>
        <v>#N/A</v>
      </c>
    </row>
    <row r="994" spans="1:10" ht="15" customHeight="1" x14ac:dyDescent="0.2">
      <c r="A994" s="4">
        <v>993</v>
      </c>
      <c r="B994" s="4">
        <v>249</v>
      </c>
      <c r="C994" s="4" t="s">
        <v>356</v>
      </c>
      <c r="D994" s="4" t="s">
        <v>916</v>
      </c>
      <c r="E994" s="4">
        <v>75</v>
      </c>
      <c r="F994" s="4" t="s">
        <v>917</v>
      </c>
      <c r="G994" s="4" t="e">
        <f>E994*VLOOKUP(B994,alimentos_master!$A:$M,13,FALSE())/100</f>
        <v>#N/A</v>
      </c>
      <c r="H994" s="4" t="e">
        <f>E994*VLOOKUP(B994,alimentos_master!$A:$N,14,FALSE())/100</f>
        <v>#N/A</v>
      </c>
      <c r="I994" s="4" t="e">
        <f>E994*VLOOKUP(B994,alimentos_master!$A:$O,15,FALSE())/100</f>
        <v>#N/A</v>
      </c>
      <c r="J994" s="4" t="e">
        <f>E994*VLOOKUP(B994,alimentos_master!$A:$R,18,FALSE())/100</f>
        <v>#N/A</v>
      </c>
    </row>
    <row r="995" spans="1:10" ht="15" customHeight="1" x14ac:dyDescent="0.2">
      <c r="A995" s="4">
        <v>994</v>
      </c>
      <c r="B995" s="4">
        <v>249</v>
      </c>
      <c r="C995" s="4" t="s">
        <v>356</v>
      </c>
      <c r="D995" s="4" t="s">
        <v>918</v>
      </c>
      <c r="E995" s="4">
        <v>100</v>
      </c>
      <c r="F995" s="4" t="s">
        <v>917</v>
      </c>
      <c r="G995" s="4" t="e">
        <f>E995*VLOOKUP(B995,alimentos_master!$A:$M,13,FALSE())/100</f>
        <v>#N/A</v>
      </c>
      <c r="H995" s="4" t="e">
        <f>E995*VLOOKUP(B995,alimentos_master!$A:$N,14,FALSE())/100</f>
        <v>#N/A</v>
      </c>
      <c r="I995" s="4" t="e">
        <f>E995*VLOOKUP(B995,alimentos_master!$A:$O,15,FALSE())/100</f>
        <v>#N/A</v>
      </c>
      <c r="J995" s="4" t="e">
        <f>E995*VLOOKUP(B995,alimentos_master!$A:$R,18,FALSE())/100</f>
        <v>#N/A</v>
      </c>
    </row>
    <row r="996" spans="1:10" ht="15" customHeight="1" x14ac:dyDescent="0.2">
      <c r="A996" s="4">
        <v>995</v>
      </c>
      <c r="B996" s="4">
        <v>249</v>
      </c>
      <c r="C996" s="4" t="s">
        <v>356</v>
      </c>
      <c r="D996" s="4" t="s">
        <v>919</v>
      </c>
      <c r="E996" s="4">
        <v>150</v>
      </c>
      <c r="F996" s="4" t="s">
        <v>917</v>
      </c>
      <c r="G996" s="4" t="e">
        <f>E996*VLOOKUP(B996,alimentos_master!$A:$M,13,FALSE())/100</f>
        <v>#N/A</v>
      </c>
      <c r="H996" s="4" t="e">
        <f>E996*VLOOKUP(B996,alimentos_master!$A:$N,14,FALSE())/100</f>
        <v>#N/A</v>
      </c>
      <c r="I996" s="4" t="e">
        <f>E996*VLOOKUP(B996,alimentos_master!$A:$O,15,FALSE())/100</f>
        <v>#N/A</v>
      </c>
      <c r="J996" s="4" t="e">
        <f>E996*VLOOKUP(B996,alimentos_master!$A:$R,18,FALSE())/100</f>
        <v>#N/A</v>
      </c>
    </row>
    <row r="997" spans="1:10" ht="15" customHeight="1" x14ac:dyDescent="0.2">
      <c r="A997" s="4">
        <v>996</v>
      </c>
      <c r="B997" s="4">
        <v>249</v>
      </c>
      <c r="C997" s="4" t="s">
        <v>356</v>
      </c>
      <c r="D997" s="4" t="s">
        <v>920</v>
      </c>
      <c r="E997" s="4">
        <v>200</v>
      </c>
      <c r="F997" s="4" t="s">
        <v>917</v>
      </c>
      <c r="G997" s="4" t="e">
        <f>E997*VLOOKUP(B997,alimentos_master!$A:$M,13,FALSE())/100</f>
        <v>#N/A</v>
      </c>
      <c r="H997" s="4" t="e">
        <f>E997*VLOOKUP(B997,alimentos_master!$A:$N,14,FALSE())/100</f>
        <v>#N/A</v>
      </c>
      <c r="I997" s="4" t="e">
        <f>E997*VLOOKUP(B997,alimentos_master!$A:$O,15,FALSE())/100</f>
        <v>#N/A</v>
      </c>
      <c r="J997" s="4" t="e">
        <f>E997*VLOOKUP(B997,alimentos_master!$A:$R,18,FALSE())/100</f>
        <v>#N/A</v>
      </c>
    </row>
    <row r="998" spans="1:10" ht="15" customHeight="1" x14ac:dyDescent="0.2">
      <c r="A998" s="4">
        <v>997</v>
      </c>
      <c r="B998" s="4">
        <v>250</v>
      </c>
      <c r="C998" s="4" t="s">
        <v>357</v>
      </c>
      <c r="D998" s="4" t="s">
        <v>916</v>
      </c>
      <c r="E998" s="4">
        <v>75</v>
      </c>
      <c r="F998" s="4" t="s">
        <v>917</v>
      </c>
      <c r="G998" s="4" t="e">
        <f>E998*VLOOKUP(B998,alimentos_master!$A:$M,13,FALSE())/100</f>
        <v>#N/A</v>
      </c>
      <c r="H998" s="4" t="e">
        <f>E998*VLOOKUP(B998,alimentos_master!$A:$N,14,FALSE())/100</f>
        <v>#N/A</v>
      </c>
      <c r="I998" s="4" t="e">
        <f>E998*VLOOKUP(B998,alimentos_master!$A:$O,15,FALSE())/100</f>
        <v>#N/A</v>
      </c>
      <c r="J998" s="4" t="e">
        <f>E998*VLOOKUP(B998,alimentos_master!$A:$R,18,FALSE())/100</f>
        <v>#N/A</v>
      </c>
    </row>
    <row r="999" spans="1:10" ht="15" customHeight="1" x14ac:dyDescent="0.2">
      <c r="A999" s="4">
        <v>998</v>
      </c>
      <c r="B999" s="4">
        <v>250</v>
      </c>
      <c r="C999" s="4" t="s">
        <v>357</v>
      </c>
      <c r="D999" s="4" t="s">
        <v>918</v>
      </c>
      <c r="E999" s="4">
        <v>100</v>
      </c>
      <c r="F999" s="4" t="s">
        <v>917</v>
      </c>
      <c r="G999" s="4" t="e">
        <f>E999*VLOOKUP(B999,alimentos_master!$A:$M,13,FALSE())/100</f>
        <v>#N/A</v>
      </c>
      <c r="H999" s="4" t="e">
        <f>E999*VLOOKUP(B999,alimentos_master!$A:$N,14,FALSE())/100</f>
        <v>#N/A</v>
      </c>
      <c r="I999" s="4" t="e">
        <f>E999*VLOOKUP(B999,alimentos_master!$A:$O,15,FALSE())/100</f>
        <v>#N/A</v>
      </c>
      <c r="J999" s="4" t="e">
        <f>E999*VLOOKUP(B999,alimentos_master!$A:$R,18,FALSE())/100</f>
        <v>#N/A</v>
      </c>
    </row>
    <row r="1000" spans="1:10" ht="15" customHeight="1" x14ac:dyDescent="0.2">
      <c r="A1000" s="4">
        <v>999</v>
      </c>
      <c r="B1000" s="4">
        <v>250</v>
      </c>
      <c r="C1000" s="4" t="s">
        <v>357</v>
      </c>
      <c r="D1000" s="4" t="s">
        <v>919</v>
      </c>
      <c r="E1000" s="4">
        <v>150</v>
      </c>
      <c r="F1000" s="4" t="s">
        <v>917</v>
      </c>
      <c r="G1000" s="4" t="e">
        <f>E1000*VLOOKUP(B1000,alimentos_master!$A:$M,13,FALSE())/100</f>
        <v>#N/A</v>
      </c>
      <c r="H1000" s="4" t="e">
        <f>E1000*VLOOKUP(B1000,alimentos_master!$A:$N,14,FALSE())/100</f>
        <v>#N/A</v>
      </c>
      <c r="I1000" s="4" t="e">
        <f>E1000*VLOOKUP(B1000,alimentos_master!$A:$O,15,FALSE())/100</f>
        <v>#N/A</v>
      </c>
      <c r="J1000" s="4" t="e">
        <f>E1000*VLOOKUP(B1000,alimentos_master!$A:$R,18,FALSE())/100</f>
        <v>#N/A</v>
      </c>
    </row>
    <row r="1001" spans="1:10" ht="15" customHeight="1" x14ac:dyDescent="0.2">
      <c r="A1001" s="4">
        <v>1000</v>
      </c>
      <c r="B1001" s="4">
        <v>250</v>
      </c>
      <c r="C1001" s="4" t="s">
        <v>357</v>
      </c>
      <c r="D1001" s="4" t="s">
        <v>920</v>
      </c>
      <c r="E1001" s="4">
        <v>200</v>
      </c>
      <c r="F1001" s="4" t="s">
        <v>917</v>
      </c>
      <c r="G1001" s="4" t="e">
        <f>E1001*VLOOKUP(B1001,alimentos_master!$A:$M,13,FALSE())/100</f>
        <v>#N/A</v>
      </c>
      <c r="H1001" s="4" t="e">
        <f>E1001*VLOOKUP(B1001,alimentos_master!$A:$N,14,FALSE())/100</f>
        <v>#N/A</v>
      </c>
      <c r="I1001" s="4" t="e">
        <f>E1001*VLOOKUP(B1001,alimentos_master!$A:$O,15,FALSE())/100</f>
        <v>#N/A</v>
      </c>
      <c r="J1001" s="4" t="e">
        <f>E1001*VLOOKUP(B1001,alimentos_master!$A:$R,18,FALSE())/100</f>
        <v>#N/A</v>
      </c>
    </row>
    <row r="1002" spans="1:10" ht="15" customHeight="1" x14ac:dyDescent="0.2">
      <c r="A1002" s="4">
        <v>1001</v>
      </c>
      <c r="B1002" s="4">
        <v>251</v>
      </c>
      <c r="C1002" s="4" t="s">
        <v>358</v>
      </c>
      <c r="D1002" s="4" t="s">
        <v>916</v>
      </c>
      <c r="E1002" s="4">
        <v>75</v>
      </c>
      <c r="F1002" s="4" t="s">
        <v>917</v>
      </c>
      <c r="G1002" s="4" t="e">
        <f>E1002*VLOOKUP(B1002,alimentos_master!$A:$M,13,FALSE())/100</f>
        <v>#N/A</v>
      </c>
      <c r="H1002" s="4" t="e">
        <f>E1002*VLOOKUP(B1002,alimentos_master!$A:$N,14,FALSE())/100</f>
        <v>#N/A</v>
      </c>
      <c r="I1002" s="4" t="e">
        <f>E1002*VLOOKUP(B1002,alimentos_master!$A:$O,15,FALSE())/100</f>
        <v>#N/A</v>
      </c>
      <c r="J1002" s="4" t="e">
        <f>E1002*VLOOKUP(B1002,alimentos_master!$A:$R,18,FALSE())/100</f>
        <v>#N/A</v>
      </c>
    </row>
    <row r="1003" spans="1:10" ht="15" customHeight="1" x14ac:dyDescent="0.2">
      <c r="A1003" s="4">
        <v>1002</v>
      </c>
      <c r="B1003" s="4">
        <v>251</v>
      </c>
      <c r="C1003" s="4" t="s">
        <v>358</v>
      </c>
      <c r="D1003" s="4" t="s">
        <v>918</v>
      </c>
      <c r="E1003" s="4">
        <v>100</v>
      </c>
      <c r="F1003" s="4" t="s">
        <v>917</v>
      </c>
      <c r="G1003" s="4" t="e">
        <f>E1003*VLOOKUP(B1003,alimentos_master!$A:$M,13,FALSE())/100</f>
        <v>#N/A</v>
      </c>
      <c r="H1003" s="4" t="e">
        <f>E1003*VLOOKUP(B1003,alimentos_master!$A:$N,14,FALSE())/100</f>
        <v>#N/A</v>
      </c>
      <c r="I1003" s="4" t="e">
        <f>E1003*VLOOKUP(B1003,alimentos_master!$A:$O,15,FALSE())/100</f>
        <v>#N/A</v>
      </c>
      <c r="J1003" s="4" t="e">
        <f>E1003*VLOOKUP(B1003,alimentos_master!$A:$R,18,FALSE())/100</f>
        <v>#N/A</v>
      </c>
    </row>
    <row r="1004" spans="1:10" ht="15" customHeight="1" x14ac:dyDescent="0.2">
      <c r="A1004" s="4">
        <v>1003</v>
      </c>
      <c r="B1004" s="4">
        <v>251</v>
      </c>
      <c r="C1004" s="4" t="s">
        <v>358</v>
      </c>
      <c r="D1004" s="4" t="s">
        <v>919</v>
      </c>
      <c r="E1004" s="4">
        <v>150</v>
      </c>
      <c r="F1004" s="4" t="s">
        <v>917</v>
      </c>
      <c r="G1004" s="4" t="e">
        <f>E1004*VLOOKUP(B1004,alimentos_master!$A:$M,13,FALSE())/100</f>
        <v>#N/A</v>
      </c>
      <c r="H1004" s="4" t="e">
        <f>E1004*VLOOKUP(B1004,alimentos_master!$A:$N,14,FALSE())/100</f>
        <v>#N/A</v>
      </c>
      <c r="I1004" s="4" t="e">
        <f>E1004*VLOOKUP(B1004,alimentos_master!$A:$O,15,FALSE())/100</f>
        <v>#N/A</v>
      </c>
      <c r="J1004" s="4" t="e">
        <f>E1004*VLOOKUP(B1004,alimentos_master!$A:$R,18,FALSE())/100</f>
        <v>#N/A</v>
      </c>
    </row>
    <row r="1005" spans="1:10" ht="15" customHeight="1" x14ac:dyDescent="0.2">
      <c r="A1005" s="4">
        <v>1004</v>
      </c>
      <c r="B1005" s="4">
        <v>251</v>
      </c>
      <c r="C1005" s="4" t="s">
        <v>358</v>
      </c>
      <c r="D1005" s="4" t="s">
        <v>920</v>
      </c>
      <c r="E1005" s="4">
        <v>200</v>
      </c>
      <c r="F1005" s="4" t="s">
        <v>917</v>
      </c>
      <c r="G1005" s="4" t="e">
        <f>E1005*VLOOKUP(B1005,alimentos_master!$A:$M,13,FALSE())/100</f>
        <v>#N/A</v>
      </c>
      <c r="H1005" s="4" t="e">
        <f>E1005*VLOOKUP(B1005,alimentos_master!$A:$N,14,FALSE())/100</f>
        <v>#N/A</v>
      </c>
      <c r="I1005" s="4" t="e">
        <f>E1005*VLOOKUP(B1005,alimentos_master!$A:$O,15,FALSE())/100</f>
        <v>#N/A</v>
      </c>
      <c r="J1005" s="4" t="e">
        <f>E1005*VLOOKUP(B1005,alimentos_master!$A:$R,18,FALSE())/100</f>
        <v>#N/A</v>
      </c>
    </row>
    <row r="1006" spans="1:10" ht="15" customHeight="1" x14ac:dyDescent="0.2">
      <c r="A1006" s="4">
        <v>1005</v>
      </c>
      <c r="B1006" s="4">
        <v>252</v>
      </c>
      <c r="C1006" s="4" t="s">
        <v>359</v>
      </c>
      <c r="D1006" s="4" t="s">
        <v>916</v>
      </c>
      <c r="E1006" s="4">
        <v>75</v>
      </c>
      <c r="F1006" s="4" t="s">
        <v>917</v>
      </c>
      <c r="G1006" s="4" t="e">
        <f>E1006*VLOOKUP(B1006,alimentos_master!$A:$M,13,FALSE())/100</f>
        <v>#N/A</v>
      </c>
      <c r="H1006" s="4" t="e">
        <f>E1006*VLOOKUP(B1006,alimentos_master!$A:$N,14,FALSE())/100</f>
        <v>#N/A</v>
      </c>
      <c r="I1006" s="4" t="e">
        <f>E1006*VLOOKUP(B1006,alimentos_master!$A:$O,15,FALSE())/100</f>
        <v>#N/A</v>
      </c>
      <c r="J1006" s="4" t="e">
        <f>E1006*VLOOKUP(B1006,alimentos_master!$A:$R,18,FALSE())/100</f>
        <v>#N/A</v>
      </c>
    </row>
    <row r="1007" spans="1:10" ht="15" customHeight="1" x14ac:dyDescent="0.2">
      <c r="A1007" s="4">
        <v>1006</v>
      </c>
      <c r="B1007" s="4">
        <v>252</v>
      </c>
      <c r="C1007" s="4" t="s">
        <v>359</v>
      </c>
      <c r="D1007" s="4" t="s">
        <v>918</v>
      </c>
      <c r="E1007" s="4">
        <v>100</v>
      </c>
      <c r="F1007" s="4" t="s">
        <v>917</v>
      </c>
      <c r="G1007" s="4" t="e">
        <f>E1007*VLOOKUP(B1007,alimentos_master!$A:$M,13,FALSE())/100</f>
        <v>#N/A</v>
      </c>
      <c r="H1007" s="4" t="e">
        <f>E1007*VLOOKUP(B1007,alimentos_master!$A:$N,14,FALSE())/100</f>
        <v>#N/A</v>
      </c>
      <c r="I1007" s="4" t="e">
        <f>E1007*VLOOKUP(B1007,alimentos_master!$A:$O,15,FALSE())/100</f>
        <v>#N/A</v>
      </c>
      <c r="J1007" s="4" t="e">
        <f>E1007*VLOOKUP(B1007,alimentos_master!$A:$R,18,FALSE())/100</f>
        <v>#N/A</v>
      </c>
    </row>
    <row r="1008" spans="1:10" ht="15" customHeight="1" x14ac:dyDescent="0.2">
      <c r="A1008" s="4">
        <v>1007</v>
      </c>
      <c r="B1008" s="4">
        <v>252</v>
      </c>
      <c r="C1008" s="4" t="s">
        <v>359</v>
      </c>
      <c r="D1008" s="4" t="s">
        <v>919</v>
      </c>
      <c r="E1008" s="4">
        <v>150</v>
      </c>
      <c r="F1008" s="4" t="s">
        <v>917</v>
      </c>
      <c r="G1008" s="4" t="e">
        <f>E1008*VLOOKUP(B1008,alimentos_master!$A:$M,13,FALSE())/100</f>
        <v>#N/A</v>
      </c>
      <c r="H1008" s="4" t="e">
        <f>E1008*VLOOKUP(B1008,alimentos_master!$A:$N,14,FALSE())/100</f>
        <v>#N/A</v>
      </c>
      <c r="I1008" s="4" t="e">
        <f>E1008*VLOOKUP(B1008,alimentos_master!$A:$O,15,FALSE())/100</f>
        <v>#N/A</v>
      </c>
      <c r="J1008" s="4" t="e">
        <f>E1008*VLOOKUP(B1008,alimentos_master!$A:$R,18,FALSE())/100</f>
        <v>#N/A</v>
      </c>
    </row>
    <row r="1009" spans="1:10" ht="15" customHeight="1" x14ac:dyDescent="0.2">
      <c r="A1009" s="4">
        <v>1008</v>
      </c>
      <c r="B1009" s="4">
        <v>252</v>
      </c>
      <c r="C1009" s="4" t="s">
        <v>359</v>
      </c>
      <c r="D1009" s="4" t="s">
        <v>920</v>
      </c>
      <c r="E1009" s="4">
        <v>200</v>
      </c>
      <c r="F1009" s="4" t="s">
        <v>917</v>
      </c>
      <c r="G1009" s="4" t="e">
        <f>E1009*VLOOKUP(B1009,alimentos_master!$A:$M,13,FALSE())/100</f>
        <v>#N/A</v>
      </c>
      <c r="H1009" s="4" t="e">
        <f>E1009*VLOOKUP(B1009,alimentos_master!$A:$N,14,FALSE())/100</f>
        <v>#N/A</v>
      </c>
      <c r="I1009" s="4" t="e">
        <f>E1009*VLOOKUP(B1009,alimentos_master!$A:$O,15,FALSE())/100</f>
        <v>#N/A</v>
      </c>
      <c r="J1009" s="4" t="e">
        <f>E1009*VLOOKUP(B1009,alimentos_master!$A:$R,18,FALSE())/100</f>
        <v>#N/A</v>
      </c>
    </row>
    <row r="1010" spans="1:10" ht="15" customHeight="1" x14ac:dyDescent="0.2">
      <c r="A1010" s="4">
        <v>1009</v>
      </c>
      <c r="B1010" s="4">
        <v>253</v>
      </c>
      <c r="C1010" s="4" t="s">
        <v>360</v>
      </c>
      <c r="D1010" s="4" t="s">
        <v>916</v>
      </c>
      <c r="E1010" s="4">
        <v>75</v>
      </c>
      <c r="F1010" s="4" t="s">
        <v>917</v>
      </c>
      <c r="G1010" s="4">
        <f>E1010*VLOOKUP(B1010,alimentos_master!$A:$M,13,FALSE())/100</f>
        <v>35.25</v>
      </c>
      <c r="H1010" s="4">
        <f>E1010*VLOOKUP(B1010,alimentos_master!$A:$N,14,FALSE())/100</f>
        <v>0.67500000000000004</v>
      </c>
      <c r="I1010" s="4">
        <f>E1010*VLOOKUP(B1010,alimentos_master!$A:$O,15,FALSE())/100</f>
        <v>8.85</v>
      </c>
      <c r="J1010" s="4">
        <f>E1010*VLOOKUP(B1010,alimentos_master!$A:$R,18,FALSE())/100</f>
        <v>7.4999999999999997E-2</v>
      </c>
    </row>
    <row r="1011" spans="1:10" ht="15" customHeight="1" x14ac:dyDescent="0.2">
      <c r="A1011" s="4">
        <v>1010</v>
      </c>
      <c r="B1011" s="4">
        <v>253</v>
      </c>
      <c r="C1011" s="4" t="s">
        <v>360</v>
      </c>
      <c r="D1011" s="4" t="s">
        <v>918</v>
      </c>
      <c r="E1011" s="4">
        <v>100</v>
      </c>
      <c r="F1011" s="4" t="s">
        <v>917</v>
      </c>
      <c r="G1011" s="4">
        <f>E1011*VLOOKUP(B1011,alimentos_master!$A:$M,13,FALSE())/100</f>
        <v>47</v>
      </c>
      <c r="H1011" s="4">
        <f>E1011*VLOOKUP(B1011,alimentos_master!$A:$N,14,FALSE())/100</f>
        <v>0.9</v>
      </c>
      <c r="I1011" s="4">
        <f>E1011*VLOOKUP(B1011,alimentos_master!$A:$O,15,FALSE())/100</f>
        <v>11.8</v>
      </c>
      <c r="J1011" s="4">
        <f>E1011*VLOOKUP(B1011,alimentos_master!$A:$R,18,FALSE())/100</f>
        <v>0.1</v>
      </c>
    </row>
    <row r="1012" spans="1:10" ht="15" customHeight="1" x14ac:dyDescent="0.2">
      <c r="A1012" s="4">
        <v>1011</v>
      </c>
      <c r="B1012" s="4">
        <v>253</v>
      </c>
      <c r="C1012" s="4" t="s">
        <v>360</v>
      </c>
      <c r="D1012" s="4" t="s">
        <v>919</v>
      </c>
      <c r="E1012" s="4">
        <v>150</v>
      </c>
      <c r="F1012" s="4" t="s">
        <v>917</v>
      </c>
      <c r="G1012" s="4">
        <f>E1012*VLOOKUP(B1012,alimentos_master!$A:$M,13,FALSE())/100</f>
        <v>70.5</v>
      </c>
      <c r="H1012" s="4">
        <f>E1012*VLOOKUP(B1012,alimentos_master!$A:$N,14,FALSE())/100</f>
        <v>1.35</v>
      </c>
      <c r="I1012" s="4">
        <f>E1012*VLOOKUP(B1012,alimentos_master!$A:$O,15,FALSE())/100</f>
        <v>17.7</v>
      </c>
      <c r="J1012" s="4">
        <f>E1012*VLOOKUP(B1012,alimentos_master!$A:$R,18,FALSE())/100</f>
        <v>0.15</v>
      </c>
    </row>
    <row r="1013" spans="1:10" ht="15" customHeight="1" x14ac:dyDescent="0.2">
      <c r="A1013" s="4">
        <v>1012</v>
      </c>
      <c r="B1013" s="4">
        <v>253</v>
      </c>
      <c r="C1013" s="4" t="s">
        <v>360</v>
      </c>
      <c r="D1013" s="4" t="s">
        <v>920</v>
      </c>
      <c r="E1013" s="4">
        <v>200</v>
      </c>
      <c r="F1013" s="4" t="s">
        <v>917</v>
      </c>
      <c r="G1013" s="4">
        <f>E1013*VLOOKUP(B1013,alimentos_master!$A:$M,13,FALSE())/100</f>
        <v>94</v>
      </c>
      <c r="H1013" s="4">
        <f>E1013*VLOOKUP(B1013,alimentos_master!$A:$N,14,FALSE())/100</f>
        <v>1.8</v>
      </c>
      <c r="I1013" s="4">
        <f>E1013*VLOOKUP(B1013,alimentos_master!$A:$O,15,FALSE())/100</f>
        <v>23.6</v>
      </c>
      <c r="J1013" s="4">
        <f>E1013*VLOOKUP(B1013,alimentos_master!$A:$R,18,FALSE())/100</f>
        <v>0.2</v>
      </c>
    </row>
    <row r="1014" spans="1:10" ht="15" customHeight="1" x14ac:dyDescent="0.2">
      <c r="A1014" s="4">
        <v>1013</v>
      </c>
      <c r="B1014" s="4">
        <v>254</v>
      </c>
      <c r="C1014" s="4" t="s">
        <v>362</v>
      </c>
      <c r="D1014" s="4" t="s">
        <v>916</v>
      </c>
      <c r="E1014" s="4">
        <v>75</v>
      </c>
      <c r="F1014" s="4" t="s">
        <v>917</v>
      </c>
      <c r="G1014" s="4" t="e">
        <f>E1014*VLOOKUP(B1014,alimentos_master!$A:$M,13,FALSE())/100</f>
        <v>#N/A</v>
      </c>
      <c r="H1014" s="4" t="e">
        <f>E1014*VLOOKUP(B1014,alimentos_master!$A:$N,14,FALSE())/100</f>
        <v>#N/A</v>
      </c>
      <c r="I1014" s="4" t="e">
        <f>E1014*VLOOKUP(B1014,alimentos_master!$A:$O,15,FALSE())/100</f>
        <v>#N/A</v>
      </c>
      <c r="J1014" s="4" t="e">
        <f>E1014*VLOOKUP(B1014,alimentos_master!$A:$R,18,FALSE())/100</f>
        <v>#N/A</v>
      </c>
    </row>
    <row r="1015" spans="1:10" ht="15" customHeight="1" x14ac:dyDescent="0.2">
      <c r="A1015" s="4">
        <v>1014</v>
      </c>
      <c r="B1015" s="4">
        <v>254</v>
      </c>
      <c r="C1015" s="4" t="s">
        <v>362</v>
      </c>
      <c r="D1015" s="4" t="s">
        <v>918</v>
      </c>
      <c r="E1015" s="4">
        <v>100</v>
      </c>
      <c r="F1015" s="4" t="s">
        <v>917</v>
      </c>
      <c r="G1015" s="4" t="e">
        <f>E1015*VLOOKUP(B1015,alimentos_master!$A:$M,13,FALSE())/100</f>
        <v>#N/A</v>
      </c>
      <c r="H1015" s="4" t="e">
        <f>E1015*VLOOKUP(B1015,alimentos_master!$A:$N,14,FALSE())/100</f>
        <v>#N/A</v>
      </c>
      <c r="I1015" s="4" t="e">
        <f>E1015*VLOOKUP(B1015,alimentos_master!$A:$O,15,FALSE())/100</f>
        <v>#N/A</v>
      </c>
      <c r="J1015" s="4" t="e">
        <f>E1015*VLOOKUP(B1015,alimentos_master!$A:$R,18,FALSE())/100</f>
        <v>#N/A</v>
      </c>
    </row>
    <row r="1016" spans="1:10" ht="15" customHeight="1" x14ac:dyDescent="0.2">
      <c r="A1016" s="4">
        <v>1015</v>
      </c>
      <c r="B1016" s="4">
        <v>254</v>
      </c>
      <c r="C1016" s="4" t="s">
        <v>362</v>
      </c>
      <c r="D1016" s="4" t="s">
        <v>919</v>
      </c>
      <c r="E1016" s="4">
        <v>150</v>
      </c>
      <c r="F1016" s="4" t="s">
        <v>917</v>
      </c>
      <c r="G1016" s="4" t="e">
        <f>E1016*VLOOKUP(B1016,alimentos_master!$A:$M,13,FALSE())/100</f>
        <v>#N/A</v>
      </c>
      <c r="H1016" s="4" t="e">
        <f>E1016*VLOOKUP(B1016,alimentos_master!$A:$N,14,FALSE())/100</f>
        <v>#N/A</v>
      </c>
      <c r="I1016" s="4" t="e">
        <f>E1016*VLOOKUP(B1016,alimentos_master!$A:$O,15,FALSE())/100</f>
        <v>#N/A</v>
      </c>
      <c r="J1016" s="4" t="e">
        <f>E1016*VLOOKUP(B1016,alimentos_master!$A:$R,18,FALSE())/100</f>
        <v>#N/A</v>
      </c>
    </row>
    <row r="1017" spans="1:10" ht="15" customHeight="1" x14ac:dyDescent="0.2">
      <c r="A1017" s="4">
        <v>1016</v>
      </c>
      <c r="B1017" s="4">
        <v>254</v>
      </c>
      <c r="C1017" s="4" t="s">
        <v>362</v>
      </c>
      <c r="D1017" s="4" t="s">
        <v>920</v>
      </c>
      <c r="E1017" s="4">
        <v>200</v>
      </c>
      <c r="F1017" s="4" t="s">
        <v>917</v>
      </c>
      <c r="G1017" s="4" t="e">
        <f>E1017*VLOOKUP(B1017,alimentos_master!$A:$M,13,FALSE())/100</f>
        <v>#N/A</v>
      </c>
      <c r="H1017" s="4" t="e">
        <f>E1017*VLOOKUP(B1017,alimentos_master!$A:$N,14,FALSE())/100</f>
        <v>#N/A</v>
      </c>
      <c r="I1017" s="4" t="e">
        <f>E1017*VLOOKUP(B1017,alimentos_master!$A:$O,15,FALSE())/100</f>
        <v>#N/A</v>
      </c>
      <c r="J1017" s="4" t="e">
        <f>E1017*VLOOKUP(B1017,alimentos_master!$A:$R,18,FALSE())/100</f>
        <v>#N/A</v>
      </c>
    </row>
    <row r="1018" spans="1:10" ht="15" customHeight="1" x14ac:dyDescent="0.2">
      <c r="A1018" s="4">
        <v>1017</v>
      </c>
      <c r="B1018" s="4">
        <v>255</v>
      </c>
      <c r="C1018" s="4" t="s">
        <v>363</v>
      </c>
      <c r="D1018" s="4" t="s">
        <v>916</v>
      </c>
      <c r="E1018" s="4">
        <v>75</v>
      </c>
      <c r="F1018" s="4" t="s">
        <v>917</v>
      </c>
      <c r="G1018" s="4" t="e">
        <f>E1018*VLOOKUP(B1018,alimentos_master!$A:$M,13,FALSE())/100</f>
        <v>#N/A</v>
      </c>
      <c r="H1018" s="4" t="e">
        <f>E1018*VLOOKUP(B1018,alimentos_master!$A:$N,14,FALSE())/100</f>
        <v>#N/A</v>
      </c>
      <c r="I1018" s="4" t="e">
        <f>E1018*VLOOKUP(B1018,alimentos_master!$A:$O,15,FALSE())/100</f>
        <v>#N/A</v>
      </c>
      <c r="J1018" s="4" t="e">
        <f>E1018*VLOOKUP(B1018,alimentos_master!$A:$R,18,FALSE())/100</f>
        <v>#N/A</v>
      </c>
    </row>
    <row r="1019" spans="1:10" ht="15" customHeight="1" x14ac:dyDescent="0.2">
      <c r="A1019" s="4">
        <v>1018</v>
      </c>
      <c r="B1019" s="4">
        <v>255</v>
      </c>
      <c r="C1019" s="4" t="s">
        <v>363</v>
      </c>
      <c r="D1019" s="4" t="s">
        <v>918</v>
      </c>
      <c r="E1019" s="4">
        <v>100</v>
      </c>
      <c r="F1019" s="4" t="s">
        <v>917</v>
      </c>
      <c r="G1019" s="4" t="e">
        <f>E1019*VLOOKUP(B1019,alimentos_master!$A:$M,13,FALSE())/100</f>
        <v>#N/A</v>
      </c>
      <c r="H1019" s="4" t="e">
        <f>E1019*VLOOKUP(B1019,alimentos_master!$A:$N,14,FALSE())/100</f>
        <v>#N/A</v>
      </c>
      <c r="I1019" s="4" t="e">
        <f>E1019*VLOOKUP(B1019,alimentos_master!$A:$O,15,FALSE())/100</f>
        <v>#N/A</v>
      </c>
      <c r="J1019" s="4" t="e">
        <f>E1019*VLOOKUP(B1019,alimentos_master!$A:$R,18,FALSE())/100</f>
        <v>#N/A</v>
      </c>
    </row>
    <row r="1020" spans="1:10" ht="15" customHeight="1" x14ac:dyDescent="0.2">
      <c r="A1020" s="4">
        <v>1019</v>
      </c>
      <c r="B1020" s="4">
        <v>255</v>
      </c>
      <c r="C1020" s="4" t="s">
        <v>363</v>
      </c>
      <c r="D1020" s="4" t="s">
        <v>919</v>
      </c>
      <c r="E1020" s="4">
        <v>150</v>
      </c>
      <c r="F1020" s="4" t="s">
        <v>917</v>
      </c>
      <c r="G1020" s="4" t="e">
        <f>E1020*VLOOKUP(B1020,alimentos_master!$A:$M,13,FALSE())/100</f>
        <v>#N/A</v>
      </c>
      <c r="H1020" s="4" t="e">
        <f>E1020*VLOOKUP(B1020,alimentos_master!$A:$N,14,FALSE())/100</f>
        <v>#N/A</v>
      </c>
      <c r="I1020" s="4" t="e">
        <f>E1020*VLOOKUP(B1020,alimentos_master!$A:$O,15,FALSE())/100</f>
        <v>#N/A</v>
      </c>
      <c r="J1020" s="4" t="e">
        <f>E1020*VLOOKUP(B1020,alimentos_master!$A:$R,18,FALSE())/100</f>
        <v>#N/A</v>
      </c>
    </row>
    <row r="1021" spans="1:10" ht="15" customHeight="1" x14ac:dyDescent="0.2">
      <c r="A1021" s="4">
        <v>1020</v>
      </c>
      <c r="B1021" s="4">
        <v>255</v>
      </c>
      <c r="C1021" s="4" t="s">
        <v>363</v>
      </c>
      <c r="D1021" s="4" t="s">
        <v>920</v>
      </c>
      <c r="E1021" s="4">
        <v>200</v>
      </c>
      <c r="F1021" s="4" t="s">
        <v>917</v>
      </c>
      <c r="G1021" s="4" t="e">
        <f>E1021*VLOOKUP(B1021,alimentos_master!$A:$M,13,FALSE())/100</f>
        <v>#N/A</v>
      </c>
      <c r="H1021" s="4" t="e">
        <f>E1021*VLOOKUP(B1021,alimentos_master!$A:$N,14,FALSE())/100</f>
        <v>#N/A</v>
      </c>
      <c r="I1021" s="4" t="e">
        <f>E1021*VLOOKUP(B1021,alimentos_master!$A:$O,15,FALSE())/100</f>
        <v>#N/A</v>
      </c>
      <c r="J1021" s="4" t="e">
        <f>E1021*VLOOKUP(B1021,alimentos_master!$A:$R,18,FALSE())/100</f>
        <v>#N/A</v>
      </c>
    </row>
    <row r="1022" spans="1:10" ht="15" customHeight="1" x14ac:dyDescent="0.2">
      <c r="A1022" s="4">
        <v>1021</v>
      </c>
      <c r="B1022" s="4">
        <v>256</v>
      </c>
      <c r="C1022" s="4" t="s">
        <v>364</v>
      </c>
      <c r="D1022" s="4" t="s">
        <v>916</v>
      </c>
      <c r="E1022" s="4">
        <v>75</v>
      </c>
      <c r="F1022" s="4" t="s">
        <v>917</v>
      </c>
      <c r="G1022" s="4" t="e">
        <f>E1022*VLOOKUP(B1022,alimentos_master!$A:$M,13,FALSE())/100</f>
        <v>#N/A</v>
      </c>
      <c r="H1022" s="4" t="e">
        <f>E1022*VLOOKUP(B1022,alimentos_master!$A:$N,14,FALSE())/100</f>
        <v>#N/A</v>
      </c>
      <c r="I1022" s="4" t="e">
        <f>E1022*VLOOKUP(B1022,alimentos_master!$A:$O,15,FALSE())/100</f>
        <v>#N/A</v>
      </c>
      <c r="J1022" s="4" t="e">
        <f>E1022*VLOOKUP(B1022,alimentos_master!$A:$R,18,FALSE())/100</f>
        <v>#N/A</v>
      </c>
    </row>
    <row r="1023" spans="1:10" ht="15" customHeight="1" x14ac:dyDescent="0.2">
      <c r="A1023" s="4">
        <v>1022</v>
      </c>
      <c r="B1023" s="4">
        <v>256</v>
      </c>
      <c r="C1023" s="4" t="s">
        <v>364</v>
      </c>
      <c r="D1023" s="4" t="s">
        <v>918</v>
      </c>
      <c r="E1023" s="4">
        <v>100</v>
      </c>
      <c r="F1023" s="4" t="s">
        <v>917</v>
      </c>
      <c r="G1023" s="4" t="e">
        <f>E1023*VLOOKUP(B1023,alimentos_master!$A:$M,13,FALSE())/100</f>
        <v>#N/A</v>
      </c>
      <c r="H1023" s="4" t="e">
        <f>E1023*VLOOKUP(B1023,alimentos_master!$A:$N,14,FALSE())/100</f>
        <v>#N/A</v>
      </c>
      <c r="I1023" s="4" t="e">
        <f>E1023*VLOOKUP(B1023,alimentos_master!$A:$O,15,FALSE())/100</f>
        <v>#N/A</v>
      </c>
      <c r="J1023" s="4" t="e">
        <f>E1023*VLOOKUP(B1023,alimentos_master!$A:$R,18,FALSE())/100</f>
        <v>#N/A</v>
      </c>
    </row>
    <row r="1024" spans="1:10" ht="15" customHeight="1" x14ac:dyDescent="0.2">
      <c r="A1024" s="4">
        <v>1023</v>
      </c>
      <c r="B1024" s="4">
        <v>256</v>
      </c>
      <c r="C1024" s="4" t="s">
        <v>364</v>
      </c>
      <c r="D1024" s="4" t="s">
        <v>919</v>
      </c>
      <c r="E1024" s="4">
        <v>150</v>
      </c>
      <c r="F1024" s="4" t="s">
        <v>917</v>
      </c>
      <c r="G1024" s="4" t="e">
        <f>E1024*VLOOKUP(B1024,alimentos_master!$A:$M,13,FALSE())/100</f>
        <v>#N/A</v>
      </c>
      <c r="H1024" s="4" t="e">
        <f>E1024*VLOOKUP(B1024,alimentos_master!$A:$N,14,FALSE())/100</f>
        <v>#N/A</v>
      </c>
      <c r="I1024" s="4" t="e">
        <f>E1024*VLOOKUP(B1024,alimentos_master!$A:$O,15,FALSE())/100</f>
        <v>#N/A</v>
      </c>
      <c r="J1024" s="4" t="e">
        <f>E1024*VLOOKUP(B1024,alimentos_master!$A:$R,18,FALSE())/100</f>
        <v>#N/A</v>
      </c>
    </row>
    <row r="1025" spans="1:10" ht="15" customHeight="1" x14ac:dyDescent="0.2">
      <c r="A1025" s="4">
        <v>1024</v>
      </c>
      <c r="B1025" s="4">
        <v>256</v>
      </c>
      <c r="C1025" s="4" t="s">
        <v>364</v>
      </c>
      <c r="D1025" s="4" t="s">
        <v>920</v>
      </c>
      <c r="E1025" s="4">
        <v>200</v>
      </c>
      <c r="F1025" s="4" t="s">
        <v>917</v>
      </c>
      <c r="G1025" s="4" t="e">
        <f>E1025*VLOOKUP(B1025,alimentos_master!$A:$M,13,FALSE())/100</f>
        <v>#N/A</v>
      </c>
      <c r="H1025" s="4" t="e">
        <f>E1025*VLOOKUP(B1025,alimentos_master!$A:$N,14,FALSE())/100</f>
        <v>#N/A</v>
      </c>
      <c r="I1025" s="4" t="e">
        <f>E1025*VLOOKUP(B1025,alimentos_master!$A:$O,15,FALSE())/100</f>
        <v>#N/A</v>
      </c>
      <c r="J1025" s="4" t="e">
        <f>E1025*VLOOKUP(B1025,alimentos_master!$A:$R,18,FALSE())/100</f>
        <v>#N/A</v>
      </c>
    </row>
    <row r="1026" spans="1:10" ht="15" customHeight="1" x14ac:dyDescent="0.2">
      <c r="A1026" s="4">
        <v>1025</v>
      </c>
      <c r="B1026" s="4">
        <v>257</v>
      </c>
      <c r="C1026" s="4" t="s">
        <v>365</v>
      </c>
      <c r="D1026" s="4" t="s">
        <v>916</v>
      </c>
      <c r="E1026" s="4">
        <v>75</v>
      </c>
      <c r="F1026" s="4" t="s">
        <v>917</v>
      </c>
      <c r="G1026" s="4" t="e">
        <f>E1026*VLOOKUP(B1026,alimentos_master!$A:$M,13,FALSE())/100</f>
        <v>#N/A</v>
      </c>
      <c r="H1026" s="4" t="e">
        <f>E1026*VLOOKUP(B1026,alimentos_master!$A:$N,14,FALSE())/100</f>
        <v>#N/A</v>
      </c>
      <c r="I1026" s="4" t="e">
        <f>E1026*VLOOKUP(B1026,alimentos_master!$A:$O,15,FALSE())/100</f>
        <v>#N/A</v>
      </c>
      <c r="J1026" s="4" t="e">
        <f>E1026*VLOOKUP(B1026,alimentos_master!$A:$R,18,FALSE())/100</f>
        <v>#N/A</v>
      </c>
    </row>
    <row r="1027" spans="1:10" ht="15" customHeight="1" x14ac:dyDescent="0.2">
      <c r="A1027" s="4">
        <v>1026</v>
      </c>
      <c r="B1027" s="4">
        <v>257</v>
      </c>
      <c r="C1027" s="4" t="s">
        <v>365</v>
      </c>
      <c r="D1027" s="4" t="s">
        <v>918</v>
      </c>
      <c r="E1027" s="4">
        <v>100</v>
      </c>
      <c r="F1027" s="4" t="s">
        <v>917</v>
      </c>
      <c r="G1027" s="4" t="e">
        <f>E1027*VLOOKUP(B1027,alimentos_master!$A:$M,13,FALSE())/100</f>
        <v>#N/A</v>
      </c>
      <c r="H1027" s="4" t="e">
        <f>E1027*VLOOKUP(B1027,alimentos_master!$A:$N,14,FALSE())/100</f>
        <v>#N/A</v>
      </c>
      <c r="I1027" s="4" t="e">
        <f>E1027*VLOOKUP(B1027,alimentos_master!$A:$O,15,FALSE())/100</f>
        <v>#N/A</v>
      </c>
      <c r="J1027" s="4" t="e">
        <f>E1027*VLOOKUP(B1027,alimentos_master!$A:$R,18,FALSE())/100</f>
        <v>#N/A</v>
      </c>
    </row>
    <row r="1028" spans="1:10" ht="15" customHeight="1" x14ac:dyDescent="0.2">
      <c r="A1028" s="4">
        <v>1027</v>
      </c>
      <c r="B1028" s="4">
        <v>257</v>
      </c>
      <c r="C1028" s="4" t="s">
        <v>365</v>
      </c>
      <c r="D1028" s="4" t="s">
        <v>919</v>
      </c>
      <c r="E1028" s="4">
        <v>150</v>
      </c>
      <c r="F1028" s="4" t="s">
        <v>917</v>
      </c>
      <c r="G1028" s="4" t="e">
        <f>E1028*VLOOKUP(B1028,alimentos_master!$A:$M,13,FALSE())/100</f>
        <v>#N/A</v>
      </c>
      <c r="H1028" s="4" t="e">
        <f>E1028*VLOOKUP(B1028,alimentos_master!$A:$N,14,FALSE())/100</f>
        <v>#N/A</v>
      </c>
      <c r="I1028" s="4" t="e">
        <f>E1028*VLOOKUP(B1028,alimentos_master!$A:$O,15,FALSE())/100</f>
        <v>#N/A</v>
      </c>
      <c r="J1028" s="4" t="e">
        <f>E1028*VLOOKUP(B1028,alimentos_master!$A:$R,18,FALSE())/100</f>
        <v>#N/A</v>
      </c>
    </row>
    <row r="1029" spans="1:10" ht="15" customHeight="1" x14ac:dyDescent="0.2">
      <c r="A1029" s="4">
        <v>1028</v>
      </c>
      <c r="B1029" s="4">
        <v>257</v>
      </c>
      <c r="C1029" s="4" t="s">
        <v>365</v>
      </c>
      <c r="D1029" s="4" t="s">
        <v>920</v>
      </c>
      <c r="E1029" s="4">
        <v>200</v>
      </c>
      <c r="F1029" s="4" t="s">
        <v>917</v>
      </c>
      <c r="G1029" s="4" t="e">
        <f>E1029*VLOOKUP(B1029,alimentos_master!$A:$M,13,FALSE())/100</f>
        <v>#N/A</v>
      </c>
      <c r="H1029" s="4" t="e">
        <f>E1029*VLOOKUP(B1029,alimentos_master!$A:$N,14,FALSE())/100</f>
        <v>#N/A</v>
      </c>
      <c r="I1029" s="4" t="e">
        <f>E1029*VLOOKUP(B1029,alimentos_master!$A:$O,15,FALSE())/100</f>
        <v>#N/A</v>
      </c>
      <c r="J1029" s="4" t="e">
        <f>E1029*VLOOKUP(B1029,alimentos_master!$A:$R,18,FALSE())/100</f>
        <v>#N/A</v>
      </c>
    </row>
    <row r="1030" spans="1:10" ht="15" customHeight="1" x14ac:dyDescent="0.2">
      <c r="A1030" s="4">
        <v>1029</v>
      </c>
      <c r="B1030" s="4">
        <v>258</v>
      </c>
      <c r="C1030" s="4" t="s">
        <v>366</v>
      </c>
      <c r="D1030" s="4" t="s">
        <v>916</v>
      </c>
      <c r="E1030" s="4">
        <v>75</v>
      </c>
      <c r="F1030" s="4" t="s">
        <v>917</v>
      </c>
      <c r="G1030" s="4" t="e">
        <f>E1030*VLOOKUP(B1030,alimentos_master!$A:$M,13,FALSE())/100</f>
        <v>#N/A</v>
      </c>
      <c r="H1030" s="4" t="e">
        <f>E1030*VLOOKUP(B1030,alimentos_master!$A:$N,14,FALSE())/100</f>
        <v>#N/A</v>
      </c>
      <c r="I1030" s="4" t="e">
        <f>E1030*VLOOKUP(B1030,alimentos_master!$A:$O,15,FALSE())/100</f>
        <v>#N/A</v>
      </c>
      <c r="J1030" s="4" t="e">
        <f>E1030*VLOOKUP(B1030,alimentos_master!$A:$R,18,FALSE())/100</f>
        <v>#N/A</v>
      </c>
    </row>
    <row r="1031" spans="1:10" ht="15" customHeight="1" x14ac:dyDescent="0.2">
      <c r="A1031" s="4">
        <v>1030</v>
      </c>
      <c r="B1031" s="4">
        <v>258</v>
      </c>
      <c r="C1031" s="4" t="s">
        <v>366</v>
      </c>
      <c r="D1031" s="4" t="s">
        <v>918</v>
      </c>
      <c r="E1031" s="4">
        <v>100</v>
      </c>
      <c r="F1031" s="4" t="s">
        <v>917</v>
      </c>
      <c r="G1031" s="4" t="e">
        <f>E1031*VLOOKUP(B1031,alimentos_master!$A:$M,13,FALSE())/100</f>
        <v>#N/A</v>
      </c>
      <c r="H1031" s="4" t="e">
        <f>E1031*VLOOKUP(B1031,alimentos_master!$A:$N,14,FALSE())/100</f>
        <v>#N/A</v>
      </c>
      <c r="I1031" s="4" t="e">
        <f>E1031*VLOOKUP(B1031,alimentos_master!$A:$O,15,FALSE())/100</f>
        <v>#N/A</v>
      </c>
      <c r="J1031" s="4" t="e">
        <f>E1031*VLOOKUP(B1031,alimentos_master!$A:$R,18,FALSE())/100</f>
        <v>#N/A</v>
      </c>
    </row>
    <row r="1032" spans="1:10" ht="15" customHeight="1" x14ac:dyDescent="0.2">
      <c r="A1032" s="4">
        <v>1031</v>
      </c>
      <c r="B1032" s="4">
        <v>258</v>
      </c>
      <c r="C1032" s="4" t="s">
        <v>366</v>
      </c>
      <c r="D1032" s="4" t="s">
        <v>919</v>
      </c>
      <c r="E1032" s="4">
        <v>150</v>
      </c>
      <c r="F1032" s="4" t="s">
        <v>917</v>
      </c>
      <c r="G1032" s="4" t="e">
        <f>E1032*VLOOKUP(B1032,alimentos_master!$A:$M,13,FALSE())/100</f>
        <v>#N/A</v>
      </c>
      <c r="H1032" s="4" t="e">
        <f>E1032*VLOOKUP(B1032,alimentos_master!$A:$N,14,FALSE())/100</f>
        <v>#N/A</v>
      </c>
      <c r="I1032" s="4" t="e">
        <f>E1032*VLOOKUP(B1032,alimentos_master!$A:$O,15,FALSE())/100</f>
        <v>#N/A</v>
      </c>
      <c r="J1032" s="4" t="e">
        <f>E1032*VLOOKUP(B1032,alimentos_master!$A:$R,18,FALSE())/100</f>
        <v>#N/A</v>
      </c>
    </row>
    <row r="1033" spans="1:10" ht="15" customHeight="1" x14ac:dyDescent="0.2">
      <c r="A1033" s="4">
        <v>1032</v>
      </c>
      <c r="B1033" s="4">
        <v>258</v>
      </c>
      <c r="C1033" s="4" t="s">
        <v>366</v>
      </c>
      <c r="D1033" s="4" t="s">
        <v>920</v>
      </c>
      <c r="E1033" s="4">
        <v>200</v>
      </c>
      <c r="F1033" s="4" t="s">
        <v>917</v>
      </c>
      <c r="G1033" s="4" t="e">
        <f>E1033*VLOOKUP(B1033,alimentos_master!$A:$M,13,FALSE())/100</f>
        <v>#N/A</v>
      </c>
      <c r="H1033" s="4" t="e">
        <f>E1033*VLOOKUP(B1033,alimentos_master!$A:$N,14,FALSE())/100</f>
        <v>#N/A</v>
      </c>
      <c r="I1033" s="4" t="e">
        <f>E1033*VLOOKUP(B1033,alimentos_master!$A:$O,15,FALSE())/100</f>
        <v>#N/A</v>
      </c>
      <c r="J1033" s="4" t="e">
        <f>E1033*VLOOKUP(B1033,alimentos_master!$A:$R,18,FALSE())/100</f>
        <v>#N/A</v>
      </c>
    </row>
    <row r="1034" spans="1:10" ht="15" customHeight="1" x14ac:dyDescent="0.2">
      <c r="A1034" s="4">
        <v>1033</v>
      </c>
      <c r="B1034" s="4">
        <v>259</v>
      </c>
      <c r="C1034" s="4" t="s">
        <v>367</v>
      </c>
      <c r="D1034" s="4" t="s">
        <v>916</v>
      </c>
      <c r="E1034" s="4">
        <v>75</v>
      </c>
      <c r="F1034" s="4" t="s">
        <v>917</v>
      </c>
      <c r="G1034" s="4" t="e">
        <f>E1034*VLOOKUP(B1034,alimentos_master!$A:$M,13,FALSE())/100</f>
        <v>#N/A</v>
      </c>
      <c r="H1034" s="4" t="e">
        <f>E1034*VLOOKUP(B1034,alimentos_master!$A:$N,14,FALSE())/100</f>
        <v>#N/A</v>
      </c>
      <c r="I1034" s="4" t="e">
        <f>E1034*VLOOKUP(B1034,alimentos_master!$A:$O,15,FALSE())/100</f>
        <v>#N/A</v>
      </c>
      <c r="J1034" s="4" t="e">
        <f>E1034*VLOOKUP(B1034,alimentos_master!$A:$R,18,FALSE())/100</f>
        <v>#N/A</v>
      </c>
    </row>
    <row r="1035" spans="1:10" ht="15" customHeight="1" x14ac:dyDescent="0.2">
      <c r="A1035" s="4">
        <v>1034</v>
      </c>
      <c r="B1035" s="4">
        <v>259</v>
      </c>
      <c r="C1035" s="4" t="s">
        <v>367</v>
      </c>
      <c r="D1035" s="4" t="s">
        <v>918</v>
      </c>
      <c r="E1035" s="4">
        <v>100</v>
      </c>
      <c r="F1035" s="4" t="s">
        <v>917</v>
      </c>
      <c r="G1035" s="4" t="e">
        <f>E1035*VLOOKUP(B1035,alimentos_master!$A:$M,13,FALSE())/100</f>
        <v>#N/A</v>
      </c>
      <c r="H1035" s="4" t="e">
        <f>E1035*VLOOKUP(B1035,alimentos_master!$A:$N,14,FALSE())/100</f>
        <v>#N/A</v>
      </c>
      <c r="I1035" s="4" t="e">
        <f>E1035*VLOOKUP(B1035,alimentos_master!$A:$O,15,FALSE())/100</f>
        <v>#N/A</v>
      </c>
      <c r="J1035" s="4" t="e">
        <f>E1035*VLOOKUP(B1035,alimentos_master!$A:$R,18,FALSE())/100</f>
        <v>#N/A</v>
      </c>
    </row>
    <row r="1036" spans="1:10" ht="15" customHeight="1" x14ac:dyDescent="0.2">
      <c r="A1036" s="4">
        <v>1035</v>
      </c>
      <c r="B1036" s="4">
        <v>259</v>
      </c>
      <c r="C1036" s="4" t="s">
        <v>367</v>
      </c>
      <c r="D1036" s="4" t="s">
        <v>919</v>
      </c>
      <c r="E1036" s="4">
        <v>150</v>
      </c>
      <c r="F1036" s="4" t="s">
        <v>917</v>
      </c>
      <c r="G1036" s="4" t="e">
        <f>E1036*VLOOKUP(B1036,alimentos_master!$A:$M,13,FALSE())/100</f>
        <v>#N/A</v>
      </c>
      <c r="H1036" s="4" t="e">
        <f>E1036*VLOOKUP(B1036,alimentos_master!$A:$N,14,FALSE())/100</f>
        <v>#N/A</v>
      </c>
      <c r="I1036" s="4" t="e">
        <f>E1036*VLOOKUP(B1036,alimentos_master!$A:$O,15,FALSE())/100</f>
        <v>#N/A</v>
      </c>
      <c r="J1036" s="4" t="e">
        <f>E1036*VLOOKUP(B1036,alimentos_master!$A:$R,18,FALSE())/100</f>
        <v>#N/A</v>
      </c>
    </row>
    <row r="1037" spans="1:10" ht="15" customHeight="1" x14ac:dyDescent="0.2">
      <c r="A1037" s="4">
        <v>1036</v>
      </c>
      <c r="B1037" s="4">
        <v>259</v>
      </c>
      <c r="C1037" s="4" t="s">
        <v>367</v>
      </c>
      <c r="D1037" s="4" t="s">
        <v>920</v>
      </c>
      <c r="E1037" s="4">
        <v>200</v>
      </c>
      <c r="F1037" s="4" t="s">
        <v>917</v>
      </c>
      <c r="G1037" s="4" t="e">
        <f>E1037*VLOOKUP(B1037,alimentos_master!$A:$M,13,FALSE())/100</f>
        <v>#N/A</v>
      </c>
      <c r="H1037" s="4" t="e">
        <f>E1037*VLOOKUP(B1037,alimentos_master!$A:$N,14,FALSE())/100</f>
        <v>#N/A</v>
      </c>
      <c r="I1037" s="4" t="e">
        <f>E1037*VLOOKUP(B1037,alimentos_master!$A:$O,15,FALSE())/100</f>
        <v>#N/A</v>
      </c>
      <c r="J1037" s="4" t="e">
        <f>E1037*VLOOKUP(B1037,alimentos_master!$A:$R,18,FALSE())/100</f>
        <v>#N/A</v>
      </c>
    </row>
    <row r="1038" spans="1:10" ht="15" customHeight="1" x14ac:dyDescent="0.2">
      <c r="A1038" s="4">
        <v>1037</v>
      </c>
      <c r="B1038" s="4">
        <v>260</v>
      </c>
      <c r="C1038" s="4" t="s">
        <v>368</v>
      </c>
      <c r="D1038" s="4" t="s">
        <v>916</v>
      </c>
      <c r="E1038" s="4">
        <v>75</v>
      </c>
      <c r="F1038" s="4" t="s">
        <v>917</v>
      </c>
      <c r="G1038" s="4" t="e">
        <f>E1038*VLOOKUP(B1038,alimentos_master!$A:$M,13,FALSE())/100</f>
        <v>#N/A</v>
      </c>
      <c r="H1038" s="4" t="e">
        <f>E1038*VLOOKUP(B1038,alimentos_master!$A:$N,14,FALSE())/100</f>
        <v>#N/A</v>
      </c>
      <c r="I1038" s="4" t="e">
        <f>E1038*VLOOKUP(B1038,alimentos_master!$A:$O,15,FALSE())/100</f>
        <v>#N/A</v>
      </c>
      <c r="J1038" s="4" t="e">
        <f>E1038*VLOOKUP(B1038,alimentos_master!$A:$R,18,FALSE())/100</f>
        <v>#N/A</v>
      </c>
    </row>
    <row r="1039" spans="1:10" ht="15" customHeight="1" x14ac:dyDescent="0.2">
      <c r="A1039" s="4">
        <v>1038</v>
      </c>
      <c r="B1039" s="4">
        <v>260</v>
      </c>
      <c r="C1039" s="4" t="s">
        <v>368</v>
      </c>
      <c r="D1039" s="4" t="s">
        <v>918</v>
      </c>
      <c r="E1039" s="4">
        <v>100</v>
      </c>
      <c r="F1039" s="4" t="s">
        <v>917</v>
      </c>
      <c r="G1039" s="4" t="e">
        <f>E1039*VLOOKUP(B1039,alimentos_master!$A:$M,13,FALSE())/100</f>
        <v>#N/A</v>
      </c>
      <c r="H1039" s="4" t="e">
        <f>E1039*VLOOKUP(B1039,alimentos_master!$A:$N,14,FALSE())/100</f>
        <v>#N/A</v>
      </c>
      <c r="I1039" s="4" t="e">
        <f>E1039*VLOOKUP(B1039,alimentos_master!$A:$O,15,FALSE())/100</f>
        <v>#N/A</v>
      </c>
      <c r="J1039" s="4" t="e">
        <f>E1039*VLOOKUP(B1039,alimentos_master!$A:$R,18,FALSE())/100</f>
        <v>#N/A</v>
      </c>
    </row>
    <row r="1040" spans="1:10" ht="15" customHeight="1" x14ac:dyDescent="0.2">
      <c r="A1040" s="4">
        <v>1039</v>
      </c>
      <c r="B1040" s="4">
        <v>260</v>
      </c>
      <c r="C1040" s="4" t="s">
        <v>368</v>
      </c>
      <c r="D1040" s="4" t="s">
        <v>919</v>
      </c>
      <c r="E1040" s="4">
        <v>150</v>
      </c>
      <c r="F1040" s="4" t="s">
        <v>917</v>
      </c>
      <c r="G1040" s="4" t="e">
        <f>E1040*VLOOKUP(B1040,alimentos_master!$A:$M,13,FALSE())/100</f>
        <v>#N/A</v>
      </c>
      <c r="H1040" s="4" t="e">
        <f>E1040*VLOOKUP(B1040,alimentos_master!$A:$N,14,FALSE())/100</f>
        <v>#N/A</v>
      </c>
      <c r="I1040" s="4" t="e">
        <f>E1040*VLOOKUP(B1040,alimentos_master!$A:$O,15,FALSE())/100</f>
        <v>#N/A</v>
      </c>
      <c r="J1040" s="4" t="e">
        <f>E1040*VLOOKUP(B1040,alimentos_master!$A:$R,18,FALSE())/100</f>
        <v>#N/A</v>
      </c>
    </row>
    <row r="1041" spans="1:10" ht="15" customHeight="1" x14ac:dyDescent="0.2">
      <c r="A1041" s="4">
        <v>1040</v>
      </c>
      <c r="B1041" s="4">
        <v>260</v>
      </c>
      <c r="C1041" s="4" t="s">
        <v>368</v>
      </c>
      <c r="D1041" s="4" t="s">
        <v>920</v>
      </c>
      <c r="E1041" s="4">
        <v>200</v>
      </c>
      <c r="F1041" s="4" t="s">
        <v>917</v>
      </c>
      <c r="G1041" s="4" t="e">
        <f>E1041*VLOOKUP(B1041,alimentos_master!$A:$M,13,FALSE())/100</f>
        <v>#N/A</v>
      </c>
      <c r="H1041" s="4" t="e">
        <f>E1041*VLOOKUP(B1041,alimentos_master!$A:$N,14,FALSE())/100</f>
        <v>#N/A</v>
      </c>
      <c r="I1041" s="4" t="e">
        <f>E1041*VLOOKUP(B1041,alimentos_master!$A:$O,15,FALSE())/100</f>
        <v>#N/A</v>
      </c>
      <c r="J1041" s="4" t="e">
        <f>E1041*VLOOKUP(B1041,alimentos_master!$A:$R,18,FALSE())/100</f>
        <v>#N/A</v>
      </c>
    </row>
    <row r="1042" spans="1:10" ht="15" customHeight="1" x14ac:dyDescent="0.2">
      <c r="A1042" s="4">
        <v>1041</v>
      </c>
      <c r="B1042" s="4">
        <v>261</v>
      </c>
      <c r="C1042" s="4" t="s">
        <v>369</v>
      </c>
      <c r="D1042" s="4" t="s">
        <v>916</v>
      </c>
      <c r="E1042" s="4">
        <v>75</v>
      </c>
      <c r="F1042" s="4" t="s">
        <v>917</v>
      </c>
      <c r="G1042" s="4" t="e">
        <f>E1042*VLOOKUP(B1042,alimentos_master!$A:$M,13,FALSE())/100</f>
        <v>#N/A</v>
      </c>
      <c r="H1042" s="4" t="e">
        <f>E1042*VLOOKUP(B1042,alimentos_master!$A:$N,14,FALSE())/100</f>
        <v>#N/A</v>
      </c>
      <c r="I1042" s="4" t="e">
        <f>E1042*VLOOKUP(B1042,alimentos_master!$A:$O,15,FALSE())/100</f>
        <v>#N/A</v>
      </c>
      <c r="J1042" s="4" t="e">
        <f>E1042*VLOOKUP(B1042,alimentos_master!$A:$R,18,FALSE())/100</f>
        <v>#N/A</v>
      </c>
    </row>
    <row r="1043" spans="1:10" ht="15" customHeight="1" x14ac:dyDescent="0.2">
      <c r="A1043" s="4">
        <v>1042</v>
      </c>
      <c r="B1043" s="4">
        <v>261</v>
      </c>
      <c r="C1043" s="4" t="s">
        <v>369</v>
      </c>
      <c r="D1043" s="4" t="s">
        <v>918</v>
      </c>
      <c r="E1043" s="4">
        <v>100</v>
      </c>
      <c r="F1043" s="4" t="s">
        <v>917</v>
      </c>
      <c r="G1043" s="4" t="e">
        <f>E1043*VLOOKUP(B1043,alimentos_master!$A:$M,13,FALSE())/100</f>
        <v>#N/A</v>
      </c>
      <c r="H1043" s="4" t="e">
        <f>E1043*VLOOKUP(B1043,alimentos_master!$A:$N,14,FALSE())/100</f>
        <v>#N/A</v>
      </c>
      <c r="I1043" s="4" t="e">
        <f>E1043*VLOOKUP(B1043,alimentos_master!$A:$O,15,FALSE())/100</f>
        <v>#N/A</v>
      </c>
      <c r="J1043" s="4" t="e">
        <f>E1043*VLOOKUP(B1043,alimentos_master!$A:$R,18,FALSE())/100</f>
        <v>#N/A</v>
      </c>
    </row>
    <row r="1044" spans="1:10" ht="15" customHeight="1" x14ac:dyDescent="0.2">
      <c r="A1044" s="4">
        <v>1043</v>
      </c>
      <c r="B1044" s="4">
        <v>261</v>
      </c>
      <c r="C1044" s="4" t="s">
        <v>369</v>
      </c>
      <c r="D1044" s="4" t="s">
        <v>919</v>
      </c>
      <c r="E1044" s="4">
        <v>150</v>
      </c>
      <c r="F1044" s="4" t="s">
        <v>917</v>
      </c>
      <c r="G1044" s="4" t="e">
        <f>E1044*VLOOKUP(B1044,alimentos_master!$A:$M,13,FALSE())/100</f>
        <v>#N/A</v>
      </c>
      <c r="H1044" s="4" t="e">
        <f>E1044*VLOOKUP(B1044,alimentos_master!$A:$N,14,FALSE())/100</f>
        <v>#N/A</v>
      </c>
      <c r="I1044" s="4" t="e">
        <f>E1044*VLOOKUP(B1044,alimentos_master!$A:$O,15,FALSE())/100</f>
        <v>#N/A</v>
      </c>
      <c r="J1044" s="4" t="e">
        <f>E1044*VLOOKUP(B1044,alimentos_master!$A:$R,18,FALSE())/100</f>
        <v>#N/A</v>
      </c>
    </row>
    <row r="1045" spans="1:10" ht="15" customHeight="1" x14ac:dyDescent="0.2">
      <c r="A1045" s="4">
        <v>1044</v>
      </c>
      <c r="B1045" s="4">
        <v>261</v>
      </c>
      <c r="C1045" s="4" t="s">
        <v>369</v>
      </c>
      <c r="D1045" s="4" t="s">
        <v>920</v>
      </c>
      <c r="E1045" s="4">
        <v>200</v>
      </c>
      <c r="F1045" s="4" t="s">
        <v>917</v>
      </c>
      <c r="G1045" s="4" t="e">
        <f>E1045*VLOOKUP(B1045,alimentos_master!$A:$M,13,FALSE())/100</f>
        <v>#N/A</v>
      </c>
      <c r="H1045" s="4" t="e">
        <f>E1045*VLOOKUP(B1045,alimentos_master!$A:$N,14,FALSE())/100</f>
        <v>#N/A</v>
      </c>
      <c r="I1045" s="4" t="e">
        <f>E1045*VLOOKUP(B1045,alimentos_master!$A:$O,15,FALSE())/100</f>
        <v>#N/A</v>
      </c>
      <c r="J1045" s="4" t="e">
        <f>E1045*VLOOKUP(B1045,alimentos_master!$A:$R,18,FALSE())/100</f>
        <v>#N/A</v>
      </c>
    </row>
    <row r="1046" spans="1:10" ht="15" customHeight="1" x14ac:dyDescent="0.2">
      <c r="A1046" s="4">
        <v>1045</v>
      </c>
      <c r="B1046" s="4">
        <v>262</v>
      </c>
      <c r="C1046" s="4" t="s">
        <v>370</v>
      </c>
      <c r="D1046" s="4" t="s">
        <v>916</v>
      </c>
      <c r="E1046" s="4">
        <v>75</v>
      </c>
      <c r="F1046" s="4" t="s">
        <v>917</v>
      </c>
      <c r="G1046" s="4">
        <f>E1046*VLOOKUP(B1046,alimentos_master!$A:$M,13,FALSE())/100</f>
        <v>105.75</v>
      </c>
      <c r="H1046" s="4">
        <f>E1046*VLOOKUP(B1046,alimentos_master!$A:$N,14,FALSE())/100</f>
        <v>1.89</v>
      </c>
      <c r="I1046" s="4">
        <f>E1046*VLOOKUP(B1046,alimentos_master!$A:$O,15,FALSE())/100</f>
        <v>24.78</v>
      </c>
      <c r="J1046" s="4">
        <f>E1046*VLOOKUP(B1046,alimentos_master!$A:$R,18,FALSE())/100</f>
        <v>0.21000000000000005</v>
      </c>
    </row>
    <row r="1047" spans="1:10" ht="15" customHeight="1" x14ac:dyDescent="0.2">
      <c r="A1047" s="4">
        <v>1046</v>
      </c>
      <c r="B1047" s="4">
        <v>262</v>
      </c>
      <c r="C1047" s="4" t="s">
        <v>370</v>
      </c>
      <c r="D1047" s="4" t="s">
        <v>918</v>
      </c>
      <c r="E1047" s="4">
        <v>100</v>
      </c>
      <c r="F1047" s="4" t="s">
        <v>917</v>
      </c>
      <c r="G1047" s="4">
        <f>E1047*VLOOKUP(B1047,alimentos_master!$A:$M,13,FALSE())/100</f>
        <v>141</v>
      </c>
      <c r="H1047" s="4">
        <f>E1047*VLOOKUP(B1047,alimentos_master!$A:$N,14,FALSE())/100</f>
        <v>2.52</v>
      </c>
      <c r="I1047" s="4">
        <f>E1047*VLOOKUP(B1047,alimentos_master!$A:$O,15,FALSE())/100</f>
        <v>33.04</v>
      </c>
      <c r="J1047" s="4">
        <f>E1047*VLOOKUP(B1047,alimentos_master!$A:$R,18,FALSE())/100</f>
        <v>0.28000000000000003</v>
      </c>
    </row>
    <row r="1048" spans="1:10" ht="15" customHeight="1" x14ac:dyDescent="0.2">
      <c r="A1048" s="4">
        <v>1047</v>
      </c>
      <c r="B1048" s="4">
        <v>262</v>
      </c>
      <c r="C1048" s="4" t="s">
        <v>370</v>
      </c>
      <c r="D1048" s="4" t="s">
        <v>919</v>
      </c>
      <c r="E1048" s="4">
        <v>150</v>
      </c>
      <c r="F1048" s="4" t="s">
        <v>917</v>
      </c>
      <c r="G1048" s="4">
        <f>E1048*VLOOKUP(B1048,alimentos_master!$A:$M,13,FALSE())/100</f>
        <v>211.5</v>
      </c>
      <c r="H1048" s="4">
        <f>E1048*VLOOKUP(B1048,alimentos_master!$A:$N,14,FALSE())/100</f>
        <v>3.78</v>
      </c>
      <c r="I1048" s="4">
        <f>E1048*VLOOKUP(B1048,alimentos_master!$A:$O,15,FALSE())/100</f>
        <v>49.56</v>
      </c>
      <c r="J1048" s="4">
        <f>E1048*VLOOKUP(B1048,alimentos_master!$A:$R,18,FALSE())/100</f>
        <v>0.4200000000000001</v>
      </c>
    </row>
    <row r="1049" spans="1:10" ht="15" customHeight="1" x14ac:dyDescent="0.2">
      <c r="A1049" s="4">
        <v>1048</v>
      </c>
      <c r="B1049" s="4">
        <v>262</v>
      </c>
      <c r="C1049" s="4" t="s">
        <v>370</v>
      </c>
      <c r="D1049" s="4" t="s">
        <v>920</v>
      </c>
      <c r="E1049" s="4">
        <v>200</v>
      </c>
      <c r="F1049" s="4" t="s">
        <v>917</v>
      </c>
      <c r="G1049" s="4">
        <f>E1049*VLOOKUP(B1049,alimentos_master!$A:$M,13,FALSE())/100</f>
        <v>282</v>
      </c>
      <c r="H1049" s="4">
        <f>E1049*VLOOKUP(B1049,alimentos_master!$A:$N,14,FALSE())/100</f>
        <v>5.04</v>
      </c>
      <c r="I1049" s="4">
        <f>E1049*VLOOKUP(B1049,alimentos_master!$A:$O,15,FALSE())/100</f>
        <v>66.08</v>
      </c>
      <c r="J1049" s="4">
        <f>E1049*VLOOKUP(B1049,alimentos_master!$A:$R,18,FALSE())/100</f>
        <v>0.56000000000000005</v>
      </c>
    </row>
    <row r="1050" spans="1:10" ht="15" customHeight="1" x14ac:dyDescent="0.2">
      <c r="A1050" s="4">
        <v>1049</v>
      </c>
      <c r="B1050" s="4">
        <v>263</v>
      </c>
      <c r="C1050" s="4" t="s">
        <v>371</v>
      </c>
      <c r="D1050" s="4" t="s">
        <v>916</v>
      </c>
      <c r="E1050" s="4">
        <v>75</v>
      </c>
      <c r="F1050" s="4" t="s">
        <v>917</v>
      </c>
      <c r="G1050" s="4" t="e">
        <f>E1050*VLOOKUP(B1050,alimentos_master!$A:$M,13,FALSE())/100</f>
        <v>#N/A</v>
      </c>
      <c r="H1050" s="4" t="e">
        <f>E1050*VLOOKUP(B1050,alimentos_master!$A:$N,14,FALSE())/100</f>
        <v>#N/A</v>
      </c>
      <c r="I1050" s="4" t="e">
        <f>E1050*VLOOKUP(B1050,alimentos_master!$A:$O,15,FALSE())/100</f>
        <v>#N/A</v>
      </c>
      <c r="J1050" s="4" t="e">
        <f>E1050*VLOOKUP(B1050,alimentos_master!$A:$R,18,FALSE())/100</f>
        <v>#N/A</v>
      </c>
    </row>
    <row r="1051" spans="1:10" ht="15" customHeight="1" x14ac:dyDescent="0.2">
      <c r="A1051" s="4">
        <v>1050</v>
      </c>
      <c r="B1051" s="4">
        <v>263</v>
      </c>
      <c r="C1051" s="4" t="s">
        <v>371</v>
      </c>
      <c r="D1051" s="4" t="s">
        <v>918</v>
      </c>
      <c r="E1051" s="4">
        <v>100</v>
      </c>
      <c r="F1051" s="4" t="s">
        <v>917</v>
      </c>
      <c r="G1051" s="4" t="e">
        <f>E1051*VLOOKUP(B1051,alimentos_master!$A:$M,13,FALSE())/100</f>
        <v>#N/A</v>
      </c>
      <c r="H1051" s="4" t="e">
        <f>E1051*VLOOKUP(B1051,alimentos_master!$A:$N,14,FALSE())/100</f>
        <v>#N/A</v>
      </c>
      <c r="I1051" s="4" t="e">
        <f>E1051*VLOOKUP(B1051,alimentos_master!$A:$O,15,FALSE())/100</f>
        <v>#N/A</v>
      </c>
      <c r="J1051" s="4" t="e">
        <f>E1051*VLOOKUP(B1051,alimentos_master!$A:$R,18,FALSE())/100</f>
        <v>#N/A</v>
      </c>
    </row>
    <row r="1052" spans="1:10" ht="15" customHeight="1" x14ac:dyDescent="0.2">
      <c r="A1052" s="4">
        <v>1051</v>
      </c>
      <c r="B1052" s="4">
        <v>263</v>
      </c>
      <c r="C1052" s="4" t="s">
        <v>371</v>
      </c>
      <c r="D1052" s="4" t="s">
        <v>919</v>
      </c>
      <c r="E1052" s="4">
        <v>150</v>
      </c>
      <c r="F1052" s="4" t="s">
        <v>917</v>
      </c>
      <c r="G1052" s="4" t="e">
        <f>E1052*VLOOKUP(B1052,alimentos_master!$A:$M,13,FALSE())/100</f>
        <v>#N/A</v>
      </c>
      <c r="H1052" s="4" t="e">
        <f>E1052*VLOOKUP(B1052,alimentos_master!$A:$N,14,FALSE())/100</f>
        <v>#N/A</v>
      </c>
      <c r="I1052" s="4" t="e">
        <f>E1052*VLOOKUP(B1052,alimentos_master!$A:$O,15,FALSE())/100</f>
        <v>#N/A</v>
      </c>
      <c r="J1052" s="4" t="e">
        <f>E1052*VLOOKUP(B1052,alimentos_master!$A:$R,18,FALSE())/100</f>
        <v>#N/A</v>
      </c>
    </row>
    <row r="1053" spans="1:10" ht="15" customHeight="1" x14ac:dyDescent="0.2">
      <c r="A1053" s="4">
        <v>1052</v>
      </c>
      <c r="B1053" s="4">
        <v>263</v>
      </c>
      <c r="C1053" s="4" t="s">
        <v>371</v>
      </c>
      <c r="D1053" s="4" t="s">
        <v>920</v>
      </c>
      <c r="E1053" s="4">
        <v>200</v>
      </c>
      <c r="F1053" s="4" t="s">
        <v>917</v>
      </c>
      <c r="G1053" s="4" t="e">
        <f>E1053*VLOOKUP(B1053,alimentos_master!$A:$M,13,FALSE())/100</f>
        <v>#N/A</v>
      </c>
      <c r="H1053" s="4" t="e">
        <f>E1053*VLOOKUP(B1053,alimentos_master!$A:$N,14,FALSE())/100</f>
        <v>#N/A</v>
      </c>
      <c r="I1053" s="4" t="e">
        <f>E1053*VLOOKUP(B1053,alimentos_master!$A:$O,15,FALSE())/100</f>
        <v>#N/A</v>
      </c>
      <c r="J1053" s="4" t="e">
        <f>E1053*VLOOKUP(B1053,alimentos_master!$A:$R,18,FALSE())/100</f>
        <v>#N/A</v>
      </c>
    </row>
    <row r="1054" spans="1:10" ht="15" customHeight="1" x14ac:dyDescent="0.2">
      <c r="A1054" s="4">
        <v>1053</v>
      </c>
      <c r="B1054" s="4">
        <v>264</v>
      </c>
      <c r="C1054" s="4" t="s">
        <v>372</v>
      </c>
      <c r="D1054" s="4" t="s">
        <v>916</v>
      </c>
      <c r="E1054" s="4">
        <v>75</v>
      </c>
      <c r="F1054" s="4" t="s">
        <v>917</v>
      </c>
      <c r="G1054" s="4" t="e">
        <f>E1054*VLOOKUP(B1054,alimentos_master!$A:$M,13,FALSE())/100</f>
        <v>#N/A</v>
      </c>
      <c r="H1054" s="4" t="e">
        <f>E1054*VLOOKUP(B1054,alimentos_master!$A:$N,14,FALSE())/100</f>
        <v>#N/A</v>
      </c>
      <c r="I1054" s="4" t="e">
        <f>E1054*VLOOKUP(B1054,alimentos_master!$A:$O,15,FALSE())/100</f>
        <v>#N/A</v>
      </c>
      <c r="J1054" s="4" t="e">
        <f>E1054*VLOOKUP(B1054,alimentos_master!$A:$R,18,FALSE())/100</f>
        <v>#N/A</v>
      </c>
    </row>
    <row r="1055" spans="1:10" ht="15" customHeight="1" x14ac:dyDescent="0.2">
      <c r="A1055" s="4">
        <v>1054</v>
      </c>
      <c r="B1055" s="4">
        <v>264</v>
      </c>
      <c r="C1055" s="4" t="s">
        <v>372</v>
      </c>
      <c r="D1055" s="4" t="s">
        <v>918</v>
      </c>
      <c r="E1055" s="4">
        <v>100</v>
      </c>
      <c r="F1055" s="4" t="s">
        <v>917</v>
      </c>
      <c r="G1055" s="4" t="e">
        <f>E1055*VLOOKUP(B1055,alimentos_master!$A:$M,13,FALSE())/100</f>
        <v>#N/A</v>
      </c>
      <c r="H1055" s="4" t="e">
        <f>E1055*VLOOKUP(B1055,alimentos_master!$A:$N,14,FALSE())/100</f>
        <v>#N/A</v>
      </c>
      <c r="I1055" s="4" t="e">
        <f>E1055*VLOOKUP(B1055,alimentos_master!$A:$O,15,FALSE())/100</f>
        <v>#N/A</v>
      </c>
      <c r="J1055" s="4" t="e">
        <f>E1055*VLOOKUP(B1055,alimentos_master!$A:$R,18,FALSE())/100</f>
        <v>#N/A</v>
      </c>
    </row>
    <row r="1056" spans="1:10" ht="15" customHeight="1" x14ac:dyDescent="0.2">
      <c r="A1056" s="4">
        <v>1055</v>
      </c>
      <c r="B1056" s="4">
        <v>264</v>
      </c>
      <c r="C1056" s="4" t="s">
        <v>372</v>
      </c>
      <c r="D1056" s="4" t="s">
        <v>919</v>
      </c>
      <c r="E1056" s="4">
        <v>150</v>
      </c>
      <c r="F1056" s="4" t="s">
        <v>917</v>
      </c>
      <c r="G1056" s="4" t="e">
        <f>E1056*VLOOKUP(B1056,alimentos_master!$A:$M,13,FALSE())/100</f>
        <v>#N/A</v>
      </c>
      <c r="H1056" s="4" t="e">
        <f>E1056*VLOOKUP(B1056,alimentos_master!$A:$N,14,FALSE())/100</f>
        <v>#N/A</v>
      </c>
      <c r="I1056" s="4" t="e">
        <f>E1056*VLOOKUP(B1056,alimentos_master!$A:$O,15,FALSE())/100</f>
        <v>#N/A</v>
      </c>
      <c r="J1056" s="4" t="e">
        <f>E1056*VLOOKUP(B1056,alimentos_master!$A:$R,18,FALSE())/100</f>
        <v>#N/A</v>
      </c>
    </row>
    <row r="1057" spans="1:10" ht="15" customHeight="1" x14ac:dyDescent="0.2">
      <c r="A1057" s="4">
        <v>1056</v>
      </c>
      <c r="B1057" s="4">
        <v>264</v>
      </c>
      <c r="C1057" s="4" t="s">
        <v>372</v>
      </c>
      <c r="D1057" s="4" t="s">
        <v>920</v>
      </c>
      <c r="E1057" s="4">
        <v>200</v>
      </c>
      <c r="F1057" s="4" t="s">
        <v>917</v>
      </c>
      <c r="G1057" s="4" t="e">
        <f>E1057*VLOOKUP(B1057,alimentos_master!$A:$M,13,FALSE())/100</f>
        <v>#N/A</v>
      </c>
      <c r="H1057" s="4" t="e">
        <f>E1057*VLOOKUP(B1057,alimentos_master!$A:$N,14,FALSE())/100</f>
        <v>#N/A</v>
      </c>
      <c r="I1057" s="4" t="e">
        <f>E1057*VLOOKUP(B1057,alimentos_master!$A:$O,15,FALSE())/100</f>
        <v>#N/A</v>
      </c>
      <c r="J1057" s="4" t="e">
        <f>E1057*VLOOKUP(B1057,alimentos_master!$A:$R,18,FALSE())/100</f>
        <v>#N/A</v>
      </c>
    </row>
    <row r="1058" spans="1:10" ht="15" customHeight="1" x14ac:dyDescent="0.2">
      <c r="A1058" s="4">
        <v>1057</v>
      </c>
      <c r="B1058" s="4">
        <v>265</v>
      </c>
      <c r="C1058" s="4" t="s">
        <v>373</v>
      </c>
      <c r="D1058" s="4" t="s">
        <v>916</v>
      </c>
      <c r="E1058" s="4">
        <v>75</v>
      </c>
      <c r="F1058" s="4" t="s">
        <v>917</v>
      </c>
      <c r="G1058" s="4" t="e">
        <f>E1058*VLOOKUP(B1058,alimentos_master!$A:$M,13,FALSE())/100</f>
        <v>#N/A</v>
      </c>
      <c r="H1058" s="4" t="e">
        <f>E1058*VLOOKUP(B1058,alimentos_master!$A:$N,14,FALSE())/100</f>
        <v>#N/A</v>
      </c>
      <c r="I1058" s="4" t="e">
        <f>E1058*VLOOKUP(B1058,alimentos_master!$A:$O,15,FALSE())/100</f>
        <v>#N/A</v>
      </c>
      <c r="J1058" s="4" t="e">
        <f>E1058*VLOOKUP(B1058,alimentos_master!$A:$R,18,FALSE())/100</f>
        <v>#N/A</v>
      </c>
    </row>
    <row r="1059" spans="1:10" ht="15" customHeight="1" x14ac:dyDescent="0.2">
      <c r="A1059" s="4">
        <v>1058</v>
      </c>
      <c r="B1059" s="4">
        <v>265</v>
      </c>
      <c r="C1059" s="4" t="s">
        <v>373</v>
      </c>
      <c r="D1059" s="4" t="s">
        <v>918</v>
      </c>
      <c r="E1059" s="4">
        <v>100</v>
      </c>
      <c r="F1059" s="4" t="s">
        <v>917</v>
      </c>
      <c r="G1059" s="4" t="e">
        <f>E1059*VLOOKUP(B1059,alimentos_master!$A:$M,13,FALSE())/100</f>
        <v>#N/A</v>
      </c>
      <c r="H1059" s="4" t="e">
        <f>E1059*VLOOKUP(B1059,alimentos_master!$A:$N,14,FALSE())/100</f>
        <v>#N/A</v>
      </c>
      <c r="I1059" s="4" t="e">
        <f>E1059*VLOOKUP(B1059,alimentos_master!$A:$O,15,FALSE())/100</f>
        <v>#N/A</v>
      </c>
      <c r="J1059" s="4" t="e">
        <f>E1059*VLOOKUP(B1059,alimentos_master!$A:$R,18,FALSE())/100</f>
        <v>#N/A</v>
      </c>
    </row>
    <row r="1060" spans="1:10" ht="15" customHeight="1" x14ac:dyDescent="0.2">
      <c r="A1060" s="4">
        <v>1059</v>
      </c>
      <c r="B1060" s="4">
        <v>265</v>
      </c>
      <c r="C1060" s="4" t="s">
        <v>373</v>
      </c>
      <c r="D1060" s="4" t="s">
        <v>919</v>
      </c>
      <c r="E1060" s="4">
        <v>150</v>
      </c>
      <c r="F1060" s="4" t="s">
        <v>917</v>
      </c>
      <c r="G1060" s="4" t="e">
        <f>E1060*VLOOKUP(B1060,alimentos_master!$A:$M,13,FALSE())/100</f>
        <v>#N/A</v>
      </c>
      <c r="H1060" s="4" t="e">
        <f>E1060*VLOOKUP(B1060,alimentos_master!$A:$N,14,FALSE())/100</f>
        <v>#N/A</v>
      </c>
      <c r="I1060" s="4" t="e">
        <f>E1060*VLOOKUP(B1060,alimentos_master!$A:$O,15,FALSE())/100</f>
        <v>#N/A</v>
      </c>
      <c r="J1060" s="4" t="e">
        <f>E1060*VLOOKUP(B1060,alimentos_master!$A:$R,18,FALSE())/100</f>
        <v>#N/A</v>
      </c>
    </row>
    <row r="1061" spans="1:10" ht="15" customHeight="1" x14ac:dyDescent="0.2">
      <c r="A1061" s="4">
        <v>1060</v>
      </c>
      <c r="B1061" s="4">
        <v>265</v>
      </c>
      <c r="C1061" s="4" t="s">
        <v>373</v>
      </c>
      <c r="D1061" s="4" t="s">
        <v>920</v>
      </c>
      <c r="E1061" s="4">
        <v>200</v>
      </c>
      <c r="F1061" s="4" t="s">
        <v>917</v>
      </c>
      <c r="G1061" s="4" t="e">
        <f>E1061*VLOOKUP(B1061,alimentos_master!$A:$M,13,FALSE())/100</f>
        <v>#N/A</v>
      </c>
      <c r="H1061" s="4" t="e">
        <f>E1061*VLOOKUP(B1061,alimentos_master!$A:$N,14,FALSE())/100</f>
        <v>#N/A</v>
      </c>
      <c r="I1061" s="4" t="e">
        <f>E1061*VLOOKUP(B1061,alimentos_master!$A:$O,15,FALSE())/100</f>
        <v>#N/A</v>
      </c>
      <c r="J1061" s="4" t="e">
        <f>E1061*VLOOKUP(B1061,alimentos_master!$A:$R,18,FALSE())/100</f>
        <v>#N/A</v>
      </c>
    </row>
    <row r="1062" spans="1:10" ht="15" customHeight="1" x14ac:dyDescent="0.2">
      <c r="A1062" s="4">
        <v>1061</v>
      </c>
      <c r="B1062" s="4">
        <v>266</v>
      </c>
      <c r="C1062" s="4" t="s">
        <v>374</v>
      </c>
      <c r="D1062" s="4" t="s">
        <v>916</v>
      </c>
      <c r="E1062" s="4">
        <v>75</v>
      </c>
      <c r="F1062" s="4" t="s">
        <v>917</v>
      </c>
      <c r="G1062" s="4" t="e">
        <f>E1062*VLOOKUP(B1062,alimentos_master!$A:$M,13,FALSE())/100</f>
        <v>#N/A</v>
      </c>
      <c r="H1062" s="4" t="e">
        <f>E1062*VLOOKUP(B1062,alimentos_master!$A:$N,14,FALSE())/100</f>
        <v>#N/A</v>
      </c>
      <c r="I1062" s="4" t="e">
        <f>E1062*VLOOKUP(B1062,alimentos_master!$A:$O,15,FALSE())/100</f>
        <v>#N/A</v>
      </c>
      <c r="J1062" s="4" t="e">
        <f>E1062*VLOOKUP(B1062,alimentos_master!$A:$R,18,FALSE())/100</f>
        <v>#N/A</v>
      </c>
    </row>
    <row r="1063" spans="1:10" ht="15" customHeight="1" x14ac:dyDescent="0.2">
      <c r="A1063" s="4">
        <v>1062</v>
      </c>
      <c r="B1063" s="4">
        <v>266</v>
      </c>
      <c r="C1063" s="4" t="s">
        <v>374</v>
      </c>
      <c r="D1063" s="4" t="s">
        <v>918</v>
      </c>
      <c r="E1063" s="4">
        <v>100</v>
      </c>
      <c r="F1063" s="4" t="s">
        <v>917</v>
      </c>
      <c r="G1063" s="4" t="e">
        <f>E1063*VLOOKUP(B1063,alimentos_master!$A:$M,13,FALSE())/100</f>
        <v>#N/A</v>
      </c>
      <c r="H1063" s="4" t="e">
        <f>E1063*VLOOKUP(B1063,alimentos_master!$A:$N,14,FALSE())/100</f>
        <v>#N/A</v>
      </c>
      <c r="I1063" s="4" t="e">
        <f>E1063*VLOOKUP(B1063,alimentos_master!$A:$O,15,FALSE())/100</f>
        <v>#N/A</v>
      </c>
      <c r="J1063" s="4" t="e">
        <f>E1063*VLOOKUP(B1063,alimentos_master!$A:$R,18,FALSE())/100</f>
        <v>#N/A</v>
      </c>
    </row>
    <row r="1064" spans="1:10" ht="15" customHeight="1" x14ac:dyDescent="0.2">
      <c r="A1064" s="4">
        <v>1063</v>
      </c>
      <c r="B1064" s="4">
        <v>266</v>
      </c>
      <c r="C1064" s="4" t="s">
        <v>374</v>
      </c>
      <c r="D1064" s="4" t="s">
        <v>919</v>
      </c>
      <c r="E1064" s="4">
        <v>150</v>
      </c>
      <c r="F1064" s="4" t="s">
        <v>917</v>
      </c>
      <c r="G1064" s="4" t="e">
        <f>E1064*VLOOKUP(B1064,alimentos_master!$A:$M,13,FALSE())/100</f>
        <v>#N/A</v>
      </c>
      <c r="H1064" s="4" t="e">
        <f>E1064*VLOOKUP(B1064,alimentos_master!$A:$N,14,FALSE())/100</f>
        <v>#N/A</v>
      </c>
      <c r="I1064" s="4" t="e">
        <f>E1064*VLOOKUP(B1064,alimentos_master!$A:$O,15,FALSE())/100</f>
        <v>#N/A</v>
      </c>
      <c r="J1064" s="4" t="e">
        <f>E1064*VLOOKUP(B1064,alimentos_master!$A:$R,18,FALSE())/100</f>
        <v>#N/A</v>
      </c>
    </row>
    <row r="1065" spans="1:10" ht="15" customHeight="1" x14ac:dyDescent="0.2">
      <c r="A1065" s="4">
        <v>1064</v>
      </c>
      <c r="B1065" s="4">
        <v>266</v>
      </c>
      <c r="C1065" s="4" t="s">
        <v>374</v>
      </c>
      <c r="D1065" s="4" t="s">
        <v>920</v>
      </c>
      <c r="E1065" s="4">
        <v>200</v>
      </c>
      <c r="F1065" s="4" t="s">
        <v>917</v>
      </c>
      <c r="G1065" s="4" t="e">
        <f>E1065*VLOOKUP(B1065,alimentos_master!$A:$M,13,FALSE())/100</f>
        <v>#N/A</v>
      </c>
      <c r="H1065" s="4" t="e">
        <f>E1065*VLOOKUP(B1065,alimentos_master!$A:$N,14,FALSE())/100</f>
        <v>#N/A</v>
      </c>
      <c r="I1065" s="4" t="e">
        <f>E1065*VLOOKUP(B1065,alimentos_master!$A:$O,15,FALSE())/100</f>
        <v>#N/A</v>
      </c>
      <c r="J1065" s="4" t="e">
        <f>E1065*VLOOKUP(B1065,alimentos_master!$A:$R,18,FALSE())/100</f>
        <v>#N/A</v>
      </c>
    </row>
    <row r="1066" spans="1:10" ht="15" customHeight="1" x14ac:dyDescent="0.2">
      <c r="A1066" s="4">
        <v>1065</v>
      </c>
      <c r="B1066" s="4">
        <v>267</v>
      </c>
      <c r="C1066" s="4" t="s">
        <v>375</v>
      </c>
      <c r="D1066" s="4" t="s">
        <v>916</v>
      </c>
      <c r="E1066" s="4">
        <v>75</v>
      </c>
      <c r="F1066" s="4" t="s">
        <v>917</v>
      </c>
      <c r="G1066" s="4" t="e">
        <f>E1066*VLOOKUP(B1066,alimentos_master!$A:$M,13,FALSE())/100</f>
        <v>#N/A</v>
      </c>
      <c r="H1066" s="4" t="e">
        <f>E1066*VLOOKUP(B1066,alimentos_master!$A:$N,14,FALSE())/100</f>
        <v>#N/A</v>
      </c>
      <c r="I1066" s="4" t="e">
        <f>E1066*VLOOKUP(B1066,alimentos_master!$A:$O,15,FALSE())/100</f>
        <v>#N/A</v>
      </c>
      <c r="J1066" s="4" t="e">
        <f>E1066*VLOOKUP(B1066,alimentos_master!$A:$R,18,FALSE())/100</f>
        <v>#N/A</v>
      </c>
    </row>
    <row r="1067" spans="1:10" ht="15" customHeight="1" x14ac:dyDescent="0.2">
      <c r="A1067" s="4">
        <v>1066</v>
      </c>
      <c r="B1067" s="4">
        <v>267</v>
      </c>
      <c r="C1067" s="4" t="s">
        <v>375</v>
      </c>
      <c r="D1067" s="4" t="s">
        <v>918</v>
      </c>
      <c r="E1067" s="4">
        <v>100</v>
      </c>
      <c r="F1067" s="4" t="s">
        <v>917</v>
      </c>
      <c r="G1067" s="4" t="e">
        <f>E1067*VLOOKUP(B1067,alimentos_master!$A:$M,13,FALSE())/100</f>
        <v>#N/A</v>
      </c>
      <c r="H1067" s="4" t="e">
        <f>E1067*VLOOKUP(B1067,alimentos_master!$A:$N,14,FALSE())/100</f>
        <v>#N/A</v>
      </c>
      <c r="I1067" s="4" t="e">
        <f>E1067*VLOOKUP(B1067,alimentos_master!$A:$O,15,FALSE())/100</f>
        <v>#N/A</v>
      </c>
      <c r="J1067" s="4" t="e">
        <f>E1067*VLOOKUP(B1067,alimentos_master!$A:$R,18,FALSE())/100</f>
        <v>#N/A</v>
      </c>
    </row>
    <row r="1068" spans="1:10" ht="15" customHeight="1" x14ac:dyDescent="0.2">
      <c r="A1068" s="4">
        <v>1067</v>
      </c>
      <c r="B1068" s="4">
        <v>267</v>
      </c>
      <c r="C1068" s="4" t="s">
        <v>375</v>
      </c>
      <c r="D1068" s="4" t="s">
        <v>919</v>
      </c>
      <c r="E1068" s="4">
        <v>150</v>
      </c>
      <c r="F1068" s="4" t="s">
        <v>917</v>
      </c>
      <c r="G1068" s="4" t="e">
        <f>E1068*VLOOKUP(B1068,alimentos_master!$A:$M,13,FALSE())/100</f>
        <v>#N/A</v>
      </c>
      <c r="H1068" s="4" t="e">
        <f>E1068*VLOOKUP(B1068,alimentos_master!$A:$N,14,FALSE())/100</f>
        <v>#N/A</v>
      </c>
      <c r="I1068" s="4" t="e">
        <f>E1068*VLOOKUP(B1068,alimentos_master!$A:$O,15,FALSE())/100</f>
        <v>#N/A</v>
      </c>
      <c r="J1068" s="4" t="e">
        <f>E1068*VLOOKUP(B1068,alimentos_master!$A:$R,18,FALSE())/100</f>
        <v>#N/A</v>
      </c>
    </row>
    <row r="1069" spans="1:10" ht="15" customHeight="1" x14ac:dyDescent="0.2">
      <c r="A1069" s="4">
        <v>1068</v>
      </c>
      <c r="B1069" s="4">
        <v>267</v>
      </c>
      <c r="C1069" s="4" t="s">
        <v>375</v>
      </c>
      <c r="D1069" s="4" t="s">
        <v>920</v>
      </c>
      <c r="E1069" s="4">
        <v>200</v>
      </c>
      <c r="F1069" s="4" t="s">
        <v>917</v>
      </c>
      <c r="G1069" s="4" t="e">
        <f>E1069*VLOOKUP(B1069,alimentos_master!$A:$M,13,FALSE())/100</f>
        <v>#N/A</v>
      </c>
      <c r="H1069" s="4" t="e">
        <f>E1069*VLOOKUP(B1069,alimentos_master!$A:$N,14,FALSE())/100</f>
        <v>#N/A</v>
      </c>
      <c r="I1069" s="4" t="e">
        <f>E1069*VLOOKUP(B1069,alimentos_master!$A:$O,15,FALSE())/100</f>
        <v>#N/A</v>
      </c>
      <c r="J1069" s="4" t="e">
        <f>E1069*VLOOKUP(B1069,alimentos_master!$A:$R,18,FALSE())/100</f>
        <v>#N/A</v>
      </c>
    </row>
    <row r="1070" spans="1:10" ht="15" customHeight="1" x14ac:dyDescent="0.2">
      <c r="A1070" s="4">
        <v>1069</v>
      </c>
      <c r="B1070" s="4">
        <v>268</v>
      </c>
      <c r="C1070" s="4" t="s">
        <v>376</v>
      </c>
      <c r="D1070" s="4" t="s">
        <v>916</v>
      </c>
      <c r="E1070" s="4">
        <v>75</v>
      </c>
      <c r="F1070" s="4" t="s">
        <v>917</v>
      </c>
      <c r="G1070" s="4">
        <f>E1070*VLOOKUP(B1070,alimentos_master!$A:$M,13,FALSE())/100</f>
        <v>39.75</v>
      </c>
      <c r="H1070" s="4">
        <f>E1070*VLOOKUP(B1070,alimentos_master!$A:$N,14,FALSE())/100</f>
        <v>0.6</v>
      </c>
      <c r="I1070" s="4">
        <f>E1070*VLOOKUP(B1070,alimentos_master!$A:$O,15,FALSE())/100</f>
        <v>9.9749999999999996</v>
      </c>
      <c r="J1070" s="4">
        <f>E1070*VLOOKUP(B1070,alimentos_master!$A:$R,18,FALSE())/100</f>
        <v>0.22500000000000001</v>
      </c>
    </row>
    <row r="1071" spans="1:10" ht="15" customHeight="1" x14ac:dyDescent="0.2">
      <c r="A1071" s="4">
        <v>1070</v>
      </c>
      <c r="B1071" s="4">
        <v>268</v>
      </c>
      <c r="C1071" s="4" t="s">
        <v>376</v>
      </c>
      <c r="D1071" s="4" t="s">
        <v>918</v>
      </c>
      <c r="E1071" s="4">
        <v>100</v>
      </c>
      <c r="F1071" s="4" t="s">
        <v>917</v>
      </c>
      <c r="G1071" s="4">
        <f>E1071*VLOOKUP(B1071,alimentos_master!$A:$M,13,FALSE())/100</f>
        <v>53</v>
      </c>
      <c r="H1071" s="4">
        <f>E1071*VLOOKUP(B1071,alimentos_master!$A:$N,14,FALSE())/100</f>
        <v>0.8</v>
      </c>
      <c r="I1071" s="4">
        <f>E1071*VLOOKUP(B1071,alimentos_master!$A:$O,15,FALSE())/100</f>
        <v>13.3</v>
      </c>
      <c r="J1071" s="4">
        <f>E1071*VLOOKUP(B1071,alimentos_master!$A:$R,18,FALSE())/100</f>
        <v>0.3</v>
      </c>
    </row>
    <row r="1072" spans="1:10" ht="15" customHeight="1" x14ac:dyDescent="0.2">
      <c r="A1072" s="4">
        <v>1071</v>
      </c>
      <c r="B1072" s="4">
        <v>268</v>
      </c>
      <c r="C1072" s="4" t="s">
        <v>376</v>
      </c>
      <c r="D1072" s="4" t="s">
        <v>919</v>
      </c>
      <c r="E1072" s="4">
        <v>150</v>
      </c>
      <c r="F1072" s="4" t="s">
        <v>917</v>
      </c>
      <c r="G1072" s="4">
        <f>E1072*VLOOKUP(B1072,alimentos_master!$A:$M,13,FALSE())/100</f>
        <v>79.5</v>
      </c>
      <c r="H1072" s="4">
        <f>E1072*VLOOKUP(B1072,alimentos_master!$A:$N,14,FALSE())/100</f>
        <v>1.2</v>
      </c>
      <c r="I1072" s="4">
        <f>E1072*VLOOKUP(B1072,alimentos_master!$A:$O,15,FALSE())/100</f>
        <v>19.95</v>
      </c>
      <c r="J1072" s="4">
        <f>E1072*VLOOKUP(B1072,alimentos_master!$A:$R,18,FALSE())/100</f>
        <v>0.45</v>
      </c>
    </row>
    <row r="1073" spans="1:10" ht="15" customHeight="1" x14ac:dyDescent="0.2">
      <c r="A1073" s="4">
        <v>1072</v>
      </c>
      <c r="B1073" s="4">
        <v>268</v>
      </c>
      <c r="C1073" s="4" t="s">
        <v>376</v>
      </c>
      <c r="D1073" s="4" t="s">
        <v>920</v>
      </c>
      <c r="E1073" s="4">
        <v>200</v>
      </c>
      <c r="F1073" s="4" t="s">
        <v>917</v>
      </c>
      <c r="G1073" s="4">
        <f>E1073*VLOOKUP(B1073,alimentos_master!$A:$M,13,FALSE())/100</f>
        <v>106</v>
      </c>
      <c r="H1073" s="4">
        <f>E1073*VLOOKUP(B1073,alimentos_master!$A:$N,14,FALSE())/100</f>
        <v>1.6</v>
      </c>
      <c r="I1073" s="4">
        <f>E1073*VLOOKUP(B1073,alimentos_master!$A:$O,15,FALSE())/100</f>
        <v>26.6</v>
      </c>
      <c r="J1073" s="4">
        <f>E1073*VLOOKUP(B1073,alimentos_master!$A:$R,18,FALSE())/100</f>
        <v>0.6</v>
      </c>
    </row>
    <row r="1074" spans="1:10" ht="15" customHeight="1" x14ac:dyDescent="0.2">
      <c r="A1074" s="4">
        <v>1073</v>
      </c>
      <c r="B1074" s="4">
        <v>269</v>
      </c>
      <c r="C1074" s="4" t="s">
        <v>377</v>
      </c>
      <c r="D1074" s="4" t="s">
        <v>916</v>
      </c>
      <c r="E1074" s="4">
        <v>75</v>
      </c>
      <c r="F1074" s="4" t="s">
        <v>917</v>
      </c>
      <c r="G1074" s="4" t="e">
        <f>E1074*VLOOKUP(B1074,alimentos_master!$A:$M,13,FALSE())/100</f>
        <v>#N/A</v>
      </c>
      <c r="H1074" s="4" t="e">
        <f>E1074*VLOOKUP(B1074,alimentos_master!$A:$N,14,FALSE())/100</f>
        <v>#N/A</v>
      </c>
      <c r="I1074" s="4" t="e">
        <f>E1074*VLOOKUP(B1074,alimentos_master!$A:$O,15,FALSE())/100</f>
        <v>#N/A</v>
      </c>
      <c r="J1074" s="4" t="e">
        <f>E1074*VLOOKUP(B1074,alimentos_master!$A:$R,18,FALSE())/100</f>
        <v>#N/A</v>
      </c>
    </row>
    <row r="1075" spans="1:10" ht="15" customHeight="1" x14ac:dyDescent="0.2">
      <c r="A1075" s="4">
        <v>1074</v>
      </c>
      <c r="B1075" s="4">
        <v>269</v>
      </c>
      <c r="C1075" s="4" t="s">
        <v>377</v>
      </c>
      <c r="D1075" s="4" t="s">
        <v>918</v>
      </c>
      <c r="E1075" s="4">
        <v>100</v>
      </c>
      <c r="F1075" s="4" t="s">
        <v>917</v>
      </c>
      <c r="G1075" s="4" t="e">
        <f>E1075*VLOOKUP(B1075,alimentos_master!$A:$M,13,FALSE())/100</f>
        <v>#N/A</v>
      </c>
      <c r="H1075" s="4" t="e">
        <f>E1075*VLOOKUP(B1075,alimentos_master!$A:$N,14,FALSE())/100</f>
        <v>#N/A</v>
      </c>
      <c r="I1075" s="4" t="e">
        <f>E1075*VLOOKUP(B1075,alimentos_master!$A:$O,15,FALSE())/100</f>
        <v>#N/A</v>
      </c>
      <c r="J1075" s="4" t="e">
        <f>E1075*VLOOKUP(B1075,alimentos_master!$A:$R,18,FALSE())/100</f>
        <v>#N/A</v>
      </c>
    </row>
    <row r="1076" spans="1:10" ht="15" customHeight="1" x14ac:dyDescent="0.2">
      <c r="A1076" s="4">
        <v>1075</v>
      </c>
      <c r="B1076" s="4">
        <v>269</v>
      </c>
      <c r="C1076" s="4" t="s">
        <v>377</v>
      </c>
      <c r="D1076" s="4" t="s">
        <v>919</v>
      </c>
      <c r="E1076" s="4">
        <v>150</v>
      </c>
      <c r="F1076" s="4" t="s">
        <v>917</v>
      </c>
      <c r="G1076" s="4" t="e">
        <f>E1076*VLOOKUP(B1076,alimentos_master!$A:$M,13,FALSE())/100</f>
        <v>#N/A</v>
      </c>
      <c r="H1076" s="4" t="e">
        <f>E1076*VLOOKUP(B1076,alimentos_master!$A:$N,14,FALSE())/100</f>
        <v>#N/A</v>
      </c>
      <c r="I1076" s="4" t="e">
        <f>E1076*VLOOKUP(B1076,alimentos_master!$A:$O,15,FALSE())/100</f>
        <v>#N/A</v>
      </c>
      <c r="J1076" s="4" t="e">
        <f>E1076*VLOOKUP(B1076,alimentos_master!$A:$R,18,FALSE())/100</f>
        <v>#N/A</v>
      </c>
    </row>
    <row r="1077" spans="1:10" ht="15" customHeight="1" x14ac:dyDescent="0.2">
      <c r="A1077" s="4">
        <v>1076</v>
      </c>
      <c r="B1077" s="4">
        <v>269</v>
      </c>
      <c r="C1077" s="4" t="s">
        <v>377</v>
      </c>
      <c r="D1077" s="4" t="s">
        <v>920</v>
      </c>
      <c r="E1077" s="4">
        <v>200</v>
      </c>
      <c r="F1077" s="4" t="s">
        <v>917</v>
      </c>
      <c r="G1077" s="4" t="e">
        <f>E1077*VLOOKUP(B1077,alimentos_master!$A:$M,13,FALSE())/100</f>
        <v>#N/A</v>
      </c>
      <c r="H1077" s="4" t="e">
        <f>E1077*VLOOKUP(B1077,alimentos_master!$A:$N,14,FALSE())/100</f>
        <v>#N/A</v>
      </c>
      <c r="I1077" s="4" t="e">
        <f>E1077*VLOOKUP(B1077,alimentos_master!$A:$O,15,FALSE())/100</f>
        <v>#N/A</v>
      </c>
      <c r="J1077" s="4" t="e">
        <f>E1077*VLOOKUP(B1077,alimentos_master!$A:$R,18,FALSE())/100</f>
        <v>#N/A</v>
      </c>
    </row>
    <row r="1078" spans="1:10" ht="15" customHeight="1" x14ac:dyDescent="0.2">
      <c r="A1078" s="4">
        <v>1077</v>
      </c>
      <c r="B1078" s="4">
        <v>270</v>
      </c>
      <c r="C1078" s="4" t="s">
        <v>378</v>
      </c>
      <c r="D1078" s="4" t="s">
        <v>916</v>
      </c>
      <c r="E1078" s="4">
        <v>75</v>
      </c>
      <c r="F1078" s="4" t="s">
        <v>917</v>
      </c>
      <c r="G1078" s="4" t="e">
        <f>E1078*VLOOKUP(B1078,alimentos_master!$A:$M,13,FALSE())/100</f>
        <v>#N/A</v>
      </c>
      <c r="H1078" s="4" t="e">
        <f>E1078*VLOOKUP(B1078,alimentos_master!$A:$N,14,FALSE())/100</f>
        <v>#N/A</v>
      </c>
      <c r="I1078" s="4" t="e">
        <f>E1078*VLOOKUP(B1078,alimentos_master!$A:$O,15,FALSE())/100</f>
        <v>#N/A</v>
      </c>
      <c r="J1078" s="4" t="e">
        <f>E1078*VLOOKUP(B1078,alimentos_master!$A:$R,18,FALSE())/100</f>
        <v>#N/A</v>
      </c>
    </row>
    <row r="1079" spans="1:10" ht="15" customHeight="1" x14ac:dyDescent="0.2">
      <c r="A1079" s="4">
        <v>1078</v>
      </c>
      <c r="B1079" s="4">
        <v>270</v>
      </c>
      <c r="C1079" s="4" t="s">
        <v>378</v>
      </c>
      <c r="D1079" s="4" t="s">
        <v>918</v>
      </c>
      <c r="E1079" s="4">
        <v>100</v>
      </c>
      <c r="F1079" s="4" t="s">
        <v>917</v>
      </c>
      <c r="G1079" s="4" t="e">
        <f>E1079*VLOOKUP(B1079,alimentos_master!$A:$M,13,FALSE())/100</f>
        <v>#N/A</v>
      </c>
      <c r="H1079" s="4" t="e">
        <f>E1079*VLOOKUP(B1079,alimentos_master!$A:$N,14,FALSE())/100</f>
        <v>#N/A</v>
      </c>
      <c r="I1079" s="4" t="e">
        <f>E1079*VLOOKUP(B1079,alimentos_master!$A:$O,15,FALSE())/100</f>
        <v>#N/A</v>
      </c>
      <c r="J1079" s="4" t="e">
        <f>E1079*VLOOKUP(B1079,alimentos_master!$A:$R,18,FALSE())/100</f>
        <v>#N/A</v>
      </c>
    </row>
    <row r="1080" spans="1:10" ht="15" customHeight="1" x14ac:dyDescent="0.2">
      <c r="A1080" s="4">
        <v>1079</v>
      </c>
      <c r="B1080" s="4">
        <v>270</v>
      </c>
      <c r="C1080" s="4" t="s">
        <v>378</v>
      </c>
      <c r="D1080" s="4" t="s">
        <v>919</v>
      </c>
      <c r="E1080" s="4">
        <v>150</v>
      </c>
      <c r="F1080" s="4" t="s">
        <v>917</v>
      </c>
      <c r="G1080" s="4" t="e">
        <f>E1080*VLOOKUP(B1080,alimentos_master!$A:$M,13,FALSE())/100</f>
        <v>#N/A</v>
      </c>
      <c r="H1080" s="4" t="e">
        <f>E1080*VLOOKUP(B1080,alimentos_master!$A:$N,14,FALSE())/100</f>
        <v>#N/A</v>
      </c>
      <c r="I1080" s="4" t="e">
        <f>E1080*VLOOKUP(B1080,alimentos_master!$A:$O,15,FALSE())/100</f>
        <v>#N/A</v>
      </c>
      <c r="J1080" s="4" t="e">
        <f>E1080*VLOOKUP(B1080,alimentos_master!$A:$R,18,FALSE())/100</f>
        <v>#N/A</v>
      </c>
    </row>
    <row r="1081" spans="1:10" ht="15" customHeight="1" x14ac:dyDescent="0.2">
      <c r="A1081" s="4">
        <v>1080</v>
      </c>
      <c r="B1081" s="4">
        <v>270</v>
      </c>
      <c r="C1081" s="4" t="s">
        <v>378</v>
      </c>
      <c r="D1081" s="4" t="s">
        <v>920</v>
      </c>
      <c r="E1081" s="4">
        <v>200</v>
      </c>
      <c r="F1081" s="4" t="s">
        <v>917</v>
      </c>
      <c r="G1081" s="4" t="e">
        <f>E1081*VLOOKUP(B1081,alimentos_master!$A:$M,13,FALSE())/100</f>
        <v>#N/A</v>
      </c>
      <c r="H1081" s="4" t="e">
        <f>E1081*VLOOKUP(B1081,alimentos_master!$A:$N,14,FALSE())/100</f>
        <v>#N/A</v>
      </c>
      <c r="I1081" s="4" t="e">
        <f>E1081*VLOOKUP(B1081,alimentos_master!$A:$O,15,FALSE())/100</f>
        <v>#N/A</v>
      </c>
      <c r="J1081" s="4" t="e">
        <f>E1081*VLOOKUP(B1081,alimentos_master!$A:$R,18,FALSE())/100</f>
        <v>#N/A</v>
      </c>
    </row>
    <row r="1082" spans="1:10" ht="15" customHeight="1" x14ac:dyDescent="0.2">
      <c r="A1082" s="4">
        <v>1081</v>
      </c>
      <c r="B1082" s="4">
        <v>271</v>
      </c>
      <c r="C1082" s="4" t="s">
        <v>379</v>
      </c>
      <c r="D1082" s="4" t="s">
        <v>916</v>
      </c>
      <c r="E1082" s="4">
        <v>75</v>
      </c>
      <c r="F1082" s="4" t="s">
        <v>917</v>
      </c>
      <c r="G1082" s="4" t="e">
        <f>E1082*VLOOKUP(B1082,alimentos_master!$A:$M,13,FALSE())/100</f>
        <v>#N/A</v>
      </c>
      <c r="H1082" s="4" t="e">
        <f>E1082*VLOOKUP(B1082,alimentos_master!$A:$N,14,FALSE())/100</f>
        <v>#N/A</v>
      </c>
      <c r="I1082" s="4" t="e">
        <f>E1082*VLOOKUP(B1082,alimentos_master!$A:$O,15,FALSE())/100</f>
        <v>#N/A</v>
      </c>
      <c r="J1082" s="4" t="e">
        <f>E1082*VLOOKUP(B1082,alimentos_master!$A:$R,18,FALSE())/100</f>
        <v>#N/A</v>
      </c>
    </row>
    <row r="1083" spans="1:10" ht="15" customHeight="1" x14ac:dyDescent="0.2">
      <c r="A1083" s="4">
        <v>1082</v>
      </c>
      <c r="B1083" s="4">
        <v>271</v>
      </c>
      <c r="C1083" s="4" t="s">
        <v>379</v>
      </c>
      <c r="D1083" s="4" t="s">
        <v>918</v>
      </c>
      <c r="E1083" s="4">
        <v>100</v>
      </c>
      <c r="F1083" s="4" t="s">
        <v>917</v>
      </c>
      <c r="G1083" s="4" t="e">
        <f>E1083*VLOOKUP(B1083,alimentos_master!$A:$M,13,FALSE())/100</f>
        <v>#N/A</v>
      </c>
      <c r="H1083" s="4" t="e">
        <f>E1083*VLOOKUP(B1083,alimentos_master!$A:$N,14,FALSE())/100</f>
        <v>#N/A</v>
      </c>
      <c r="I1083" s="4" t="e">
        <f>E1083*VLOOKUP(B1083,alimentos_master!$A:$O,15,FALSE())/100</f>
        <v>#N/A</v>
      </c>
      <c r="J1083" s="4" t="e">
        <f>E1083*VLOOKUP(B1083,alimentos_master!$A:$R,18,FALSE())/100</f>
        <v>#N/A</v>
      </c>
    </row>
    <row r="1084" spans="1:10" ht="15" customHeight="1" x14ac:dyDescent="0.2">
      <c r="A1084" s="4">
        <v>1083</v>
      </c>
      <c r="B1084" s="4">
        <v>271</v>
      </c>
      <c r="C1084" s="4" t="s">
        <v>379</v>
      </c>
      <c r="D1084" s="4" t="s">
        <v>919</v>
      </c>
      <c r="E1084" s="4">
        <v>150</v>
      </c>
      <c r="F1084" s="4" t="s">
        <v>917</v>
      </c>
      <c r="G1084" s="4" t="e">
        <f>E1084*VLOOKUP(B1084,alimentos_master!$A:$M,13,FALSE())/100</f>
        <v>#N/A</v>
      </c>
      <c r="H1084" s="4" t="e">
        <f>E1084*VLOOKUP(B1084,alimentos_master!$A:$N,14,FALSE())/100</f>
        <v>#N/A</v>
      </c>
      <c r="I1084" s="4" t="e">
        <f>E1084*VLOOKUP(B1084,alimentos_master!$A:$O,15,FALSE())/100</f>
        <v>#N/A</v>
      </c>
      <c r="J1084" s="4" t="e">
        <f>E1084*VLOOKUP(B1084,alimentos_master!$A:$R,18,FALSE())/100</f>
        <v>#N/A</v>
      </c>
    </row>
    <row r="1085" spans="1:10" ht="15" customHeight="1" x14ac:dyDescent="0.2">
      <c r="A1085" s="4">
        <v>1084</v>
      </c>
      <c r="B1085" s="4">
        <v>271</v>
      </c>
      <c r="C1085" s="4" t="s">
        <v>379</v>
      </c>
      <c r="D1085" s="4" t="s">
        <v>920</v>
      </c>
      <c r="E1085" s="4">
        <v>200</v>
      </c>
      <c r="F1085" s="4" t="s">
        <v>917</v>
      </c>
      <c r="G1085" s="4" t="e">
        <f>E1085*VLOOKUP(B1085,alimentos_master!$A:$M,13,FALSE())/100</f>
        <v>#N/A</v>
      </c>
      <c r="H1085" s="4" t="e">
        <f>E1085*VLOOKUP(B1085,alimentos_master!$A:$N,14,FALSE())/100</f>
        <v>#N/A</v>
      </c>
      <c r="I1085" s="4" t="e">
        <f>E1085*VLOOKUP(B1085,alimentos_master!$A:$O,15,FALSE())/100</f>
        <v>#N/A</v>
      </c>
      <c r="J1085" s="4" t="e">
        <f>E1085*VLOOKUP(B1085,alimentos_master!$A:$R,18,FALSE())/100</f>
        <v>#N/A</v>
      </c>
    </row>
    <row r="1086" spans="1:10" ht="15" customHeight="1" x14ac:dyDescent="0.2">
      <c r="A1086" s="4">
        <v>1085</v>
      </c>
      <c r="B1086" s="4">
        <v>272</v>
      </c>
      <c r="C1086" s="4" t="s">
        <v>380</v>
      </c>
      <c r="D1086" s="4" t="s">
        <v>916</v>
      </c>
      <c r="E1086" s="4">
        <v>75</v>
      </c>
      <c r="F1086" s="4" t="s">
        <v>917</v>
      </c>
      <c r="G1086" s="4" t="e">
        <f>E1086*VLOOKUP(B1086,alimentos_master!$A:$M,13,FALSE())/100</f>
        <v>#N/A</v>
      </c>
      <c r="H1086" s="4" t="e">
        <f>E1086*VLOOKUP(B1086,alimentos_master!$A:$N,14,FALSE())/100</f>
        <v>#N/A</v>
      </c>
      <c r="I1086" s="4" t="e">
        <f>E1086*VLOOKUP(B1086,alimentos_master!$A:$O,15,FALSE())/100</f>
        <v>#N/A</v>
      </c>
      <c r="J1086" s="4" t="e">
        <f>E1086*VLOOKUP(B1086,alimentos_master!$A:$R,18,FALSE())/100</f>
        <v>#N/A</v>
      </c>
    </row>
    <row r="1087" spans="1:10" ht="15" customHeight="1" x14ac:dyDescent="0.2">
      <c r="A1087" s="4">
        <v>1086</v>
      </c>
      <c r="B1087" s="4">
        <v>272</v>
      </c>
      <c r="C1087" s="4" t="s">
        <v>380</v>
      </c>
      <c r="D1087" s="4" t="s">
        <v>918</v>
      </c>
      <c r="E1087" s="4">
        <v>100</v>
      </c>
      <c r="F1087" s="4" t="s">
        <v>917</v>
      </c>
      <c r="G1087" s="4" t="e">
        <f>E1087*VLOOKUP(B1087,alimentos_master!$A:$M,13,FALSE())/100</f>
        <v>#N/A</v>
      </c>
      <c r="H1087" s="4" t="e">
        <f>E1087*VLOOKUP(B1087,alimentos_master!$A:$N,14,FALSE())/100</f>
        <v>#N/A</v>
      </c>
      <c r="I1087" s="4" t="e">
        <f>E1087*VLOOKUP(B1087,alimentos_master!$A:$O,15,FALSE())/100</f>
        <v>#N/A</v>
      </c>
      <c r="J1087" s="4" t="e">
        <f>E1087*VLOOKUP(B1087,alimentos_master!$A:$R,18,FALSE())/100</f>
        <v>#N/A</v>
      </c>
    </row>
    <row r="1088" spans="1:10" ht="15" customHeight="1" x14ac:dyDescent="0.2">
      <c r="A1088" s="4">
        <v>1087</v>
      </c>
      <c r="B1088" s="4">
        <v>272</v>
      </c>
      <c r="C1088" s="4" t="s">
        <v>380</v>
      </c>
      <c r="D1088" s="4" t="s">
        <v>919</v>
      </c>
      <c r="E1088" s="4">
        <v>150</v>
      </c>
      <c r="F1088" s="4" t="s">
        <v>917</v>
      </c>
      <c r="G1088" s="4" t="e">
        <f>E1088*VLOOKUP(B1088,alimentos_master!$A:$M,13,FALSE())/100</f>
        <v>#N/A</v>
      </c>
      <c r="H1088" s="4" t="e">
        <f>E1088*VLOOKUP(B1088,alimentos_master!$A:$N,14,FALSE())/100</f>
        <v>#N/A</v>
      </c>
      <c r="I1088" s="4" t="e">
        <f>E1088*VLOOKUP(B1088,alimentos_master!$A:$O,15,FALSE())/100</f>
        <v>#N/A</v>
      </c>
      <c r="J1088" s="4" t="e">
        <f>E1088*VLOOKUP(B1088,alimentos_master!$A:$R,18,FALSE())/100</f>
        <v>#N/A</v>
      </c>
    </row>
    <row r="1089" spans="1:10" ht="15" customHeight="1" x14ac:dyDescent="0.2">
      <c r="A1089" s="4">
        <v>1088</v>
      </c>
      <c r="B1089" s="4">
        <v>272</v>
      </c>
      <c r="C1089" s="4" t="s">
        <v>380</v>
      </c>
      <c r="D1089" s="4" t="s">
        <v>920</v>
      </c>
      <c r="E1089" s="4">
        <v>200</v>
      </c>
      <c r="F1089" s="4" t="s">
        <v>917</v>
      </c>
      <c r="G1089" s="4" t="e">
        <f>E1089*VLOOKUP(B1089,alimentos_master!$A:$M,13,FALSE())/100</f>
        <v>#N/A</v>
      </c>
      <c r="H1089" s="4" t="e">
        <f>E1089*VLOOKUP(B1089,alimentos_master!$A:$N,14,FALSE())/100</f>
        <v>#N/A</v>
      </c>
      <c r="I1089" s="4" t="e">
        <f>E1089*VLOOKUP(B1089,alimentos_master!$A:$O,15,FALSE())/100</f>
        <v>#N/A</v>
      </c>
      <c r="J1089" s="4" t="e">
        <f>E1089*VLOOKUP(B1089,alimentos_master!$A:$R,18,FALSE())/100</f>
        <v>#N/A</v>
      </c>
    </row>
    <row r="1090" spans="1:10" ht="15" customHeight="1" x14ac:dyDescent="0.2">
      <c r="A1090" s="4">
        <v>1089</v>
      </c>
      <c r="B1090" s="4">
        <v>273</v>
      </c>
      <c r="C1090" s="4" t="s">
        <v>381</v>
      </c>
      <c r="D1090" s="4" t="s">
        <v>916</v>
      </c>
      <c r="E1090" s="4">
        <v>75</v>
      </c>
      <c r="F1090" s="4" t="s">
        <v>917</v>
      </c>
      <c r="G1090" s="4" t="e">
        <f>E1090*VLOOKUP(B1090,alimentos_master!$A:$M,13,FALSE())/100</f>
        <v>#N/A</v>
      </c>
      <c r="H1090" s="4" t="e">
        <f>E1090*VLOOKUP(B1090,alimentos_master!$A:$N,14,FALSE())/100</f>
        <v>#N/A</v>
      </c>
      <c r="I1090" s="4" t="e">
        <f>E1090*VLOOKUP(B1090,alimentos_master!$A:$O,15,FALSE())/100</f>
        <v>#N/A</v>
      </c>
      <c r="J1090" s="4" t="e">
        <f>E1090*VLOOKUP(B1090,alimentos_master!$A:$R,18,FALSE())/100</f>
        <v>#N/A</v>
      </c>
    </row>
    <row r="1091" spans="1:10" ht="15" customHeight="1" x14ac:dyDescent="0.2">
      <c r="A1091" s="4">
        <v>1090</v>
      </c>
      <c r="B1091" s="4">
        <v>273</v>
      </c>
      <c r="C1091" s="4" t="s">
        <v>381</v>
      </c>
      <c r="D1091" s="4" t="s">
        <v>918</v>
      </c>
      <c r="E1091" s="4">
        <v>100</v>
      </c>
      <c r="F1091" s="4" t="s">
        <v>917</v>
      </c>
      <c r="G1091" s="4" t="e">
        <f>E1091*VLOOKUP(B1091,alimentos_master!$A:$M,13,FALSE())/100</f>
        <v>#N/A</v>
      </c>
      <c r="H1091" s="4" t="e">
        <f>E1091*VLOOKUP(B1091,alimentos_master!$A:$N,14,FALSE())/100</f>
        <v>#N/A</v>
      </c>
      <c r="I1091" s="4" t="e">
        <f>E1091*VLOOKUP(B1091,alimentos_master!$A:$O,15,FALSE())/100</f>
        <v>#N/A</v>
      </c>
      <c r="J1091" s="4" t="e">
        <f>E1091*VLOOKUP(B1091,alimentos_master!$A:$R,18,FALSE())/100</f>
        <v>#N/A</v>
      </c>
    </row>
    <row r="1092" spans="1:10" ht="15" customHeight="1" x14ac:dyDescent="0.2">
      <c r="A1092" s="4">
        <v>1091</v>
      </c>
      <c r="B1092" s="4">
        <v>273</v>
      </c>
      <c r="C1092" s="4" t="s">
        <v>381</v>
      </c>
      <c r="D1092" s="4" t="s">
        <v>919</v>
      </c>
      <c r="E1092" s="4">
        <v>150</v>
      </c>
      <c r="F1092" s="4" t="s">
        <v>917</v>
      </c>
      <c r="G1092" s="4" t="e">
        <f>E1092*VLOOKUP(B1092,alimentos_master!$A:$M,13,FALSE())/100</f>
        <v>#N/A</v>
      </c>
      <c r="H1092" s="4" t="e">
        <f>E1092*VLOOKUP(B1092,alimentos_master!$A:$N,14,FALSE())/100</f>
        <v>#N/A</v>
      </c>
      <c r="I1092" s="4" t="e">
        <f>E1092*VLOOKUP(B1092,alimentos_master!$A:$O,15,FALSE())/100</f>
        <v>#N/A</v>
      </c>
      <c r="J1092" s="4" t="e">
        <f>E1092*VLOOKUP(B1092,alimentos_master!$A:$R,18,FALSE())/100</f>
        <v>#N/A</v>
      </c>
    </row>
    <row r="1093" spans="1:10" ht="15" customHeight="1" x14ac:dyDescent="0.2">
      <c r="A1093" s="4">
        <v>1092</v>
      </c>
      <c r="B1093" s="4">
        <v>273</v>
      </c>
      <c r="C1093" s="4" t="s">
        <v>381</v>
      </c>
      <c r="D1093" s="4" t="s">
        <v>920</v>
      </c>
      <c r="E1093" s="4">
        <v>200</v>
      </c>
      <c r="F1093" s="4" t="s">
        <v>917</v>
      </c>
      <c r="G1093" s="4" t="e">
        <f>E1093*VLOOKUP(B1093,alimentos_master!$A:$M,13,FALSE())/100</f>
        <v>#N/A</v>
      </c>
      <c r="H1093" s="4" t="e">
        <f>E1093*VLOOKUP(B1093,alimentos_master!$A:$N,14,FALSE())/100</f>
        <v>#N/A</v>
      </c>
      <c r="I1093" s="4" t="e">
        <f>E1093*VLOOKUP(B1093,alimentos_master!$A:$O,15,FALSE())/100</f>
        <v>#N/A</v>
      </c>
      <c r="J1093" s="4" t="e">
        <f>E1093*VLOOKUP(B1093,alimentos_master!$A:$R,18,FALSE())/100</f>
        <v>#N/A</v>
      </c>
    </row>
    <row r="1094" spans="1:10" ht="15" customHeight="1" x14ac:dyDescent="0.2">
      <c r="A1094" s="4">
        <v>1093</v>
      </c>
      <c r="B1094" s="4">
        <v>274</v>
      </c>
      <c r="C1094" s="4" t="s">
        <v>382</v>
      </c>
      <c r="D1094" s="4" t="s">
        <v>916</v>
      </c>
      <c r="E1094" s="4">
        <v>75</v>
      </c>
      <c r="F1094" s="4" t="s">
        <v>917</v>
      </c>
      <c r="G1094" s="4" t="e">
        <f>E1094*VLOOKUP(B1094,alimentos_master!$A:$M,13,FALSE())/100</f>
        <v>#N/A</v>
      </c>
      <c r="H1094" s="4" t="e">
        <f>E1094*VLOOKUP(B1094,alimentos_master!$A:$N,14,FALSE())/100</f>
        <v>#N/A</v>
      </c>
      <c r="I1094" s="4" t="e">
        <f>E1094*VLOOKUP(B1094,alimentos_master!$A:$O,15,FALSE())/100</f>
        <v>#N/A</v>
      </c>
      <c r="J1094" s="4" t="e">
        <f>E1094*VLOOKUP(B1094,alimentos_master!$A:$R,18,FALSE())/100</f>
        <v>#N/A</v>
      </c>
    </row>
    <row r="1095" spans="1:10" ht="15" customHeight="1" x14ac:dyDescent="0.2">
      <c r="A1095" s="4">
        <v>1094</v>
      </c>
      <c r="B1095" s="4">
        <v>274</v>
      </c>
      <c r="C1095" s="4" t="s">
        <v>382</v>
      </c>
      <c r="D1095" s="4" t="s">
        <v>918</v>
      </c>
      <c r="E1095" s="4">
        <v>100</v>
      </c>
      <c r="F1095" s="4" t="s">
        <v>917</v>
      </c>
      <c r="G1095" s="4" t="e">
        <f>E1095*VLOOKUP(B1095,alimentos_master!$A:$M,13,FALSE())/100</f>
        <v>#N/A</v>
      </c>
      <c r="H1095" s="4" t="e">
        <f>E1095*VLOOKUP(B1095,alimentos_master!$A:$N,14,FALSE())/100</f>
        <v>#N/A</v>
      </c>
      <c r="I1095" s="4" t="e">
        <f>E1095*VLOOKUP(B1095,alimentos_master!$A:$O,15,FALSE())/100</f>
        <v>#N/A</v>
      </c>
      <c r="J1095" s="4" t="e">
        <f>E1095*VLOOKUP(B1095,alimentos_master!$A:$R,18,FALSE())/100</f>
        <v>#N/A</v>
      </c>
    </row>
    <row r="1096" spans="1:10" ht="15" customHeight="1" x14ac:dyDescent="0.2">
      <c r="A1096" s="4">
        <v>1095</v>
      </c>
      <c r="B1096" s="4">
        <v>274</v>
      </c>
      <c r="C1096" s="4" t="s">
        <v>382</v>
      </c>
      <c r="D1096" s="4" t="s">
        <v>919</v>
      </c>
      <c r="E1096" s="4">
        <v>150</v>
      </c>
      <c r="F1096" s="4" t="s">
        <v>917</v>
      </c>
      <c r="G1096" s="4" t="e">
        <f>E1096*VLOOKUP(B1096,alimentos_master!$A:$M,13,FALSE())/100</f>
        <v>#N/A</v>
      </c>
      <c r="H1096" s="4" t="e">
        <f>E1096*VLOOKUP(B1096,alimentos_master!$A:$N,14,FALSE())/100</f>
        <v>#N/A</v>
      </c>
      <c r="I1096" s="4" t="e">
        <f>E1096*VLOOKUP(B1096,alimentos_master!$A:$O,15,FALSE())/100</f>
        <v>#N/A</v>
      </c>
      <c r="J1096" s="4" t="e">
        <f>E1096*VLOOKUP(B1096,alimentos_master!$A:$R,18,FALSE())/100</f>
        <v>#N/A</v>
      </c>
    </row>
    <row r="1097" spans="1:10" ht="15" customHeight="1" x14ac:dyDescent="0.2">
      <c r="A1097" s="4">
        <v>1096</v>
      </c>
      <c r="B1097" s="4">
        <v>274</v>
      </c>
      <c r="C1097" s="4" t="s">
        <v>382</v>
      </c>
      <c r="D1097" s="4" t="s">
        <v>920</v>
      </c>
      <c r="E1097" s="4">
        <v>200</v>
      </c>
      <c r="F1097" s="4" t="s">
        <v>917</v>
      </c>
      <c r="G1097" s="4" t="e">
        <f>E1097*VLOOKUP(B1097,alimentos_master!$A:$M,13,FALSE())/100</f>
        <v>#N/A</v>
      </c>
      <c r="H1097" s="4" t="e">
        <f>E1097*VLOOKUP(B1097,alimentos_master!$A:$N,14,FALSE())/100</f>
        <v>#N/A</v>
      </c>
      <c r="I1097" s="4" t="e">
        <f>E1097*VLOOKUP(B1097,alimentos_master!$A:$O,15,FALSE())/100</f>
        <v>#N/A</v>
      </c>
      <c r="J1097" s="4" t="e">
        <f>E1097*VLOOKUP(B1097,alimentos_master!$A:$R,18,FALSE())/100</f>
        <v>#N/A</v>
      </c>
    </row>
    <row r="1098" spans="1:10" ht="15" customHeight="1" x14ac:dyDescent="0.2">
      <c r="A1098" s="4">
        <v>1097</v>
      </c>
      <c r="B1098" s="4">
        <v>275</v>
      </c>
      <c r="C1098" s="4" t="s">
        <v>383</v>
      </c>
      <c r="D1098" s="4" t="s">
        <v>916</v>
      </c>
      <c r="E1098" s="4">
        <v>75</v>
      </c>
      <c r="F1098" s="4" t="s">
        <v>917</v>
      </c>
      <c r="G1098" s="4" t="e">
        <f>E1098*VLOOKUP(B1098,alimentos_master!$A:$M,13,FALSE())/100</f>
        <v>#N/A</v>
      </c>
      <c r="H1098" s="4" t="e">
        <f>E1098*VLOOKUP(B1098,alimentos_master!$A:$N,14,FALSE())/100</f>
        <v>#N/A</v>
      </c>
      <c r="I1098" s="4" t="e">
        <f>E1098*VLOOKUP(B1098,alimentos_master!$A:$O,15,FALSE())/100</f>
        <v>#N/A</v>
      </c>
      <c r="J1098" s="4" t="e">
        <f>E1098*VLOOKUP(B1098,alimentos_master!$A:$R,18,FALSE())/100</f>
        <v>#N/A</v>
      </c>
    </row>
    <row r="1099" spans="1:10" ht="15" customHeight="1" x14ac:dyDescent="0.2">
      <c r="A1099" s="4">
        <v>1098</v>
      </c>
      <c r="B1099" s="4">
        <v>275</v>
      </c>
      <c r="C1099" s="4" t="s">
        <v>383</v>
      </c>
      <c r="D1099" s="4" t="s">
        <v>918</v>
      </c>
      <c r="E1099" s="4">
        <v>100</v>
      </c>
      <c r="F1099" s="4" t="s">
        <v>917</v>
      </c>
      <c r="G1099" s="4" t="e">
        <f>E1099*VLOOKUP(B1099,alimentos_master!$A:$M,13,FALSE())/100</f>
        <v>#N/A</v>
      </c>
      <c r="H1099" s="4" t="e">
        <f>E1099*VLOOKUP(B1099,alimentos_master!$A:$N,14,FALSE())/100</f>
        <v>#N/A</v>
      </c>
      <c r="I1099" s="4" t="e">
        <f>E1099*VLOOKUP(B1099,alimentos_master!$A:$O,15,FALSE())/100</f>
        <v>#N/A</v>
      </c>
      <c r="J1099" s="4" t="e">
        <f>E1099*VLOOKUP(B1099,alimentos_master!$A:$R,18,FALSE())/100</f>
        <v>#N/A</v>
      </c>
    </row>
    <row r="1100" spans="1:10" ht="15" customHeight="1" x14ac:dyDescent="0.2">
      <c r="A1100" s="4">
        <v>1099</v>
      </c>
      <c r="B1100" s="4">
        <v>275</v>
      </c>
      <c r="C1100" s="4" t="s">
        <v>383</v>
      </c>
      <c r="D1100" s="4" t="s">
        <v>919</v>
      </c>
      <c r="E1100" s="4">
        <v>150</v>
      </c>
      <c r="F1100" s="4" t="s">
        <v>917</v>
      </c>
      <c r="G1100" s="4" t="e">
        <f>E1100*VLOOKUP(B1100,alimentos_master!$A:$M,13,FALSE())/100</f>
        <v>#N/A</v>
      </c>
      <c r="H1100" s="4" t="e">
        <f>E1100*VLOOKUP(B1100,alimentos_master!$A:$N,14,FALSE())/100</f>
        <v>#N/A</v>
      </c>
      <c r="I1100" s="4" t="e">
        <f>E1100*VLOOKUP(B1100,alimentos_master!$A:$O,15,FALSE())/100</f>
        <v>#N/A</v>
      </c>
      <c r="J1100" s="4" t="e">
        <f>E1100*VLOOKUP(B1100,alimentos_master!$A:$R,18,FALSE())/100</f>
        <v>#N/A</v>
      </c>
    </row>
    <row r="1101" spans="1:10" ht="15" customHeight="1" x14ac:dyDescent="0.2">
      <c r="A1101" s="4">
        <v>1100</v>
      </c>
      <c r="B1101" s="4">
        <v>275</v>
      </c>
      <c r="C1101" s="4" t="s">
        <v>383</v>
      </c>
      <c r="D1101" s="4" t="s">
        <v>920</v>
      </c>
      <c r="E1101" s="4">
        <v>200</v>
      </c>
      <c r="F1101" s="4" t="s">
        <v>917</v>
      </c>
      <c r="G1101" s="4" t="e">
        <f>E1101*VLOOKUP(B1101,alimentos_master!$A:$M,13,FALSE())/100</f>
        <v>#N/A</v>
      </c>
      <c r="H1101" s="4" t="e">
        <f>E1101*VLOOKUP(B1101,alimentos_master!$A:$N,14,FALSE())/100</f>
        <v>#N/A</v>
      </c>
      <c r="I1101" s="4" t="e">
        <f>E1101*VLOOKUP(B1101,alimentos_master!$A:$O,15,FALSE())/100</f>
        <v>#N/A</v>
      </c>
      <c r="J1101" s="4" t="e">
        <f>E1101*VLOOKUP(B1101,alimentos_master!$A:$R,18,FALSE())/100</f>
        <v>#N/A</v>
      </c>
    </row>
    <row r="1102" spans="1:10" ht="15" customHeight="1" x14ac:dyDescent="0.2">
      <c r="A1102" s="4">
        <v>1101</v>
      </c>
      <c r="B1102" s="4">
        <v>276</v>
      </c>
      <c r="C1102" s="4" t="s">
        <v>384</v>
      </c>
      <c r="D1102" s="4" t="s">
        <v>916</v>
      </c>
      <c r="E1102" s="4">
        <v>75</v>
      </c>
      <c r="F1102" s="4" t="s">
        <v>917</v>
      </c>
      <c r="G1102" s="4" t="e">
        <f>E1102*VLOOKUP(B1102,alimentos_master!$A:$M,13,FALSE())/100</f>
        <v>#N/A</v>
      </c>
      <c r="H1102" s="4" t="e">
        <f>E1102*VLOOKUP(B1102,alimentos_master!$A:$N,14,FALSE())/100</f>
        <v>#N/A</v>
      </c>
      <c r="I1102" s="4" t="e">
        <f>E1102*VLOOKUP(B1102,alimentos_master!$A:$O,15,FALSE())/100</f>
        <v>#N/A</v>
      </c>
      <c r="J1102" s="4" t="e">
        <f>E1102*VLOOKUP(B1102,alimentos_master!$A:$R,18,FALSE())/100</f>
        <v>#N/A</v>
      </c>
    </row>
    <row r="1103" spans="1:10" ht="15" customHeight="1" x14ac:dyDescent="0.2">
      <c r="A1103" s="4">
        <v>1102</v>
      </c>
      <c r="B1103" s="4">
        <v>276</v>
      </c>
      <c r="C1103" s="4" t="s">
        <v>384</v>
      </c>
      <c r="D1103" s="4" t="s">
        <v>918</v>
      </c>
      <c r="E1103" s="4">
        <v>100</v>
      </c>
      <c r="F1103" s="4" t="s">
        <v>917</v>
      </c>
      <c r="G1103" s="4" t="e">
        <f>E1103*VLOOKUP(B1103,alimentos_master!$A:$M,13,FALSE())/100</f>
        <v>#N/A</v>
      </c>
      <c r="H1103" s="4" t="e">
        <f>E1103*VLOOKUP(B1103,alimentos_master!$A:$N,14,FALSE())/100</f>
        <v>#N/A</v>
      </c>
      <c r="I1103" s="4" t="e">
        <f>E1103*VLOOKUP(B1103,alimentos_master!$A:$O,15,FALSE())/100</f>
        <v>#N/A</v>
      </c>
      <c r="J1103" s="4" t="e">
        <f>E1103*VLOOKUP(B1103,alimentos_master!$A:$R,18,FALSE())/100</f>
        <v>#N/A</v>
      </c>
    </row>
    <row r="1104" spans="1:10" ht="15" customHeight="1" x14ac:dyDescent="0.2">
      <c r="A1104" s="4">
        <v>1103</v>
      </c>
      <c r="B1104" s="4">
        <v>276</v>
      </c>
      <c r="C1104" s="4" t="s">
        <v>384</v>
      </c>
      <c r="D1104" s="4" t="s">
        <v>919</v>
      </c>
      <c r="E1104" s="4">
        <v>150</v>
      </c>
      <c r="F1104" s="4" t="s">
        <v>917</v>
      </c>
      <c r="G1104" s="4" t="e">
        <f>E1104*VLOOKUP(B1104,alimentos_master!$A:$M,13,FALSE())/100</f>
        <v>#N/A</v>
      </c>
      <c r="H1104" s="4" t="e">
        <f>E1104*VLOOKUP(B1104,alimentos_master!$A:$N,14,FALSE())/100</f>
        <v>#N/A</v>
      </c>
      <c r="I1104" s="4" t="e">
        <f>E1104*VLOOKUP(B1104,alimentos_master!$A:$O,15,FALSE())/100</f>
        <v>#N/A</v>
      </c>
      <c r="J1104" s="4" t="e">
        <f>E1104*VLOOKUP(B1104,alimentos_master!$A:$R,18,FALSE())/100</f>
        <v>#N/A</v>
      </c>
    </row>
    <row r="1105" spans="1:10" ht="15" customHeight="1" x14ac:dyDescent="0.2">
      <c r="A1105" s="4">
        <v>1104</v>
      </c>
      <c r="B1105" s="4">
        <v>276</v>
      </c>
      <c r="C1105" s="4" t="s">
        <v>384</v>
      </c>
      <c r="D1105" s="4" t="s">
        <v>920</v>
      </c>
      <c r="E1105" s="4">
        <v>200</v>
      </c>
      <c r="F1105" s="4" t="s">
        <v>917</v>
      </c>
      <c r="G1105" s="4" t="e">
        <f>E1105*VLOOKUP(B1105,alimentos_master!$A:$M,13,FALSE())/100</f>
        <v>#N/A</v>
      </c>
      <c r="H1105" s="4" t="e">
        <f>E1105*VLOOKUP(B1105,alimentos_master!$A:$N,14,FALSE())/100</f>
        <v>#N/A</v>
      </c>
      <c r="I1105" s="4" t="e">
        <f>E1105*VLOOKUP(B1105,alimentos_master!$A:$O,15,FALSE())/100</f>
        <v>#N/A</v>
      </c>
      <c r="J1105" s="4" t="e">
        <f>E1105*VLOOKUP(B1105,alimentos_master!$A:$R,18,FALSE())/100</f>
        <v>#N/A</v>
      </c>
    </row>
    <row r="1106" spans="1:10" ht="15" customHeight="1" x14ac:dyDescent="0.2">
      <c r="A1106" s="4">
        <v>1105</v>
      </c>
      <c r="B1106" s="4">
        <v>277</v>
      </c>
      <c r="C1106" s="4" t="s">
        <v>385</v>
      </c>
      <c r="D1106" s="4" t="s">
        <v>916</v>
      </c>
      <c r="E1106" s="4">
        <v>75</v>
      </c>
      <c r="F1106" s="4" t="s">
        <v>917</v>
      </c>
      <c r="G1106" s="4" t="e">
        <f>E1106*VLOOKUP(B1106,alimentos_master!$A:$M,13,FALSE())/100</f>
        <v>#N/A</v>
      </c>
      <c r="H1106" s="4" t="e">
        <f>E1106*VLOOKUP(B1106,alimentos_master!$A:$N,14,FALSE())/100</f>
        <v>#N/A</v>
      </c>
      <c r="I1106" s="4" t="e">
        <f>E1106*VLOOKUP(B1106,alimentos_master!$A:$O,15,FALSE())/100</f>
        <v>#N/A</v>
      </c>
      <c r="J1106" s="4" t="e">
        <f>E1106*VLOOKUP(B1106,alimentos_master!$A:$R,18,FALSE())/100</f>
        <v>#N/A</v>
      </c>
    </row>
    <row r="1107" spans="1:10" ht="15" customHeight="1" x14ac:dyDescent="0.2">
      <c r="A1107" s="4">
        <v>1106</v>
      </c>
      <c r="B1107" s="4">
        <v>277</v>
      </c>
      <c r="C1107" s="4" t="s">
        <v>385</v>
      </c>
      <c r="D1107" s="4" t="s">
        <v>918</v>
      </c>
      <c r="E1107" s="4">
        <v>100</v>
      </c>
      <c r="F1107" s="4" t="s">
        <v>917</v>
      </c>
      <c r="G1107" s="4" t="e">
        <f>E1107*VLOOKUP(B1107,alimentos_master!$A:$M,13,FALSE())/100</f>
        <v>#N/A</v>
      </c>
      <c r="H1107" s="4" t="e">
        <f>E1107*VLOOKUP(B1107,alimentos_master!$A:$N,14,FALSE())/100</f>
        <v>#N/A</v>
      </c>
      <c r="I1107" s="4" t="e">
        <f>E1107*VLOOKUP(B1107,alimentos_master!$A:$O,15,FALSE())/100</f>
        <v>#N/A</v>
      </c>
      <c r="J1107" s="4" t="e">
        <f>E1107*VLOOKUP(B1107,alimentos_master!$A:$R,18,FALSE())/100</f>
        <v>#N/A</v>
      </c>
    </row>
    <row r="1108" spans="1:10" ht="15" customHeight="1" x14ac:dyDescent="0.2">
      <c r="A1108" s="4">
        <v>1107</v>
      </c>
      <c r="B1108" s="4">
        <v>277</v>
      </c>
      <c r="C1108" s="4" t="s">
        <v>385</v>
      </c>
      <c r="D1108" s="4" t="s">
        <v>919</v>
      </c>
      <c r="E1108" s="4">
        <v>150</v>
      </c>
      <c r="F1108" s="4" t="s">
        <v>917</v>
      </c>
      <c r="G1108" s="4" t="e">
        <f>E1108*VLOOKUP(B1108,alimentos_master!$A:$M,13,FALSE())/100</f>
        <v>#N/A</v>
      </c>
      <c r="H1108" s="4" t="e">
        <f>E1108*VLOOKUP(B1108,alimentos_master!$A:$N,14,FALSE())/100</f>
        <v>#N/A</v>
      </c>
      <c r="I1108" s="4" t="e">
        <f>E1108*VLOOKUP(B1108,alimentos_master!$A:$O,15,FALSE())/100</f>
        <v>#N/A</v>
      </c>
      <c r="J1108" s="4" t="e">
        <f>E1108*VLOOKUP(B1108,alimentos_master!$A:$R,18,FALSE())/100</f>
        <v>#N/A</v>
      </c>
    </row>
    <row r="1109" spans="1:10" ht="15" customHeight="1" x14ac:dyDescent="0.2">
      <c r="A1109" s="4">
        <v>1108</v>
      </c>
      <c r="B1109" s="4">
        <v>277</v>
      </c>
      <c r="C1109" s="4" t="s">
        <v>385</v>
      </c>
      <c r="D1109" s="4" t="s">
        <v>920</v>
      </c>
      <c r="E1109" s="4">
        <v>200</v>
      </c>
      <c r="F1109" s="4" t="s">
        <v>917</v>
      </c>
      <c r="G1109" s="4" t="e">
        <f>E1109*VLOOKUP(B1109,alimentos_master!$A:$M,13,FALSE())/100</f>
        <v>#N/A</v>
      </c>
      <c r="H1109" s="4" t="e">
        <f>E1109*VLOOKUP(B1109,alimentos_master!$A:$N,14,FALSE())/100</f>
        <v>#N/A</v>
      </c>
      <c r="I1109" s="4" t="e">
        <f>E1109*VLOOKUP(B1109,alimentos_master!$A:$O,15,FALSE())/100</f>
        <v>#N/A</v>
      </c>
      <c r="J1109" s="4" t="e">
        <f>E1109*VLOOKUP(B1109,alimentos_master!$A:$R,18,FALSE())/100</f>
        <v>#N/A</v>
      </c>
    </row>
    <row r="1110" spans="1:10" ht="15" customHeight="1" x14ac:dyDescent="0.2">
      <c r="A1110" s="4">
        <v>1109</v>
      </c>
      <c r="B1110" s="4">
        <v>278</v>
      </c>
      <c r="C1110" s="4" t="s">
        <v>386</v>
      </c>
      <c r="D1110" s="4" t="s">
        <v>916</v>
      </c>
      <c r="E1110" s="4">
        <v>75</v>
      </c>
      <c r="F1110" s="4" t="s">
        <v>917</v>
      </c>
      <c r="G1110" s="4" t="e">
        <f>E1110*VLOOKUP(B1110,alimentos_master!$A:$M,13,FALSE())/100</f>
        <v>#N/A</v>
      </c>
      <c r="H1110" s="4" t="e">
        <f>E1110*VLOOKUP(B1110,alimentos_master!$A:$N,14,FALSE())/100</f>
        <v>#N/A</v>
      </c>
      <c r="I1110" s="4" t="e">
        <f>E1110*VLOOKUP(B1110,alimentos_master!$A:$O,15,FALSE())/100</f>
        <v>#N/A</v>
      </c>
      <c r="J1110" s="4" t="e">
        <f>E1110*VLOOKUP(B1110,alimentos_master!$A:$R,18,FALSE())/100</f>
        <v>#N/A</v>
      </c>
    </row>
    <row r="1111" spans="1:10" ht="15" customHeight="1" x14ac:dyDescent="0.2">
      <c r="A1111" s="4">
        <v>1110</v>
      </c>
      <c r="B1111" s="4">
        <v>278</v>
      </c>
      <c r="C1111" s="4" t="s">
        <v>386</v>
      </c>
      <c r="D1111" s="4" t="s">
        <v>918</v>
      </c>
      <c r="E1111" s="4">
        <v>100</v>
      </c>
      <c r="F1111" s="4" t="s">
        <v>917</v>
      </c>
      <c r="G1111" s="4" t="e">
        <f>E1111*VLOOKUP(B1111,alimentos_master!$A:$M,13,FALSE())/100</f>
        <v>#N/A</v>
      </c>
      <c r="H1111" s="4" t="e">
        <f>E1111*VLOOKUP(B1111,alimentos_master!$A:$N,14,FALSE())/100</f>
        <v>#N/A</v>
      </c>
      <c r="I1111" s="4" t="e">
        <f>E1111*VLOOKUP(B1111,alimentos_master!$A:$O,15,FALSE())/100</f>
        <v>#N/A</v>
      </c>
      <c r="J1111" s="4" t="e">
        <f>E1111*VLOOKUP(B1111,alimentos_master!$A:$R,18,FALSE())/100</f>
        <v>#N/A</v>
      </c>
    </row>
    <row r="1112" spans="1:10" ht="15" customHeight="1" x14ac:dyDescent="0.2">
      <c r="A1112" s="4">
        <v>1111</v>
      </c>
      <c r="B1112" s="4">
        <v>278</v>
      </c>
      <c r="C1112" s="4" t="s">
        <v>386</v>
      </c>
      <c r="D1112" s="4" t="s">
        <v>919</v>
      </c>
      <c r="E1112" s="4">
        <v>150</v>
      </c>
      <c r="F1112" s="4" t="s">
        <v>917</v>
      </c>
      <c r="G1112" s="4" t="e">
        <f>E1112*VLOOKUP(B1112,alimentos_master!$A:$M,13,FALSE())/100</f>
        <v>#N/A</v>
      </c>
      <c r="H1112" s="4" t="e">
        <f>E1112*VLOOKUP(B1112,alimentos_master!$A:$N,14,FALSE())/100</f>
        <v>#N/A</v>
      </c>
      <c r="I1112" s="4" t="e">
        <f>E1112*VLOOKUP(B1112,alimentos_master!$A:$O,15,FALSE())/100</f>
        <v>#N/A</v>
      </c>
      <c r="J1112" s="4" t="e">
        <f>E1112*VLOOKUP(B1112,alimentos_master!$A:$R,18,FALSE())/100</f>
        <v>#N/A</v>
      </c>
    </row>
    <row r="1113" spans="1:10" ht="15" customHeight="1" x14ac:dyDescent="0.2">
      <c r="A1113" s="4">
        <v>1112</v>
      </c>
      <c r="B1113" s="4">
        <v>278</v>
      </c>
      <c r="C1113" s="4" t="s">
        <v>386</v>
      </c>
      <c r="D1113" s="4" t="s">
        <v>920</v>
      </c>
      <c r="E1113" s="4">
        <v>200</v>
      </c>
      <c r="F1113" s="4" t="s">
        <v>917</v>
      </c>
      <c r="G1113" s="4" t="e">
        <f>E1113*VLOOKUP(B1113,alimentos_master!$A:$M,13,FALSE())/100</f>
        <v>#N/A</v>
      </c>
      <c r="H1113" s="4" t="e">
        <f>E1113*VLOOKUP(B1113,alimentos_master!$A:$N,14,FALSE())/100</f>
        <v>#N/A</v>
      </c>
      <c r="I1113" s="4" t="e">
        <f>E1113*VLOOKUP(B1113,alimentos_master!$A:$O,15,FALSE())/100</f>
        <v>#N/A</v>
      </c>
      <c r="J1113" s="4" t="e">
        <f>E1113*VLOOKUP(B1113,alimentos_master!$A:$R,18,FALSE())/100</f>
        <v>#N/A</v>
      </c>
    </row>
    <row r="1114" spans="1:10" ht="15" customHeight="1" x14ac:dyDescent="0.2">
      <c r="A1114" s="4">
        <v>1113</v>
      </c>
      <c r="B1114" s="4">
        <v>279</v>
      </c>
      <c r="C1114" s="4" t="s">
        <v>387</v>
      </c>
      <c r="D1114" s="4" t="s">
        <v>916</v>
      </c>
      <c r="E1114" s="4">
        <v>75</v>
      </c>
      <c r="F1114" s="4" t="s">
        <v>917</v>
      </c>
      <c r="G1114" s="4" t="e">
        <f>E1114*VLOOKUP(B1114,alimentos_master!$A:$M,13,FALSE())/100</f>
        <v>#N/A</v>
      </c>
      <c r="H1114" s="4" t="e">
        <f>E1114*VLOOKUP(B1114,alimentos_master!$A:$N,14,FALSE())/100</f>
        <v>#N/A</v>
      </c>
      <c r="I1114" s="4" t="e">
        <f>E1114*VLOOKUP(B1114,alimentos_master!$A:$O,15,FALSE())/100</f>
        <v>#N/A</v>
      </c>
      <c r="J1114" s="4" t="e">
        <f>E1114*VLOOKUP(B1114,alimentos_master!$A:$R,18,FALSE())/100</f>
        <v>#N/A</v>
      </c>
    </row>
    <row r="1115" spans="1:10" ht="15" customHeight="1" x14ac:dyDescent="0.2">
      <c r="A1115" s="4">
        <v>1114</v>
      </c>
      <c r="B1115" s="4">
        <v>279</v>
      </c>
      <c r="C1115" s="4" t="s">
        <v>387</v>
      </c>
      <c r="D1115" s="4" t="s">
        <v>918</v>
      </c>
      <c r="E1115" s="4">
        <v>100</v>
      </c>
      <c r="F1115" s="4" t="s">
        <v>917</v>
      </c>
      <c r="G1115" s="4" t="e">
        <f>E1115*VLOOKUP(B1115,alimentos_master!$A:$M,13,FALSE())/100</f>
        <v>#N/A</v>
      </c>
      <c r="H1115" s="4" t="e">
        <f>E1115*VLOOKUP(B1115,alimentos_master!$A:$N,14,FALSE())/100</f>
        <v>#N/A</v>
      </c>
      <c r="I1115" s="4" t="e">
        <f>E1115*VLOOKUP(B1115,alimentos_master!$A:$O,15,FALSE())/100</f>
        <v>#N/A</v>
      </c>
      <c r="J1115" s="4" t="e">
        <f>E1115*VLOOKUP(B1115,alimentos_master!$A:$R,18,FALSE())/100</f>
        <v>#N/A</v>
      </c>
    </row>
    <row r="1116" spans="1:10" ht="15" customHeight="1" x14ac:dyDescent="0.2">
      <c r="A1116" s="4">
        <v>1115</v>
      </c>
      <c r="B1116" s="4">
        <v>279</v>
      </c>
      <c r="C1116" s="4" t="s">
        <v>387</v>
      </c>
      <c r="D1116" s="4" t="s">
        <v>919</v>
      </c>
      <c r="E1116" s="4">
        <v>150</v>
      </c>
      <c r="F1116" s="4" t="s">
        <v>917</v>
      </c>
      <c r="G1116" s="4" t="e">
        <f>E1116*VLOOKUP(B1116,alimentos_master!$A:$M,13,FALSE())/100</f>
        <v>#N/A</v>
      </c>
      <c r="H1116" s="4" t="e">
        <f>E1116*VLOOKUP(B1116,alimentos_master!$A:$N,14,FALSE())/100</f>
        <v>#N/A</v>
      </c>
      <c r="I1116" s="4" t="e">
        <f>E1116*VLOOKUP(B1116,alimentos_master!$A:$O,15,FALSE())/100</f>
        <v>#N/A</v>
      </c>
      <c r="J1116" s="4" t="e">
        <f>E1116*VLOOKUP(B1116,alimentos_master!$A:$R,18,FALSE())/100</f>
        <v>#N/A</v>
      </c>
    </row>
    <row r="1117" spans="1:10" ht="15" customHeight="1" x14ac:dyDescent="0.2">
      <c r="A1117" s="4">
        <v>1116</v>
      </c>
      <c r="B1117" s="4">
        <v>279</v>
      </c>
      <c r="C1117" s="4" t="s">
        <v>387</v>
      </c>
      <c r="D1117" s="4" t="s">
        <v>920</v>
      </c>
      <c r="E1117" s="4">
        <v>200</v>
      </c>
      <c r="F1117" s="4" t="s">
        <v>917</v>
      </c>
      <c r="G1117" s="4" t="e">
        <f>E1117*VLOOKUP(B1117,alimentos_master!$A:$M,13,FALSE())/100</f>
        <v>#N/A</v>
      </c>
      <c r="H1117" s="4" t="e">
        <f>E1117*VLOOKUP(B1117,alimentos_master!$A:$N,14,FALSE())/100</f>
        <v>#N/A</v>
      </c>
      <c r="I1117" s="4" t="e">
        <f>E1117*VLOOKUP(B1117,alimentos_master!$A:$O,15,FALSE())/100</f>
        <v>#N/A</v>
      </c>
      <c r="J1117" s="4" t="e">
        <f>E1117*VLOOKUP(B1117,alimentos_master!$A:$R,18,FALSE())/100</f>
        <v>#N/A</v>
      </c>
    </row>
    <row r="1118" spans="1:10" ht="15" customHeight="1" x14ac:dyDescent="0.2">
      <c r="A1118" s="4">
        <v>1117</v>
      </c>
      <c r="B1118" s="4">
        <v>280</v>
      </c>
      <c r="C1118" s="4" t="s">
        <v>388</v>
      </c>
      <c r="D1118" s="4" t="s">
        <v>916</v>
      </c>
      <c r="E1118" s="4">
        <v>75</v>
      </c>
      <c r="F1118" s="4" t="s">
        <v>917</v>
      </c>
      <c r="G1118" s="4" t="e">
        <f>E1118*VLOOKUP(B1118,alimentos_master!$A:$M,13,FALSE())/100</f>
        <v>#N/A</v>
      </c>
      <c r="H1118" s="4" t="e">
        <f>E1118*VLOOKUP(B1118,alimentos_master!$A:$N,14,FALSE())/100</f>
        <v>#N/A</v>
      </c>
      <c r="I1118" s="4" t="e">
        <f>E1118*VLOOKUP(B1118,alimentos_master!$A:$O,15,FALSE())/100</f>
        <v>#N/A</v>
      </c>
      <c r="J1118" s="4" t="e">
        <f>E1118*VLOOKUP(B1118,alimentos_master!$A:$R,18,FALSE())/100</f>
        <v>#N/A</v>
      </c>
    </row>
    <row r="1119" spans="1:10" ht="15" customHeight="1" x14ac:dyDescent="0.2">
      <c r="A1119" s="4">
        <v>1118</v>
      </c>
      <c r="B1119" s="4">
        <v>280</v>
      </c>
      <c r="C1119" s="4" t="s">
        <v>388</v>
      </c>
      <c r="D1119" s="4" t="s">
        <v>918</v>
      </c>
      <c r="E1119" s="4">
        <v>100</v>
      </c>
      <c r="F1119" s="4" t="s">
        <v>917</v>
      </c>
      <c r="G1119" s="4" t="e">
        <f>E1119*VLOOKUP(B1119,alimentos_master!$A:$M,13,FALSE())/100</f>
        <v>#N/A</v>
      </c>
      <c r="H1119" s="4" t="e">
        <f>E1119*VLOOKUP(B1119,alimentos_master!$A:$N,14,FALSE())/100</f>
        <v>#N/A</v>
      </c>
      <c r="I1119" s="4" t="e">
        <f>E1119*VLOOKUP(B1119,alimentos_master!$A:$O,15,FALSE())/100</f>
        <v>#N/A</v>
      </c>
      <c r="J1119" s="4" t="e">
        <f>E1119*VLOOKUP(B1119,alimentos_master!$A:$R,18,FALSE())/100</f>
        <v>#N/A</v>
      </c>
    </row>
    <row r="1120" spans="1:10" ht="15" customHeight="1" x14ac:dyDescent="0.2">
      <c r="A1120" s="4">
        <v>1119</v>
      </c>
      <c r="B1120" s="4">
        <v>280</v>
      </c>
      <c r="C1120" s="4" t="s">
        <v>388</v>
      </c>
      <c r="D1120" s="4" t="s">
        <v>919</v>
      </c>
      <c r="E1120" s="4">
        <v>150</v>
      </c>
      <c r="F1120" s="4" t="s">
        <v>917</v>
      </c>
      <c r="G1120" s="4" t="e">
        <f>E1120*VLOOKUP(B1120,alimentos_master!$A:$M,13,FALSE())/100</f>
        <v>#N/A</v>
      </c>
      <c r="H1120" s="4" t="e">
        <f>E1120*VLOOKUP(B1120,alimentos_master!$A:$N,14,FALSE())/100</f>
        <v>#N/A</v>
      </c>
      <c r="I1120" s="4" t="e">
        <f>E1120*VLOOKUP(B1120,alimentos_master!$A:$O,15,FALSE())/100</f>
        <v>#N/A</v>
      </c>
      <c r="J1120" s="4" t="e">
        <f>E1120*VLOOKUP(B1120,alimentos_master!$A:$R,18,FALSE())/100</f>
        <v>#N/A</v>
      </c>
    </row>
    <row r="1121" spans="1:10" ht="15" customHeight="1" x14ac:dyDescent="0.2">
      <c r="A1121" s="4">
        <v>1120</v>
      </c>
      <c r="B1121" s="4">
        <v>280</v>
      </c>
      <c r="C1121" s="4" t="s">
        <v>388</v>
      </c>
      <c r="D1121" s="4" t="s">
        <v>920</v>
      </c>
      <c r="E1121" s="4">
        <v>200</v>
      </c>
      <c r="F1121" s="4" t="s">
        <v>917</v>
      </c>
      <c r="G1121" s="4" t="e">
        <f>E1121*VLOOKUP(B1121,alimentos_master!$A:$M,13,FALSE())/100</f>
        <v>#N/A</v>
      </c>
      <c r="H1121" s="4" t="e">
        <f>E1121*VLOOKUP(B1121,alimentos_master!$A:$N,14,FALSE())/100</f>
        <v>#N/A</v>
      </c>
      <c r="I1121" s="4" t="e">
        <f>E1121*VLOOKUP(B1121,alimentos_master!$A:$O,15,FALSE())/100</f>
        <v>#N/A</v>
      </c>
      <c r="J1121" s="4" t="e">
        <f>E1121*VLOOKUP(B1121,alimentos_master!$A:$R,18,FALSE())/100</f>
        <v>#N/A</v>
      </c>
    </row>
    <row r="1122" spans="1:10" ht="15" customHeight="1" x14ac:dyDescent="0.2">
      <c r="A1122" s="4">
        <v>1121</v>
      </c>
      <c r="B1122" s="4">
        <v>281</v>
      </c>
      <c r="C1122" s="4" t="s">
        <v>389</v>
      </c>
      <c r="D1122" s="4" t="s">
        <v>916</v>
      </c>
      <c r="E1122" s="4">
        <v>75</v>
      </c>
      <c r="F1122" s="4" t="s">
        <v>917</v>
      </c>
      <c r="G1122" s="4" t="e">
        <f>E1122*VLOOKUP(B1122,alimentos_master!$A:$M,13,FALSE())/100</f>
        <v>#N/A</v>
      </c>
      <c r="H1122" s="4" t="e">
        <f>E1122*VLOOKUP(B1122,alimentos_master!$A:$N,14,FALSE())/100</f>
        <v>#N/A</v>
      </c>
      <c r="I1122" s="4" t="e">
        <f>E1122*VLOOKUP(B1122,alimentos_master!$A:$O,15,FALSE())/100</f>
        <v>#N/A</v>
      </c>
      <c r="J1122" s="4" t="e">
        <f>E1122*VLOOKUP(B1122,alimentos_master!$A:$R,18,FALSE())/100</f>
        <v>#N/A</v>
      </c>
    </row>
    <row r="1123" spans="1:10" ht="15" customHeight="1" x14ac:dyDescent="0.2">
      <c r="A1123" s="4">
        <v>1122</v>
      </c>
      <c r="B1123" s="4">
        <v>281</v>
      </c>
      <c r="C1123" s="4" t="s">
        <v>389</v>
      </c>
      <c r="D1123" s="4" t="s">
        <v>918</v>
      </c>
      <c r="E1123" s="4">
        <v>100</v>
      </c>
      <c r="F1123" s="4" t="s">
        <v>917</v>
      </c>
      <c r="G1123" s="4" t="e">
        <f>E1123*VLOOKUP(B1123,alimentos_master!$A:$M,13,FALSE())/100</f>
        <v>#N/A</v>
      </c>
      <c r="H1123" s="4" t="e">
        <f>E1123*VLOOKUP(B1123,alimentos_master!$A:$N,14,FALSE())/100</f>
        <v>#N/A</v>
      </c>
      <c r="I1123" s="4" t="e">
        <f>E1123*VLOOKUP(B1123,alimentos_master!$A:$O,15,FALSE())/100</f>
        <v>#N/A</v>
      </c>
      <c r="J1123" s="4" t="e">
        <f>E1123*VLOOKUP(B1123,alimentos_master!$A:$R,18,FALSE())/100</f>
        <v>#N/A</v>
      </c>
    </row>
    <row r="1124" spans="1:10" ht="15" customHeight="1" x14ac:dyDescent="0.2">
      <c r="A1124" s="4">
        <v>1123</v>
      </c>
      <c r="B1124" s="4">
        <v>281</v>
      </c>
      <c r="C1124" s="4" t="s">
        <v>389</v>
      </c>
      <c r="D1124" s="4" t="s">
        <v>919</v>
      </c>
      <c r="E1124" s="4">
        <v>150</v>
      </c>
      <c r="F1124" s="4" t="s">
        <v>917</v>
      </c>
      <c r="G1124" s="4" t="e">
        <f>E1124*VLOOKUP(B1124,alimentos_master!$A:$M,13,FALSE())/100</f>
        <v>#N/A</v>
      </c>
      <c r="H1124" s="4" t="e">
        <f>E1124*VLOOKUP(B1124,alimentos_master!$A:$N,14,FALSE())/100</f>
        <v>#N/A</v>
      </c>
      <c r="I1124" s="4" t="e">
        <f>E1124*VLOOKUP(B1124,alimentos_master!$A:$O,15,FALSE())/100</f>
        <v>#N/A</v>
      </c>
      <c r="J1124" s="4" t="e">
        <f>E1124*VLOOKUP(B1124,alimentos_master!$A:$R,18,FALSE())/100</f>
        <v>#N/A</v>
      </c>
    </row>
    <row r="1125" spans="1:10" ht="15" customHeight="1" x14ac:dyDescent="0.2">
      <c r="A1125" s="4">
        <v>1124</v>
      </c>
      <c r="B1125" s="4">
        <v>281</v>
      </c>
      <c r="C1125" s="4" t="s">
        <v>389</v>
      </c>
      <c r="D1125" s="4" t="s">
        <v>920</v>
      </c>
      <c r="E1125" s="4">
        <v>200</v>
      </c>
      <c r="F1125" s="4" t="s">
        <v>917</v>
      </c>
      <c r="G1125" s="4" t="e">
        <f>E1125*VLOOKUP(B1125,alimentos_master!$A:$M,13,FALSE())/100</f>
        <v>#N/A</v>
      </c>
      <c r="H1125" s="4" t="e">
        <f>E1125*VLOOKUP(B1125,alimentos_master!$A:$N,14,FALSE())/100</f>
        <v>#N/A</v>
      </c>
      <c r="I1125" s="4" t="e">
        <f>E1125*VLOOKUP(B1125,alimentos_master!$A:$O,15,FALSE())/100</f>
        <v>#N/A</v>
      </c>
      <c r="J1125" s="4" t="e">
        <f>E1125*VLOOKUP(B1125,alimentos_master!$A:$R,18,FALSE())/100</f>
        <v>#N/A</v>
      </c>
    </row>
    <row r="1126" spans="1:10" ht="15" customHeight="1" x14ac:dyDescent="0.2">
      <c r="A1126" s="4">
        <v>1125</v>
      </c>
      <c r="B1126" s="4">
        <v>282</v>
      </c>
      <c r="C1126" s="4" t="s">
        <v>390</v>
      </c>
      <c r="D1126" s="4" t="s">
        <v>916</v>
      </c>
      <c r="E1126" s="4">
        <v>75</v>
      </c>
      <c r="F1126" s="4" t="s">
        <v>917</v>
      </c>
      <c r="G1126" s="4" t="e">
        <f>E1126*VLOOKUP(B1126,alimentos_master!$A:$M,13,FALSE())/100</f>
        <v>#N/A</v>
      </c>
      <c r="H1126" s="4" t="e">
        <f>E1126*VLOOKUP(B1126,alimentos_master!$A:$N,14,FALSE())/100</f>
        <v>#N/A</v>
      </c>
      <c r="I1126" s="4" t="e">
        <f>E1126*VLOOKUP(B1126,alimentos_master!$A:$O,15,FALSE())/100</f>
        <v>#N/A</v>
      </c>
      <c r="J1126" s="4" t="e">
        <f>E1126*VLOOKUP(B1126,alimentos_master!$A:$R,18,FALSE())/100</f>
        <v>#N/A</v>
      </c>
    </row>
    <row r="1127" spans="1:10" ht="15" customHeight="1" x14ac:dyDescent="0.2">
      <c r="A1127" s="4">
        <v>1126</v>
      </c>
      <c r="B1127" s="4">
        <v>282</v>
      </c>
      <c r="C1127" s="4" t="s">
        <v>390</v>
      </c>
      <c r="D1127" s="4" t="s">
        <v>918</v>
      </c>
      <c r="E1127" s="4">
        <v>100</v>
      </c>
      <c r="F1127" s="4" t="s">
        <v>917</v>
      </c>
      <c r="G1127" s="4" t="e">
        <f>E1127*VLOOKUP(B1127,alimentos_master!$A:$M,13,FALSE())/100</f>
        <v>#N/A</v>
      </c>
      <c r="H1127" s="4" t="e">
        <f>E1127*VLOOKUP(B1127,alimentos_master!$A:$N,14,FALSE())/100</f>
        <v>#N/A</v>
      </c>
      <c r="I1127" s="4" t="e">
        <f>E1127*VLOOKUP(B1127,alimentos_master!$A:$O,15,FALSE())/100</f>
        <v>#N/A</v>
      </c>
      <c r="J1127" s="4" t="e">
        <f>E1127*VLOOKUP(B1127,alimentos_master!$A:$R,18,FALSE())/100</f>
        <v>#N/A</v>
      </c>
    </row>
    <row r="1128" spans="1:10" ht="15" customHeight="1" x14ac:dyDescent="0.2">
      <c r="A1128" s="4">
        <v>1127</v>
      </c>
      <c r="B1128" s="4">
        <v>282</v>
      </c>
      <c r="C1128" s="4" t="s">
        <v>390</v>
      </c>
      <c r="D1128" s="4" t="s">
        <v>919</v>
      </c>
      <c r="E1128" s="4">
        <v>150</v>
      </c>
      <c r="F1128" s="4" t="s">
        <v>917</v>
      </c>
      <c r="G1128" s="4" t="e">
        <f>E1128*VLOOKUP(B1128,alimentos_master!$A:$M,13,FALSE())/100</f>
        <v>#N/A</v>
      </c>
      <c r="H1128" s="4" t="e">
        <f>E1128*VLOOKUP(B1128,alimentos_master!$A:$N,14,FALSE())/100</f>
        <v>#N/A</v>
      </c>
      <c r="I1128" s="4" t="e">
        <f>E1128*VLOOKUP(B1128,alimentos_master!$A:$O,15,FALSE())/100</f>
        <v>#N/A</v>
      </c>
      <c r="J1128" s="4" t="e">
        <f>E1128*VLOOKUP(B1128,alimentos_master!$A:$R,18,FALSE())/100</f>
        <v>#N/A</v>
      </c>
    </row>
    <row r="1129" spans="1:10" ht="15" customHeight="1" x14ac:dyDescent="0.2">
      <c r="A1129" s="4">
        <v>1128</v>
      </c>
      <c r="B1129" s="4">
        <v>282</v>
      </c>
      <c r="C1129" s="4" t="s">
        <v>390</v>
      </c>
      <c r="D1129" s="4" t="s">
        <v>920</v>
      </c>
      <c r="E1129" s="4">
        <v>200</v>
      </c>
      <c r="F1129" s="4" t="s">
        <v>917</v>
      </c>
      <c r="G1129" s="4" t="e">
        <f>E1129*VLOOKUP(B1129,alimentos_master!$A:$M,13,FALSE())/100</f>
        <v>#N/A</v>
      </c>
      <c r="H1129" s="4" t="e">
        <f>E1129*VLOOKUP(B1129,alimentos_master!$A:$N,14,FALSE())/100</f>
        <v>#N/A</v>
      </c>
      <c r="I1129" s="4" t="e">
        <f>E1129*VLOOKUP(B1129,alimentos_master!$A:$O,15,FALSE())/100</f>
        <v>#N/A</v>
      </c>
      <c r="J1129" s="4" t="e">
        <f>E1129*VLOOKUP(B1129,alimentos_master!$A:$R,18,FALSE())/100</f>
        <v>#N/A</v>
      </c>
    </row>
    <row r="1130" spans="1:10" ht="15" customHeight="1" x14ac:dyDescent="0.2">
      <c r="A1130" s="4">
        <v>1129</v>
      </c>
      <c r="B1130" s="4">
        <v>283</v>
      </c>
      <c r="C1130" s="4" t="s">
        <v>391</v>
      </c>
      <c r="D1130" s="4" t="s">
        <v>916</v>
      </c>
      <c r="E1130" s="4">
        <v>75</v>
      </c>
      <c r="F1130" s="4" t="s">
        <v>917</v>
      </c>
      <c r="G1130" s="4">
        <f>E1130*VLOOKUP(B1130,alimentos_master!$A:$M,13,FALSE())/100</f>
        <v>45.75</v>
      </c>
      <c r="H1130" s="4">
        <f>E1130*VLOOKUP(B1130,alimentos_master!$A:$N,14,FALSE())/100</f>
        <v>0.82499999999999996</v>
      </c>
      <c r="I1130" s="4">
        <f>E1130*VLOOKUP(B1130,alimentos_master!$A:$O,15,FALSE())/100</f>
        <v>11.025</v>
      </c>
      <c r="J1130" s="4">
        <f>E1130*VLOOKUP(B1130,alimentos_master!$A:$R,18,FALSE())/100</f>
        <v>0.375</v>
      </c>
    </row>
    <row r="1131" spans="1:10" ht="15" customHeight="1" x14ac:dyDescent="0.2">
      <c r="A1131" s="4">
        <v>1130</v>
      </c>
      <c r="B1131" s="4">
        <v>283</v>
      </c>
      <c r="C1131" s="4" t="s">
        <v>391</v>
      </c>
      <c r="D1131" s="4" t="s">
        <v>918</v>
      </c>
      <c r="E1131" s="4">
        <v>100</v>
      </c>
      <c r="F1131" s="4" t="s">
        <v>917</v>
      </c>
      <c r="G1131" s="4">
        <f>E1131*VLOOKUP(B1131,alimentos_master!$A:$M,13,FALSE())/100</f>
        <v>61</v>
      </c>
      <c r="H1131" s="4">
        <f>E1131*VLOOKUP(B1131,alimentos_master!$A:$N,14,FALSE())/100</f>
        <v>1.1000000000000001</v>
      </c>
      <c r="I1131" s="4">
        <f>E1131*VLOOKUP(B1131,alimentos_master!$A:$O,15,FALSE())/100</f>
        <v>14.7</v>
      </c>
      <c r="J1131" s="4">
        <f>E1131*VLOOKUP(B1131,alimentos_master!$A:$R,18,FALSE())/100</f>
        <v>0.5</v>
      </c>
    </row>
    <row r="1132" spans="1:10" ht="15" customHeight="1" x14ac:dyDescent="0.2">
      <c r="A1132" s="4">
        <v>1131</v>
      </c>
      <c r="B1132" s="4">
        <v>283</v>
      </c>
      <c r="C1132" s="4" t="s">
        <v>391</v>
      </c>
      <c r="D1132" s="4" t="s">
        <v>919</v>
      </c>
      <c r="E1132" s="4">
        <v>150</v>
      </c>
      <c r="F1132" s="4" t="s">
        <v>917</v>
      </c>
      <c r="G1132" s="4">
        <f>E1132*VLOOKUP(B1132,alimentos_master!$A:$M,13,FALSE())/100</f>
        <v>91.5</v>
      </c>
      <c r="H1132" s="4">
        <f>E1132*VLOOKUP(B1132,alimentos_master!$A:$N,14,FALSE())/100</f>
        <v>1.65</v>
      </c>
      <c r="I1132" s="4">
        <f>E1132*VLOOKUP(B1132,alimentos_master!$A:$O,15,FALSE())/100</f>
        <v>22.05</v>
      </c>
      <c r="J1132" s="4">
        <f>E1132*VLOOKUP(B1132,alimentos_master!$A:$R,18,FALSE())/100</f>
        <v>0.75</v>
      </c>
    </row>
    <row r="1133" spans="1:10" ht="15" customHeight="1" x14ac:dyDescent="0.2">
      <c r="A1133" s="4">
        <v>1132</v>
      </c>
      <c r="B1133" s="4">
        <v>283</v>
      </c>
      <c r="C1133" s="4" t="s">
        <v>391</v>
      </c>
      <c r="D1133" s="4" t="s">
        <v>920</v>
      </c>
      <c r="E1133" s="4">
        <v>200</v>
      </c>
      <c r="F1133" s="4" t="s">
        <v>917</v>
      </c>
      <c r="G1133" s="4">
        <f>E1133*VLOOKUP(B1133,alimentos_master!$A:$M,13,FALSE())/100</f>
        <v>122</v>
      </c>
      <c r="H1133" s="4">
        <f>E1133*VLOOKUP(B1133,alimentos_master!$A:$N,14,FALSE())/100</f>
        <v>2.2000000000000002</v>
      </c>
      <c r="I1133" s="4">
        <f>E1133*VLOOKUP(B1133,alimentos_master!$A:$O,15,FALSE())/100</f>
        <v>29.4</v>
      </c>
      <c r="J1133" s="4">
        <f>E1133*VLOOKUP(B1133,alimentos_master!$A:$R,18,FALSE())/100</f>
        <v>1</v>
      </c>
    </row>
    <row r="1134" spans="1:10" ht="15" customHeight="1" x14ac:dyDescent="0.2">
      <c r="A1134" s="4">
        <v>1133</v>
      </c>
      <c r="B1134" s="4">
        <v>284</v>
      </c>
      <c r="C1134" s="4" t="s">
        <v>392</v>
      </c>
      <c r="D1134" s="4" t="s">
        <v>916</v>
      </c>
      <c r="E1134" s="4">
        <v>75</v>
      </c>
      <c r="F1134" s="4" t="s">
        <v>917</v>
      </c>
      <c r="G1134" s="4" t="e">
        <f>E1134*VLOOKUP(B1134,alimentos_master!$A:$M,13,FALSE())/100</f>
        <v>#N/A</v>
      </c>
      <c r="H1134" s="4" t="e">
        <f>E1134*VLOOKUP(B1134,alimentos_master!$A:$N,14,FALSE())/100</f>
        <v>#N/A</v>
      </c>
      <c r="I1134" s="4" t="e">
        <f>E1134*VLOOKUP(B1134,alimentos_master!$A:$O,15,FALSE())/100</f>
        <v>#N/A</v>
      </c>
      <c r="J1134" s="4" t="e">
        <f>E1134*VLOOKUP(B1134,alimentos_master!$A:$R,18,FALSE())/100</f>
        <v>#N/A</v>
      </c>
    </row>
    <row r="1135" spans="1:10" ht="15" customHeight="1" x14ac:dyDescent="0.2">
      <c r="A1135" s="4">
        <v>1134</v>
      </c>
      <c r="B1135" s="4">
        <v>284</v>
      </c>
      <c r="C1135" s="4" t="s">
        <v>392</v>
      </c>
      <c r="D1135" s="4" t="s">
        <v>918</v>
      </c>
      <c r="E1135" s="4">
        <v>100</v>
      </c>
      <c r="F1135" s="4" t="s">
        <v>917</v>
      </c>
      <c r="G1135" s="4" t="e">
        <f>E1135*VLOOKUP(B1135,alimentos_master!$A:$M,13,FALSE())/100</f>
        <v>#N/A</v>
      </c>
      <c r="H1135" s="4" t="e">
        <f>E1135*VLOOKUP(B1135,alimentos_master!$A:$N,14,FALSE())/100</f>
        <v>#N/A</v>
      </c>
      <c r="I1135" s="4" t="e">
        <f>E1135*VLOOKUP(B1135,alimentos_master!$A:$O,15,FALSE())/100</f>
        <v>#N/A</v>
      </c>
      <c r="J1135" s="4" t="e">
        <f>E1135*VLOOKUP(B1135,alimentos_master!$A:$R,18,FALSE())/100</f>
        <v>#N/A</v>
      </c>
    </row>
    <row r="1136" spans="1:10" ht="15" customHeight="1" x14ac:dyDescent="0.2">
      <c r="A1136" s="4">
        <v>1135</v>
      </c>
      <c r="B1136" s="4">
        <v>284</v>
      </c>
      <c r="C1136" s="4" t="s">
        <v>392</v>
      </c>
      <c r="D1136" s="4" t="s">
        <v>919</v>
      </c>
      <c r="E1136" s="4">
        <v>150</v>
      </c>
      <c r="F1136" s="4" t="s">
        <v>917</v>
      </c>
      <c r="G1136" s="4" t="e">
        <f>E1136*VLOOKUP(B1136,alimentos_master!$A:$M,13,FALSE())/100</f>
        <v>#N/A</v>
      </c>
      <c r="H1136" s="4" t="e">
        <f>E1136*VLOOKUP(B1136,alimentos_master!$A:$N,14,FALSE())/100</f>
        <v>#N/A</v>
      </c>
      <c r="I1136" s="4" t="e">
        <f>E1136*VLOOKUP(B1136,alimentos_master!$A:$O,15,FALSE())/100</f>
        <v>#N/A</v>
      </c>
      <c r="J1136" s="4" t="e">
        <f>E1136*VLOOKUP(B1136,alimentos_master!$A:$R,18,FALSE())/100</f>
        <v>#N/A</v>
      </c>
    </row>
    <row r="1137" spans="1:10" ht="15" customHeight="1" x14ac:dyDescent="0.2">
      <c r="A1137" s="4">
        <v>1136</v>
      </c>
      <c r="B1137" s="4">
        <v>284</v>
      </c>
      <c r="C1137" s="4" t="s">
        <v>392</v>
      </c>
      <c r="D1137" s="4" t="s">
        <v>920</v>
      </c>
      <c r="E1137" s="4">
        <v>200</v>
      </c>
      <c r="F1137" s="4" t="s">
        <v>917</v>
      </c>
      <c r="G1137" s="4" t="e">
        <f>E1137*VLOOKUP(B1137,alimentos_master!$A:$M,13,FALSE())/100</f>
        <v>#N/A</v>
      </c>
      <c r="H1137" s="4" t="e">
        <f>E1137*VLOOKUP(B1137,alimentos_master!$A:$N,14,FALSE())/100</f>
        <v>#N/A</v>
      </c>
      <c r="I1137" s="4" t="e">
        <f>E1137*VLOOKUP(B1137,alimentos_master!$A:$O,15,FALSE())/100</f>
        <v>#N/A</v>
      </c>
      <c r="J1137" s="4" t="e">
        <f>E1137*VLOOKUP(B1137,alimentos_master!$A:$R,18,FALSE())/100</f>
        <v>#N/A</v>
      </c>
    </row>
    <row r="1138" spans="1:10" ht="15" customHeight="1" x14ac:dyDescent="0.2">
      <c r="A1138" s="4">
        <v>1137</v>
      </c>
      <c r="B1138" s="4">
        <v>285</v>
      </c>
      <c r="C1138" s="4" t="s">
        <v>393</v>
      </c>
      <c r="D1138" s="4" t="s">
        <v>916</v>
      </c>
      <c r="E1138" s="4">
        <v>75</v>
      </c>
      <c r="F1138" s="4" t="s">
        <v>917</v>
      </c>
      <c r="G1138" s="4" t="e">
        <f>E1138*VLOOKUP(B1138,alimentos_master!$A:$M,13,FALSE())/100</f>
        <v>#N/A</v>
      </c>
      <c r="H1138" s="4" t="e">
        <f>E1138*VLOOKUP(B1138,alimentos_master!$A:$N,14,FALSE())/100</f>
        <v>#N/A</v>
      </c>
      <c r="I1138" s="4" t="e">
        <f>E1138*VLOOKUP(B1138,alimentos_master!$A:$O,15,FALSE())/100</f>
        <v>#N/A</v>
      </c>
      <c r="J1138" s="4" t="e">
        <f>E1138*VLOOKUP(B1138,alimentos_master!$A:$R,18,FALSE())/100</f>
        <v>#N/A</v>
      </c>
    </row>
    <row r="1139" spans="1:10" ht="15" customHeight="1" x14ac:dyDescent="0.2">
      <c r="A1139" s="4">
        <v>1138</v>
      </c>
      <c r="B1139" s="4">
        <v>285</v>
      </c>
      <c r="C1139" s="4" t="s">
        <v>393</v>
      </c>
      <c r="D1139" s="4" t="s">
        <v>918</v>
      </c>
      <c r="E1139" s="4">
        <v>100</v>
      </c>
      <c r="F1139" s="4" t="s">
        <v>917</v>
      </c>
      <c r="G1139" s="4" t="e">
        <f>E1139*VLOOKUP(B1139,alimentos_master!$A:$M,13,FALSE())/100</f>
        <v>#N/A</v>
      </c>
      <c r="H1139" s="4" t="e">
        <f>E1139*VLOOKUP(B1139,alimentos_master!$A:$N,14,FALSE())/100</f>
        <v>#N/A</v>
      </c>
      <c r="I1139" s="4" t="e">
        <f>E1139*VLOOKUP(B1139,alimentos_master!$A:$O,15,FALSE())/100</f>
        <v>#N/A</v>
      </c>
      <c r="J1139" s="4" t="e">
        <f>E1139*VLOOKUP(B1139,alimentos_master!$A:$R,18,FALSE())/100</f>
        <v>#N/A</v>
      </c>
    </row>
    <row r="1140" spans="1:10" ht="15" customHeight="1" x14ac:dyDescent="0.2">
      <c r="A1140" s="4">
        <v>1139</v>
      </c>
      <c r="B1140" s="4">
        <v>285</v>
      </c>
      <c r="C1140" s="4" t="s">
        <v>393</v>
      </c>
      <c r="D1140" s="4" t="s">
        <v>919</v>
      </c>
      <c r="E1140" s="4">
        <v>150</v>
      </c>
      <c r="F1140" s="4" t="s">
        <v>917</v>
      </c>
      <c r="G1140" s="4" t="e">
        <f>E1140*VLOOKUP(B1140,alimentos_master!$A:$M,13,FALSE())/100</f>
        <v>#N/A</v>
      </c>
      <c r="H1140" s="4" t="e">
        <f>E1140*VLOOKUP(B1140,alimentos_master!$A:$N,14,FALSE())/100</f>
        <v>#N/A</v>
      </c>
      <c r="I1140" s="4" t="e">
        <f>E1140*VLOOKUP(B1140,alimentos_master!$A:$O,15,FALSE())/100</f>
        <v>#N/A</v>
      </c>
      <c r="J1140" s="4" t="e">
        <f>E1140*VLOOKUP(B1140,alimentos_master!$A:$R,18,FALSE())/100</f>
        <v>#N/A</v>
      </c>
    </row>
    <row r="1141" spans="1:10" ht="15" customHeight="1" x14ac:dyDescent="0.2">
      <c r="A1141" s="4">
        <v>1140</v>
      </c>
      <c r="B1141" s="4">
        <v>285</v>
      </c>
      <c r="C1141" s="4" t="s">
        <v>393</v>
      </c>
      <c r="D1141" s="4" t="s">
        <v>920</v>
      </c>
      <c r="E1141" s="4">
        <v>200</v>
      </c>
      <c r="F1141" s="4" t="s">
        <v>917</v>
      </c>
      <c r="G1141" s="4" t="e">
        <f>E1141*VLOOKUP(B1141,alimentos_master!$A:$M,13,FALSE())/100</f>
        <v>#N/A</v>
      </c>
      <c r="H1141" s="4" t="e">
        <f>E1141*VLOOKUP(B1141,alimentos_master!$A:$N,14,FALSE())/100</f>
        <v>#N/A</v>
      </c>
      <c r="I1141" s="4" t="e">
        <f>E1141*VLOOKUP(B1141,alimentos_master!$A:$O,15,FALSE())/100</f>
        <v>#N/A</v>
      </c>
      <c r="J1141" s="4" t="e">
        <f>E1141*VLOOKUP(B1141,alimentos_master!$A:$R,18,FALSE())/100</f>
        <v>#N/A</v>
      </c>
    </row>
    <row r="1142" spans="1:10" ht="15" customHeight="1" x14ac:dyDescent="0.2">
      <c r="A1142" s="4">
        <v>1141</v>
      </c>
      <c r="B1142" s="4">
        <v>286</v>
      </c>
      <c r="C1142" s="4" t="s">
        <v>394</v>
      </c>
      <c r="D1142" s="4" t="s">
        <v>916</v>
      </c>
      <c r="E1142" s="4">
        <v>75</v>
      </c>
      <c r="F1142" s="4" t="s">
        <v>917</v>
      </c>
      <c r="G1142" s="4" t="e">
        <f>E1142*VLOOKUP(B1142,alimentos_master!$A:$M,13,FALSE())/100</f>
        <v>#N/A</v>
      </c>
      <c r="H1142" s="4" t="e">
        <f>E1142*VLOOKUP(B1142,alimentos_master!$A:$N,14,FALSE())/100</f>
        <v>#N/A</v>
      </c>
      <c r="I1142" s="4" t="e">
        <f>E1142*VLOOKUP(B1142,alimentos_master!$A:$O,15,FALSE())/100</f>
        <v>#N/A</v>
      </c>
      <c r="J1142" s="4" t="e">
        <f>E1142*VLOOKUP(B1142,alimentos_master!$A:$R,18,FALSE())/100</f>
        <v>#N/A</v>
      </c>
    </row>
    <row r="1143" spans="1:10" ht="15" customHeight="1" x14ac:dyDescent="0.2">
      <c r="A1143" s="4">
        <v>1142</v>
      </c>
      <c r="B1143" s="4">
        <v>286</v>
      </c>
      <c r="C1143" s="4" t="s">
        <v>394</v>
      </c>
      <c r="D1143" s="4" t="s">
        <v>918</v>
      </c>
      <c r="E1143" s="4">
        <v>100</v>
      </c>
      <c r="F1143" s="4" t="s">
        <v>917</v>
      </c>
      <c r="G1143" s="4" t="e">
        <f>E1143*VLOOKUP(B1143,alimentos_master!$A:$M,13,FALSE())/100</f>
        <v>#N/A</v>
      </c>
      <c r="H1143" s="4" t="e">
        <f>E1143*VLOOKUP(B1143,alimentos_master!$A:$N,14,FALSE())/100</f>
        <v>#N/A</v>
      </c>
      <c r="I1143" s="4" t="e">
        <f>E1143*VLOOKUP(B1143,alimentos_master!$A:$O,15,FALSE())/100</f>
        <v>#N/A</v>
      </c>
      <c r="J1143" s="4" t="e">
        <f>E1143*VLOOKUP(B1143,alimentos_master!$A:$R,18,FALSE())/100</f>
        <v>#N/A</v>
      </c>
    </row>
    <row r="1144" spans="1:10" ht="15" customHeight="1" x14ac:dyDescent="0.2">
      <c r="A1144" s="4">
        <v>1143</v>
      </c>
      <c r="B1144" s="4">
        <v>286</v>
      </c>
      <c r="C1144" s="4" t="s">
        <v>394</v>
      </c>
      <c r="D1144" s="4" t="s">
        <v>919</v>
      </c>
      <c r="E1144" s="4">
        <v>150</v>
      </c>
      <c r="F1144" s="4" t="s">
        <v>917</v>
      </c>
      <c r="G1144" s="4" t="e">
        <f>E1144*VLOOKUP(B1144,alimentos_master!$A:$M,13,FALSE())/100</f>
        <v>#N/A</v>
      </c>
      <c r="H1144" s="4" t="e">
        <f>E1144*VLOOKUP(B1144,alimentos_master!$A:$N,14,FALSE())/100</f>
        <v>#N/A</v>
      </c>
      <c r="I1144" s="4" t="e">
        <f>E1144*VLOOKUP(B1144,alimentos_master!$A:$O,15,FALSE())/100</f>
        <v>#N/A</v>
      </c>
      <c r="J1144" s="4" t="e">
        <f>E1144*VLOOKUP(B1144,alimentos_master!$A:$R,18,FALSE())/100</f>
        <v>#N/A</v>
      </c>
    </row>
    <row r="1145" spans="1:10" ht="15" customHeight="1" x14ac:dyDescent="0.2">
      <c r="A1145" s="4">
        <v>1144</v>
      </c>
      <c r="B1145" s="4">
        <v>286</v>
      </c>
      <c r="C1145" s="4" t="s">
        <v>394</v>
      </c>
      <c r="D1145" s="4" t="s">
        <v>920</v>
      </c>
      <c r="E1145" s="4">
        <v>200</v>
      </c>
      <c r="F1145" s="4" t="s">
        <v>917</v>
      </c>
      <c r="G1145" s="4" t="e">
        <f>E1145*VLOOKUP(B1145,alimentos_master!$A:$M,13,FALSE())/100</f>
        <v>#N/A</v>
      </c>
      <c r="H1145" s="4" t="e">
        <f>E1145*VLOOKUP(B1145,alimentos_master!$A:$N,14,FALSE())/100</f>
        <v>#N/A</v>
      </c>
      <c r="I1145" s="4" t="e">
        <f>E1145*VLOOKUP(B1145,alimentos_master!$A:$O,15,FALSE())/100</f>
        <v>#N/A</v>
      </c>
      <c r="J1145" s="4" t="e">
        <f>E1145*VLOOKUP(B1145,alimentos_master!$A:$R,18,FALSE())/100</f>
        <v>#N/A</v>
      </c>
    </row>
    <row r="1146" spans="1:10" ht="15" customHeight="1" x14ac:dyDescent="0.2">
      <c r="A1146" s="4">
        <v>1145</v>
      </c>
      <c r="B1146" s="4">
        <v>287</v>
      </c>
      <c r="C1146" s="4" t="s">
        <v>395</v>
      </c>
      <c r="D1146" s="4" t="s">
        <v>916</v>
      </c>
      <c r="E1146" s="4">
        <v>75</v>
      </c>
      <c r="F1146" s="4" t="s">
        <v>917</v>
      </c>
      <c r="G1146" s="4" t="e">
        <f>E1146*VLOOKUP(B1146,alimentos_master!$A:$M,13,FALSE())/100</f>
        <v>#N/A</v>
      </c>
      <c r="H1146" s="4" t="e">
        <f>E1146*VLOOKUP(B1146,alimentos_master!$A:$N,14,FALSE())/100</f>
        <v>#N/A</v>
      </c>
      <c r="I1146" s="4" t="e">
        <f>E1146*VLOOKUP(B1146,alimentos_master!$A:$O,15,FALSE())/100</f>
        <v>#N/A</v>
      </c>
      <c r="J1146" s="4" t="e">
        <f>E1146*VLOOKUP(B1146,alimentos_master!$A:$R,18,FALSE())/100</f>
        <v>#N/A</v>
      </c>
    </row>
    <row r="1147" spans="1:10" ht="15" customHeight="1" x14ac:dyDescent="0.2">
      <c r="A1147" s="4">
        <v>1146</v>
      </c>
      <c r="B1147" s="4">
        <v>287</v>
      </c>
      <c r="C1147" s="4" t="s">
        <v>395</v>
      </c>
      <c r="D1147" s="4" t="s">
        <v>918</v>
      </c>
      <c r="E1147" s="4">
        <v>100</v>
      </c>
      <c r="F1147" s="4" t="s">
        <v>917</v>
      </c>
      <c r="G1147" s="4" t="e">
        <f>E1147*VLOOKUP(B1147,alimentos_master!$A:$M,13,FALSE())/100</f>
        <v>#N/A</v>
      </c>
      <c r="H1147" s="4" t="e">
        <f>E1147*VLOOKUP(B1147,alimentos_master!$A:$N,14,FALSE())/100</f>
        <v>#N/A</v>
      </c>
      <c r="I1147" s="4" t="e">
        <f>E1147*VLOOKUP(B1147,alimentos_master!$A:$O,15,FALSE())/100</f>
        <v>#N/A</v>
      </c>
      <c r="J1147" s="4" t="e">
        <f>E1147*VLOOKUP(B1147,alimentos_master!$A:$R,18,FALSE())/100</f>
        <v>#N/A</v>
      </c>
    </row>
    <row r="1148" spans="1:10" ht="15" customHeight="1" x14ac:dyDescent="0.2">
      <c r="A1148" s="4">
        <v>1147</v>
      </c>
      <c r="B1148" s="4">
        <v>287</v>
      </c>
      <c r="C1148" s="4" t="s">
        <v>395</v>
      </c>
      <c r="D1148" s="4" t="s">
        <v>919</v>
      </c>
      <c r="E1148" s="4">
        <v>150</v>
      </c>
      <c r="F1148" s="4" t="s">
        <v>917</v>
      </c>
      <c r="G1148" s="4" t="e">
        <f>E1148*VLOOKUP(B1148,alimentos_master!$A:$M,13,FALSE())/100</f>
        <v>#N/A</v>
      </c>
      <c r="H1148" s="4" t="e">
        <f>E1148*VLOOKUP(B1148,alimentos_master!$A:$N,14,FALSE())/100</f>
        <v>#N/A</v>
      </c>
      <c r="I1148" s="4" t="e">
        <f>E1148*VLOOKUP(B1148,alimentos_master!$A:$O,15,FALSE())/100</f>
        <v>#N/A</v>
      </c>
      <c r="J1148" s="4" t="e">
        <f>E1148*VLOOKUP(B1148,alimentos_master!$A:$R,18,FALSE())/100</f>
        <v>#N/A</v>
      </c>
    </row>
    <row r="1149" spans="1:10" ht="15" customHeight="1" x14ac:dyDescent="0.2">
      <c r="A1149" s="4">
        <v>1148</v>
      </c>
      <c r="B1149" s="4">
        <v>287</v>
      </c>
      <c r="C1149" s="4" t="s">
        <v>395</v>
      </c>
      <c r="D1149" s="4" t="s">
        <v>920</v>
      </c>
      <c r="E1149" s="4">
        <v>200</v>
      </c>
      <c r="F1149" s="4" t="s">
        <v>917</v>
      </c>
      <c r="G1149" s="4" t="e">
        <f>E1149*VLOOKUP(B1149,alimentos_master!$A:$M,13,FALSE())/100</f>
        <v>#N/A</v>
      </c>
      <c r="H1149" s="4" t="e">
        <f>E1149*VLOOKUP(B1149,alimentos_master!$A:$N,14,FALSE())/100</f>
        <v>#N/A</v>
      </c>
      <c r="I1149" s="4" t="e">
        <f>E1149*VLOOKUP(B1149,alimentos_master!$A:$O,15,FALSE())/100</f>
        <v>#N/A</v>
      </c>
      <c r="J1149" s="4" t="e">
        <f>E1149*VLOOKUP(B1149,alimentos_master!$A:$R,18,FALSE())/100</f>
        <v>#N/A</v>
      </c>
    </row>
    <row r="1150" spans="1:10" ht="15" customHeight="1" x14ac:dyDescent="0.2">
      <c r="A1150" s="4">
        <v>1149</v>
      </c>
      <c r="B1150" s="4">
        <v>288</v>
      </c>
      <c r="C1150" s="4" t="s">
        <v>396</v>
      </c>
      <c r="D1150" s="4" t="s">
        <v>916</v>
      </c>
      <c r="E1150" s="4">
        <v>75</v>
      </c>
      <c r="F1150" s="4" t="s">
        <v>917</v>
      </c>
      <c r="G1150" s="4" t="e">
        <f>E1150*VLOOKUP(B1150,alimentos_master!$A:$M,13,FALSE())/100</f>
        <v>#N/A</v>
      </c>
      <c r="H1150" s="4" t="e">
        <f>E1150*VLOOKUP(B1150,alimentos_master!$A:$N,14,FALSE())/100</f>
        <v>#N/A</v>
      </c>
      <c r="I1150" s="4" t="e">
        <f>E1150*VLOOKUP(B1150,alimentos_master!$A:$O,15,FALSE())/100</f>
        <v>#N/A</v>
      </c>
      <c r="J1150" s="4" t="e">
        <f>E1150*VLOOKUP(B1150,alimentos_master!$A:$R,18,FALSE())/100</f>
        <v>#N/A</v>
      </c>
    </row>
    <row r="1151" spans="1:10" ht="15" customHeight="1" x14ac:dyDescent="0.2">
      <c r="A1151" s="4">
        <v>1150</v>
      </c>
      <c r="B1151" s="4">
        <v>288</v>
      </c>
      <c r="C1151" s="4" t="s">
        <v>396</v>
      </c>
      <c r="D1151" s="4" t="s">
        <v>918</v>
      </c>
      <c r="E1151" s="4">
        <v>100</v>
      </c>
      <c r="F1151" s="4" t="s">
        <v>917</v>
      </c>
      <c r="G1151" s="4" t="e">
        <f>E1151*VLOOKUP(B1151,alimentos_master!$A:$M,13,FALSE())/100</f>
        <v>#N/A</v>
      </c>
      <c r="H1151" s="4" t="e">
        <f>E1151*VLOOKUP(B1151,alimentos_master!$A:$N,14,FALSE())/100</f>
        <v>#N/A</v>
      </c>
      <c r="I1151" s="4" t="e">
        <f>E1151*VLOOKUP(B1151,alimentos_master!$A:$O,15,FALSE())/100</f>
        <v>#N/A</v>
      </c>
      <c r="J1151" s="4" t="e">
        <f>E1151*VLOOKUP(B1151,alimentos_master!$A:$R,18,FALSE())/100</f>
        <v>#N/A</v>
      </c>
    </row>
    <row r="1152" spans="1:10" ht="15" customHeight="1" x14ac:dyDescent="0.2">
      <c r="A1152" s="4">
        <v>1151</v>
      </c>
      <c r="B1152" s="4">
        <v>288</v>
      </c>
      <c r="C1152" s="4" t="s">
        <v>396</v>
      </c>
      <c r="D1152" s="4" t="s">
        <v>919</v>
      </c>
      <c r="E1152" s="4">
        <v>150</v>
      </c>
      <c r="F1152" s="4" t="s">
        <v>917</v>
      </c>
      <c r="G1152" s="4" t="e">
        <f>E1152*VLOOKUP(B1152,alimentos_master!$A:$M,13,FALSE())/100</f>
        <v>#N/A</v>
      </c>
      <c r="H1152" s="4" t="e">
        <f>E1152*VLOOKUP(B1152,alimentos_master!$A:$N,14,FALSE())/100</f>
        <v>#N/A</v>
      </c>
      <c r="I1152" s="4" t="e">
        <f>E1152*VLOOKUP(B1152,alimentos_master!$A:$O,15,FALSE())/100</f>
        <v>#N/A</v>
      </c>
      <c r="J1152" s="4" t="e">
        <f>E1152*VLOOKUP(B1152,alimentos_master!$A:$R,18,FALSE())/100</f>
        <v>#N/A</v>
      </c>
    </row>
    <row r="1153" spans="1:10" ht="15" customHeight="1" x14ac:dyDescent="0.2">
      <c r="A1153" s="4">
        <v>1152</v>
      </c>
      <c r="B1153" s="4">
        <v>288</v>
      </c>
      <c r="C1153" s="4" t="s">
        <v>396</v>
      </c>
      <c r="D1153" s="4" t="s">
        <v>920</v>
      </c>
      <c r="E1153" s="4">
        <v>200</v>
      </c>
      <c r="F1153" s="4" t="s">
        <v>917</v>
      </c>
      <c r="G1153" s="4" t="e">
        <f>E1153*VLOOKUP(B1153,alimentos_master!$A:$M,13,FALSE())/100</f>
        <v>#N/A</v>
      </c>
      <c r="H1153" s="4" t="e">
        <f>E1153*VLOOKUP(B1153,alimentos_master!$A:$N,14,FALSE())/100</f>
        <v>#N/A</v>
      </c>
      <c r="I1153" s="4" t="e">
        <f>E1153*VLOOKUP(B1153,alimentos_master!$A:$O,15,FALSE())/100</f>
        <v>#N/A</v>
      </c>
      <c r="J1153" s="4" t="e">
        <f>E1153*VLOOKUP(B1153,alimentos_master!$A:$R,18,FALSE())/100</f>
        <v>#N/A</v>
      </c>
    </row>
    <row r="1154" spans="1:10" ht="15" customHeight="1" x14ac:dyDescent="0.2">
      <c r="A1154" s="4">
        <v>1153</v>
      </c>
      <c r="B1154" s="4">
        <v>289</v>
      </c>
      <c r="C1154" s="4" t="s">
        <v>397</v>
      </c>
      <c r="D1154" s="4" t="s">
        <v>916</v>
      </c>
      <c r="E1154" s="4">
        <v>75</v>
      </c>
      <c r="F1154" s="4" t="s">
        <v>917</v>
      </c>
      <c r="G1154" s="4" t="e">
        <f>E1154*VLOOKUP(B1154,alimentos_master!$A:$M,13,FALSE())/100</f>
        <v>#N/A</v>
      </c>
      <c r="H1154" s="4" t="e">
        <f>E1154*VLOOKUP(B1154,alimentos_master!$A:$N,14,FALSE())/100</f>
        <v>#N/A</v>
      </c>
      <c r="I1154" s="4" t="e">
        <f>E1154*VLOOKUP(B1154,alimentos_master!$A:$O,15,FALSE())/100</f>
        <v>#N/A</v>
      </c>
      <c r="J1154" s="4" t="e">
        <f>E1154*VLOOKUP(B1154,alimentos_master!$A:$R,18,FALSE())/100</f>
        <v>#N/A</v>
      </c>
    </row>
    <row r="1155" spans="1:10" ht="15" customHeight="1" x14ac:dyDescent="0.2">
      <c r="A1155" s="4">
        <v>1154</v>
      </c>
      <c r="B1155" s="4">
        <v>289</v>
      </c>
      <c r="C1155" s="4" t="s">
        <v>397</v>
      </c>
      <c r="D1155" s="4" t="s">
        <v>918</v>
      </c>
      <c r="E1155" s="4">
        <v>100</v>
      </c>
      <c r="F1155" s="4" t="s">
        <v>917</v>
      </c>
      <c r="G1155" s="4" t="e">
        <f>E1155*VLOOKUP(B1155,alimentos_master!$A:$M,13,FALSE())/100</f>
        <v>#N/A</v>
      </c>
      <c r="H1155" s="4" t="e">
        <f>E1155*VLOOKUP(B1155,alimentos_master!$A:$N,14,FALSE())/100</f>
        <v>#N/A</v>
      </c>
      <c r="I1155" s="4" t="e">
        <f>E1155*VLOOKUP(B1155,alimentos_master!$A:$O,15,FALSE())/100</f>
        <v>#N/A</v>
      </c>
      <c r="J1155" s="4" t="e">
        <f>E1155*VLOOKUP(B1155,alimentos_master!$A:$R,18,FALSE())/100</f>
        <v>#N/A</v>
      </c>
    </row>
    <row r="1156" spans="1:10" ht="15" customHeight="1" x14ac:dyDescent="0.2">
      <c r="A1156" s="4">
        <v>1155</v>
      </c>
      <c r="B1156" s="4">
        <v>289</v>
      </c>
      <c r="C1156" s="4" t="s">
        <v>397</v>
      </c>
      <c r="D1156" s="4" t="s">
        <v>919</v>
      </c>
      <c r="E1156" s="4">
        <v>150</v>
      </c>
      <c r="F1156" s="4" t="s">
        <v>917</v>
      </c>
      <c r="G1156" s="4" t="e">
        <f>E1156*VLOOKUP(B1156,alimentos_master!$A:$M,13,FALSE())/100</f>
        <v>#N/A</v>
      </c>
      <c r="H1156" s="4" t="e">
        <f>E1156*VLOOKUP(B1156,alimentos_master!$A:$N,14,FALSE())/100</f>
        <v>#N/A</v>
      </c>
      <c r="I1156" s="4" t="e">
        <f>E1156*VLOOKUP(B1156,alimentos_master!$A:$O,15,FALSE())/100</f>
        <v>#N/A</v>
      </c>
      <c r="J1156" s="4" t="e">
        <f>E1156*VLOOKUP(B1156,alimentos_master!$A:$R,18,FALSE())/100</f>
        <v>#N/A</v>
      </c>
    </row>
    <row r="1157" spans="1:10" ht="15" customHeight="1" x14ac:dyDescent="0.2">
      <c r="A1157" s="4">
        <v>1156</v>
      </c>
      <c r="B1157" s="4">
        <v>289</v>
      </c>
      <c r="C1157" s="4" t="s">
        <v>397</v>
      </c>
      <c r="D1157" s="4" t="s">
        <v>920</v>
      </c>
      <c r="E1157" s="4">
        <v>200</v>
      </c>
      <c r="F1157" s="4" t="s">
        <v>917</v>
      </c>
      <c r="G1157" s="4" t="e">
        <f>E1157*VLOOKUP(B1157,alimentos_master!$A:$M,13,FALSE())/100</f>
        <v>#N/A</v>
      </c>
      <c r="H1157" s="4" t="e">
        <f>E1157*VLOOKUP(B1157,alimentos_master!$A:$N,14,FALSE())/100</f>
        <v>#N/A</v>
      </c>
      <c r="I1157" s="4" t="e">
        <f>E1157*VLOOKUP(B1157,alimentos_master!$A:$O,15,FALSE())/100</f>
        <v>#N/A</v>
      </c>
      <c r="J1157" s="4" t="e">
        <f>E1157*VLOOKUP(B1157,alimentos_master!$A:$R,18,FALSE())/100</f>
        <v>#N/A</v>
      </c>
    </row>
    <row r="1158" spans="1:10" ht="15" customHeight="1" x14ac:dyDescent="0.2">
      <c r="A1158" s="4">
        <v>1157</v>
      </c>
      <c r="B1158" s="4">
        <v>290</v>
      </c>
      <c r="C1158" s="4" t="s">
        <v>398</v>
      </c>
      <c r="D1158" s="4" t="s">
        <v>916</v>
      </c>
      <c r="E1158" s="4">
        <v>75</v>
      </c>
      <c r="F1158" s="4" t="s">
        <v>917</v>
      </c>
      <c r="G1158" s="4" t="e">
        <f>E1158*VLOOKUP(B1158,alimentos_master!$A:$M,13,FALSE())/100</f>
        <v>#N/A</v>
      </c>
      <c r="H1158" s="4" t="e">
        <f>E1158*VLOOKUP(B1158,alimentos_master!$A:$N,14,FALSE())/100</f>
        <v>#N/A</v>
      </c>
      <c r="I1158" s="4" t="e">
        <f>E1158*VLOOKUP(B1158,alimentos_master!$A:$O,15,FALSE())/100</f>
        <v>#N/A</v>
      </c>
      <c r="J1158" s="4" t="e">
        <f>E1158*VLOOKUP(B1158,alimentos_master!$A:$R,18,FALSE())/100</f>
        <v>#N/A</v>
      </c>
    </row>
    <row r="1159" spans="1:10" ht="15" customHeight="1" x14ac:dyDescent="0.2">
      <c r="A1159" s="4">
        <v>1158</v>
      </c>
      <c r="B1159" s="4">
        <v>290</v>
      </c>
      <c r="C1159" s="4" t="s">
        <v>398</v>
      </c>
      <c r="D1159" s="4" t="s">
        <v>918</v>
      </c>
      <c r="E1159" s="4">
        <v>100</v>
      </c>
      <c r="F1159" s="4" t="s">
        <v>917</v>
      </c>
      <c r="G1159" s="4" t="e">
        <f>E1159*VLOOKUP(B1159,alimentos_master!$A:$M,13,FALSE())/100</f>
        <v>#N/A</v>
      </c>
      <c r="H1159" s="4" t="e">
        <f>E1159*VLOOKUP(B1159,alimentos_master!$A:$N,14,FALSE())/100</f>
        <v>#N/A</v>
      </c>
      <c r="I1159" s="4" t="e">
        <f>E1159*VLOOKUP(B1159,alimentos_master!$A:$O,15,FALSE())/100</f>
        <v>#N/A</v>
      </c>
      <c r="J1159" s="4" t="e">
        <f>E1159*VLOOKUP(B1159,alimentos_master!$A:$R,18,FALSE())/100</f>
        <v>#N/A</v>
      </c>
    </row>
    <row r="1160" spans="1:10" ht="15" customHeight="1" x14ac:dyDescent="0.2">
      <c r="A1160" s="4">
        <v>1159</v>
      </c>
      <c r="B1160" s="4">
        <v>290</v>
      </c>
      <c r="C1160" s="4" t="s">
        <v>398</v>
      </c>
      <c r="D1160" s="4" t="s">
        <v>919</v>
      </c>
      <c r="E1160" s="4">
        <v>150</v>
      </c>
      <c r="F1160" s="4" t="s">
        <v>917</v>
      </c>
      <c r="G1160" s="4" t="e">
        <f>E1160*VLOOKUP(B1160,alimentos_master!$A:$M,13,FALSE())/100</f>
        <v>#N/A</v>
      </c>
      <c r="H1160" s="4" t="e">
        <f>E1160*VLOOKUP(B1160,alimentos_master!$A:$N,14,FALSE())/100</f>
        <v>#N/A</v>
      </c>
      <c r="I1160" s="4" t="e">
        <f>E1160*VLOOKUP(B1160,alimentos_master!$A:$O,15,FALSE())/100</f>
        <v>#N/A</v>
      </c>
      <c r="J1160" s="4" t="e">
        <f>E1160*VLOOKUP(B1160,alimentos_master!$A:$R,18,FALSE())/100</f>
        <v>#N/A</v>
      </c>
    </row>
    <row r="1161" spans="1:10" ht="15" customHeight="1" x14ac:dyDescent="0.2">
      <c r="A1161" s="4">
        <v>1160</v>
      </c>
      <c r="B1161" s="4">
        <v>290</v>
      </c>
      <c r="C1161" s="4" t="s">
        <v>398</v>
      </c>
      <c r="D1161" s="4" t="s">
        <v>920</v>
      </c>
      <c r="E1161" s="4">
        <v>200</v>
      </c>
      <c r="F1161" s="4" t="s">
        <v>917</v>
      </c>
      <c r="G1161" s="4" t="e">
        <f>E1161*VLOOKUP(B1161,alimentos_master!$A:$M,13,FALSE())/100</f>
        <v>#N/A</v>
      </c>
      <c r="H1161" s="4" t="e">
        <f>E1161*VLOOKUP(B1161,alimentos_master!$A:$N,14,FALSE())/100</f>
        <v>#N/A</v>
      </c>
      <c r="I1161" s="4" t="e">
        <f>E1161*VLOOKUP(B1161,alimentos_master!$A:$O,15,FALSE())/100</f>
        <v>#N/A</v>
      </c>
      <c r="J1161" s="4" t="e">
        <f>E1161*VLOOKUP(B1161,alimentos_master!$A:$R,18,FALSE())/100</f>
        <v>#N/A</v>
      </c>
    </row>
    <row r="1162" spans="1:10" ht="15" customHeight="1" x14ac:dyDescent="0.2">
      <c r="A1162" s="4">
        <v>1161</v>
      </c>
      <c r="B1162" s="4">
        <v>291</v>
      </c>
      <c r="C1162" s="4" t="s">
        <v>399</v>
      </c>
      <c r="D1162" s="4" t="s">
        <v>916</v>
      </c>
      <c r="E1162" s="4">
        <v>75</v>
      </c>
      <c r="F1162" s="4" t="s">
        <v>917</v>
      </c>
      <c r="G1162" s="4" t="e">
        <f>E1162*VLOOKUP(B1162,alimentos_master!$A:$M,13,FALSE())/100</f>
        <v>#N/A</v>
      </c>
      <c r="H1162" s="4" t="e">
        <f>E1162*VLOOKUP(B1162,alimentos_master!$A:$N,14,FALSE())/100</f>
        <v>#N/A</v>
      </c>
      <c r="I1162" s="4" t="e">
        <f>E1162*VLOOKUP(B1162,alimentos_master!$A:$O,15,FALSE())/100</f>
        <v>#N/A</v>
      </c>
      <c r="J1162" s="4" t="e">
        <f>E1162*VLOOKUP(B1162,alimentos_master!$A:$R,18,FALSE())/100</f>
        <v>#N/A</v>
      </c>
    </row>
    <row r="1163" spans="1:10" ht="15" customHeight="1" x14ac:dyDescent="0.2">
      <c r="A1163" s="4">
        <v>1162</v>
      </c>
      <c r="B1163" s="4">
        <v>291</v>
      </c>
      <c r="C1163" s="4" t="s">
        <v>399</v>
      </c>
      <c r="D1163" s="4" t="s">
        <v>918</v>
      </c>
      <c r="E1163" s="4">
        <v>100</v>
      </c>
      <c r="F1163" s="4" t="s">
        <v>917</v>
      </c>
      <c r="G1163" s="4" t="e">
        <f>E1163*VLOOKUP(B1163,alimentos_master!$A:$M,13,FALSE())/100</f>
        <v>#N/A</v>
      </c>
      <c r="H1163" s="4" t="e">
        <f>E1163*VLOOKUP(B1163,alimentos_master!$A:$N,14,FALSE())/100</f>
        <v>#N/A</v>
      </c>
      <c r="I1163" s="4" t="e">
        <f>E1163*VLOOKUP(B1163,alimentos_master!$A:$O,15,FALSE())/100</f>
        <v>#N/A</v>
      </c>
      <c r="J1163" s="4" t="e">
        <f>E1163*VLOOKUP(B1163,alimentos_master!$A:$R,18,FALSE())/100</f>
        <v>#N/A</v>
      </c>
    </row>
    <row r="1164" spans="1:10" ht="15" customHeight="1" x14ac:dyDescent="0.2">
      <c r="A1164" s="4">
        <v>1163</v>
      </c>
      <c r="B1164" s="4">
        <v>291</v>
      </c>
      <c r="C1164" s="4" t="s">
        <v>399</v>
      </c>
      <c r="D1164" s="4" t="s">
        <v>919</v>
      </c>
      <c r="E1164" s="4">
        <v>150</v>
      </c>
      <c r="F1164" s="4" t="s">
        <v>917</v>
      </c>
      <c r="G1164" s="4" t="e">
        <f>E1164*VLOOKUP(B1164,alimentos_master!$A:$M,13,FALSE())/100</f>
        <v>#N/A</v>
      </c>
      <c r="H1164" s="4" t="e">
        <f>E1164*VLOOKUP(B1164,alimentos_master!$A:$N,14,FALSE())/100</f>
        <v>#N/A</v>
      </c>
      <c r="I1164" s="4" t="e">
        <f>E1164*VLOOKUP(B1164,alimentos_master!$A:$O,15,FALSE())/100</f>
        <v>#N/A</v>
      </c>
      <c r="J1164" s="4" t="e">
        <f>E1164*VLOOKUP(B1164,alimentos_master!$A:$R,18,FALSE())/100</f>
        <v>#N/A</v>
      </c>
    </row>
    <row r="1165" spans="1:10" ht="15" customHeight="1" x14ac:dyDescent="0.2">
      <c r="A1165" s="4">
        <v>1164</v>
      </c>
      <c r="B1165" s="4">
        <v>291</v>
      </c>
      <c r="C1165" s="4" t="s">
        <v>399</v>
      </c>
      <c r="D1165" s="4" t="s">
        <v>920</v>
      </c>
      <c r="E1165" s="4">
        <v>200</v>
      </c>
      <c r="F1165" s="4" t="s">
        <v>917</v>
      </c>
      <c r="G1165" s="4" t="e">
        <f>E1165*VLOOKUP(B1165,alimentos_master!$A:$M,13,FALSE())/100</f>
        <v>#N/A</v>
      </c>
      <c r="H1165" s="4" t="e">
        <f>E1165*VLOOKUP(B1165,alimentos_master!$A:$N,14,FALSE())/100</f>
        <v>#N/A</v>
      </c>
      <c r="I1165" s="4" t="e">
        <f>E1165*VLOOKUP(B1165,alimentos_master!$A:$O,15,FALSE())/100</f>
        <v>#N/A</v>
      </c>
      <c r="J1165" s="4" t="e">
        <f>E1165*VLOOKUP(B1165,alimentos_master!$A:$R,18,FALSE())/100</f>
        <v>#N/A</v>
      </c>
    </row>
    <row r="1166" spans="1:10" ht="15" customHeight="1" x14ac:dyDescent="0.2">
      <c r="A1166" s="4">
        <v>1165</v>
      </c>
      <c r="B1166" s="4">
        <v>292</v>
      </c>
      <c r="C1166" s="4" t="s">
        <v>400</v>
      </c>
      <c r="D1166" s="4" t="s">
        <v>916</v>
      </c>
      <c r="E1166" s="4">
        <v>75</v>
      </c>
      <c r="F1166" s="4" t="s">
        <v>917</v>
      </c>
      <c r="G1166" s="4" t="e">
        <f>E1166*VLOOKUP(B1166,alimentos_master!$A:$M,13,FALSE())/100</f>
        <v>#N/A</v>
      </c>
      <c r="H1166" s="4" t="e">
        <f>E1166*VLOOKUP(B1166,alimentos_master!$A:$N,14,FALSE())/100</f>
        <v>#N/A</v>
      </c>
      <c r="I1166" s="4" t="e">
        <f>E1166*VLOOKUP(B1166,alimentos_master!$A:$O,15,FALSE())/100</f>
        <v>#N/A</v>
      </c>
      <c r="J1166" s="4" t="e">
        <f>E1166*VLOOKUP(B1166,alimentos_master!$A:$R,18,FALSE())/100</f>
        <v>#N/A</v>
      </c>
    </row>
    <row r="1167" spans="1:10" ht="15" customHeight="1" x14ac:dyDescent="0.2">
      <c r="A1167" s="4">
        <v>1166</v>
      </c>
      <c r="B1167" s="4">
        <v>292</v>
      </c>
      <c r="C1167" s="4" t="s">
        <v>400</v>
      </c>
      <c r="D1167" s="4" t="s">
        <v>918</v>
      </c>
      <c r="E1167" s="4">
        <v>100</v>
      </c>
      <c r="F1167" s="4" t="s">
        <v>917</v>
      </c>
      <c r="G1167" s="4" t="e">
        <f>E1167*VLOOKUP(B1167,alimentos_master!$A:$M,13,FALSE())/100</f>
        <v>#N/A</v>
      </c>
      <c r="H1167" s="4" t="e">
        <f>E1167*VLOOKUP(B1167,alimentos_master!$A:$N,14,FALSE())/100</f>
        <v>#N/A</v>
      </c>
      <c r="I1167" s="4" t="e">
        <f>E1167*VLOOKUP(B1167,alimentos_master!$A:$O,15,FALSE())/100</f>
        <v>#N/A</v>
      </c>
      <c r="J1167" s="4" t="e">
        <f>E1167*VLOOKUP(B1167,alimentos_master!$A:$R,18,FALSE())/100</f>
        <v>#N/A</v>
      </c>
    </row>
    <row r="1168" spans="1:10" ht="15" customHeight="1" x14ac:dyDescent="0.2">
      <c r="A1168" s="4">
        <v>1167</v>
      </c>
      <c r="B1168" s="4">
        <v>292</v>
      </c>
      <c r="C1168" s="4" t="s">
        <v>400</v>
      </c>
      <c r="D1168" s="4" t="s">
        <v>919</v>
      </c>
      <c r="E1168" s="4">
        <v>150</v>
      </c>
      <c r="F1168" s="4" t="s">
        <v>917</v>
      </c>
      <c r="G1168" s="4" t="e">
        <f>E1168*VLOOKUP(B1168,alimentos_master!$A:$M,13,FALSE())/100</f>
        <v>#N/A</v>
      </c>
      <c r="H1168" s="4" t="e">
        <f>E1168*VLOOKUP(B1168,alimentos_master!$A:$N,14,FALSE())/100</f>
        <v>#N/A</v>
      </c>
      <c r="I1168" s="4" t="e">
        <f>E1168*VLOOKUP(B1168,alimentos_master!$A:$O,15,FALSE())/100</f>
        <v>#N/A</v>
      </c>
      <c r="J1168" s="4" t="e">
        <f>E1168*VLOOKUP(B1168,alimentos_master!$A:$R,18,FALSE())/100</f>
        <v>#N/A</v>
      </c>
    </row>
    <row r="1169" spans="1:10" ht="15" customHeight="1" x14ac:dyDescent="0.2">
      <c r="A1169" s="4">
        <v>1168</v>
      </c>
      <c r="B1169" s="4">
        <v>292</v>
      </c>
      <c r="C1169" s="4" t="s">
        <v>400</v>
      </c>
      <c r="D1169" s="4" t="s">
        <v>920</v>
      </c>
      <c r="E1169" s="4">
        <v>200</v>
      </c>
      <c r="F1169" s="4" t="s">
        <v>917</v>
      </c>
      <c r="G1169" s="4" t="e">
        <f>E1169*VLOOKUP(B1169,alimentos_master!$A:$M,13,FALSE())/100</f>
        <v>#N/A</v>
      </c>
      <c r="H1169" s="4" t="e">
        <f>E1169*VLOOKUP(B1169,alimentos_master!$A:$N,14,FALSE())/100</f>
        <v>#N/A</v>
      </c>
      <c r="I1169" s="4" t="e">
        <f>E1169*VLOOKUP(B1169,alimentos_master!$A:$O,15,FALSE())/100</f>
        <v>#N/A</v>
      </c>
      <c r="J1169" s="4" t="e">
        <f>E1169*VLOOKUP(B1169,alimentos_master!$A:$R,18,FALSE())/100</f>
        <v>#N/A</v>
      </c>
    </row>
    <row r="1170" spans="1:10" ht="15" customHeight="1" x14ac:dyDescent="0.2">
      <c r="A1170" s="4">
        <v>1169</v>
      </c>
      <c r="B1170" s="4">
        <v>293</v>
      </c>
      <c r="C1170" s="4" t="s">
        <v>401</v>
      </c>
      <c r="D1170" s="4" t="s">
        <v>916</v>
      </c>
      <c r="E1170" s="4">
        <v>75</v>
      </c>
      <c r="F1170" s="4" t="s">
        <v>917</v>
      </c>
      <c r="G1170" s="4" t="e">
        <f>E1170*VLOOKUP(B1170,alimentos_master!$A:$M,13,FALSE())/100</f>
        <v>#N/A</v>
      </c>
      <c r="H1170" s="4" t="e">
        <f>E1170*VLOOKUP(B1170,alimentos_master!$A:$N,14,FALSE())/100</f>
        <v>#N/A</v>
      </c>
      <c r="I1170" s="4" t="e">
        <f>E1170*VLOOKUP(B1170,alimentos_master!$A:$O,15,FALSE())/100</f>
        <v>#N/A</v>
      </c>
      <c r="J1170" s="4" t="e">
        <f>E1170*VLOOKUP(B1170,alimentos_master!$A:$R,18,FALSE())/100</f>
        <v>#N/A</v>
      </c>
    </row>
    <row r="1171" spans="1:10" ht="15" customHeight="1" x14ac:dyDescent="0.2">
      <c r="A1171" s="4">
        <v>1170</v>
      </c>
      <c r="B1171" s="4">
        <v>293</v>
      </c>
      <c r="C1171" s="4" t="s">
        <v>401</v>
      </c>
      <c r="D1171" s="4" t="s">
        <v>918</v>
      </c>
      <c r="E1171" s="4">
        <v>100</v>
      </c>
      <c r="F1171" s="4" t="s">
        <v>917</v>
      </c>
      <c r="G1171" s="4" t="e">
        <f>E1171*VLOOKUP(B1171,alimentos_master!$A:$M,13,FALSE())/100</f>
        <v>#N/A</v>
      </c>
      <c r="H1171" s="4" t="e">
        <f>E1171*VLOOKUP(B1171,alimentos_master!$A:$N,14,FALSE())/100</f>
        <v>#N/A</v>
      </c>
      <c r="I1171" s="4" t="e">
        <f>E1171*VLOOKUP(B1171,alimentos_master!$A:$O,15,FALSE())/100</f>
        <v>#N/A</v>
      </c>
      <c r="J1171" s="4" t="e">
        <f>E1171*VLOOKUP(B1171,alimentos_master!$A:$R,18,FALSE())/100</f>
        <v>#N/A</v>
      </c>
    </row>
    <row r="1172" spans="1:10" ht="15" customHeight="1" x14ac:dyDescent="0.2">
      <c r="A1172" s="4">
        <v>1171</v>
      </c>
      <c r="B1172" s="4">
        <v>293</v>
      </c>
      <c r="C1172" s="4" t="s">
        <v>401</v>
      </c>
      <c r="D1172" s="4" t="s">
        <v>919</v>
      </c>
      <c r="E1172" s="4">
        <v>150</v>
      </c>
      <c r="F1172" s="4" t="s">
        <v>917</v>
      </c>
      <c r="G1172" s="4" t="e">
        <f>E1172*VLOOKUP(B1172,alimentos_master!$A:$M,13,FALSE())/100</f>
        <v>#N/A</v>
      </c>
      <c r="H1172" s="4" t="e">
        <f>E1172*VLOOKUP(B1172,alimentos_master!$A:$N,14,FALSE())/100</f>
        <v>#N/A</v>
      </c>
      <c r="I1172" s="4" t="e">
        <f>E1172*VLOOKUP(B1172,alimentos_master!$A:$O,15,FALSE())/100</f>
        <v>#N/A</v>
      </c>
      <c r="J1172" s="4" t="e">
        <f>E1172*VLOOKUP(B1172,alimentos_master!$A:$R,18,FALSE())/100</f>
        <v>#N/A</v>
      </c>
    </row>
    <row r="1173" spans="1:10" ht="15" customHeight="1" x14ac:dyDescent="0.2">
      <c r="A1173" s="4">
        <v>1172</v>
      </c>
      <c r="B1173" s="4">
        <v>293</v>
      </c>
      <c r="C1173" s="4" t="s">
        <v>401</v>
      </c>
      <c r="D1173" s="4" t="s">
        <v>920</v>
      </c>
      <c r="E1173" s="4">
        <v>200</v>
      </c>
      <c r="F1173" s="4" t="s">
        <v>917</v>
      </c>
      <c r="G1173" s="4" t="e">
        <f>E1173*VLOOKUP(B1173,alimentos_master!$A:$M,13,FALSE())/100</f>
        <v>#N/A</v>
      </c>
      <c r="H1173" s="4" t="e">
        <f>E1173*VLOOKUP(B1173,alimentos_master!$A:$N,14,FALSE())/100</f>
        <v>#N/A</v>
      </c>
      <c r="I1173" s="4" t="e">
        <f>E1173*VLOOKUP(B1173,alimentos_master!$A:$O,15,FALSE())/100</f>
        <v>#N/A</v>
      </c>
      <c r="J1173" s="4" t="e">
        <f>E1173*VLOOKUP(B1173,alimentos_master!$A:$R,18,FALSE())/100</f>
        <v>#N/A</v>
      </c>
    </row>
    <row r="1174" spans="1:10" ht="15" customHeight="1" x14ac:dyDescent="0.2">
      <c r="A1174" s="4">
        <v>1173</v>
      </c>
      <c r="B1174" s="4">
        <v>294</v>
      </c>
      <c r="C1174" s="4" t="s">
        <v>402</v>
      </c>
      <c r="D1174" s="4" t="s">
        <v>916</v>
      </c>
      <c r="E1174" s="4">
        <v>75</v>
      </c>
      <c r="F1174" s="4" t="s">
        <v>917</v>
      </c>
      <c r="G1174" s="4" t="e">
        <f>E1174*VLOOKUP(B1174,alimentos_master!$A:$M,13,FALSE())/100</f>
        <v>#N/A</v>
      </c>
      <c r="H1174" s="4" t="e">
        <f>E1174*VLOOKUP(B1174,alimentos_master!$A:$N,14,FALSE())/100</f>
        <v>#N/A</v>
      </c>
      <c r="I1174" s="4" t="e">
        <f>E1174*VLOOKUP(B1174,alimentos_master!$A:$O,15,FALSE())/100</f>
        <v>#N/A</v>
      </c>
      <c r="J1174" s="4" t="e">
        <f>E1174*VLOOKUP(B1174,alimentos_master!$A:$R,18,FALSE())/100</f>
        <v>#N/A</v>
      </c>
    </row>
    <row r="1175" spans="1:10" ht="15" customHeight="1" x14ac:dyDescent="0.2">
      <c r="A1175" s="4">
        <v>1174</v>
      </c>
      <c r="B1175" s="4">
        <v>294</v>
      </c>
      <c r="C1175" s="4" t="s">
        <v>402</v>
      </c>
      <c r="D1175" s="4" t="s">
        <v>918</v>
      </c>
      <c r="E1175" s="4">
        <v>100</v>
      </c>
      <c r="F1175" s="4" t="s">
        <v>917</v>
      </c>
      <c r="G1175" s="4" t="e">
        <f>E1175*VLOOKUP(B1175,alimentos_master!$A:$M,13,FALSE())/100</f>
        <v>#N/A</v>
      </c>
      <c r="H1175" s="4" t="e">
        <f>E1175*VLOOKUP(B1175,alimentos_master!$A:$N,14,FALSE())/100</f>
        <v>#N/A</v>
      </c>
      <c r="I1175" s="4" t="e">
        <f>E1175*VLOOKUP(B1175,alimentos_master!$A:$O,15,FALSE())/100</f>
        <v>#N/A</v>
      </c>
      <c r="J1175" s="4" t="e">
        <f>E1175*VLOOKUP(B1175,alimentos_master!$A:$R,18,FALSE())/100</f>
        <v>#N/A</v>
      </c>
    </row>
    <row r="1176" spans="1:10" ht="15" customHeight="1" x14ac:dyDescent="0.2">
      <c r="A1176" s="4">
        <v>1175</v>
      </c>
      <c r="B1176" s="4">
        <v>294</v>
      </c>
      <c r="C1176" s="4" t="s">
        <v>402</v>
      </c>
      <c r="D1176" s="4" t="s">
        <v>919</v>
      </c>
      <c r="E1176" s="4">
        <v>150</v>
      </c>
      <c r="F1176" s="4" t="s">
        <v>917</v>
      </c>
      <c r="G1176" s="4" t="e">
        <f>E1176*VLOOKUP(B1176,alimentos_master!$A:$M,13,FALSE())/100</f>
        <v>#N/A</v>
      </c>
      <c r="H1176" s="4" t="e">
        <f>E1176*VLOOKUP(B1176,alimentos_master!$A:$N,14,FALSE())/100</f>
        <v>#N/A</v>
      </c>
      <c r="I1176" s="4" t="e">
        <f>E1176*VLOOKUP(B1176,alimentos_master!$A:$O,15,FALSE())/100</f>
        <v>#N/A</v>
      </c>
      <c r="J1176" s="4" t="e">
        <f>E1176*VLOOKUP(B1176,alimentos_master!$A:$R,18,FALSE())/100</f>
        <v>#N/A</v>
      </c>
    </row>
    <row r="1177" spans="1:10" ht="15" customHeight="1" x14ac:dyDescent="0.2">
      <c r="A1177" s="4">
        <v>1176</v>
      </c>
      <c r="B1177" s="4">
        <v>294</v>
      </c>
      <c r="C1177" s="4" t="s">
        <v>402</v>
      </c>
      <c r="D1177" s="4" t="s">
        <v>920</v>
      </c>
      <c r="E1177" s="4">
        <v>200</v>
      </c>
      <c r="F1177" s="4" t="s">
        <v>917</v>
      </c>
      <c r="G1177" s="4" t="e">
        <f>E1177*VLOOKUP(B1177,alimentos_master!$A:$M,13,FALSE())/100</f>
        <v>#N/A</v>
      </c>
      <c r="H1177" s="4" t="e">
        <f>E1177*VLOOKUP(B1177,alimentos_master!$A:$N,14,FALSE())/100</f>
        <v>#N/A</v>
      </c>
      <c r="I1177" s="4" t="e">
        <f>E1177*VLOOKUP(B1177,alimentos_master!$A:$O,15,FALSE())/100</f>
        <v>#N/A</v>
      </c>
      <c r="J1177" s="4" t="e">
        <f>E1177*VLOOKUP(B1177,alimentos_master!$A:$R,18,FALSE())/100</f>
        <v>#N/A</v>
      </c>
    </row>
    <row r="1178" spans="1:10" ht="15" customHeight="1" x14ac:dyDescent="0.2">
      <c r="A1178" s="4">
        <v>1177</v>
      </c>
      <c r="B1178" s="4">
        <v>295</v>
      </c>
      <c r="C1178" s="4" t="s">
        <v>403</v>
      </c>
      <c r="D1178" s="4" t="s">
        <v>916</v>
      </c>
      <c r="E1178" s="4">
        <v>75</v>
      </c>
      <c r="F1178" s="4" t="s">
        <v>917</v>
      </c>
      <c r="G1178" s="4" t="e">
        <f>E1178*VLOOKUP(B1178,alimentos_master!$A:$M,13,FALSE())/100</f>
        <v>#N/A</v>
      </c>
      <c r="H1178" s="4" t="e">
        <f>E1178*VLOOKUP(B1178,alimentos_master!$A:$N,14,FALSE())/100</f>
        <v>#N/A</v>
      </c>
      <c r="I1178" s="4" t="e">
        <f>E1178*VLOOKUP(B1178,alimentos_master!$A:$O,15,FALSE())/100</f>
        <v>#N/A</v>
      </c>
      <c r="J1178" s="4" t="e">
        <f>E1178*VLOOKUP(B1178,alimentos_master!$A:$R,18,FALSE())/100</f>
        <v>#N/A</v>
      </c>
    </row>
    <row r="1179" spans="1:10" ht="15" customHeight="1" x14ac:dyDescent="0.2">
      <c r="A1179" s="4">
        <v>1178</v>
      </c>
      <c r="B1179" s="4">
        <v>295</v>
      </c>
      <c r="C1179" s="4" t="s">
        <v>403</v>
      </c>
      <c r="D1179" s="4" t="s">
        <v>918</v>
      </c>
      <c r="E1179" s="4">
        <v>100</v>
      </c>
      <c r="F1179" s="4" t="s">
        <v>917</v>
      </c>
      <c r="G1179" s="4" t="e">
        <f>E1179*VLOOKUP(B1179,alimentos_master!$A:$M,13,FALSE())/100</f>
        <v>#N/A</v>
      </c>
      <c r="H1179" s="4" t="e">
        <f>E1179*VLOOKUP(B1179,alimentos_master!$A:$N,14,FALSE())/100</f>
        <v>#N/A</v>
      </c>
      <c r="I1179" s="4" t="e">
        <f>E1179*VLOOKUP(B1179,alimentos_master!$A:$O,15,FALSE())/100</f>
        <v>#N/A</v>
      </c>
      <c r="J1179" s="4" t="e">
        <f>E1179*VLOOKUP(B1179,alimentos_master!$A:$R,18,FALSE())/100</f>
        <v>#N/A</v>
      </c>
    </row>
    <row r="1180" spans="1:10" ht="15" customHeight="1" x14ac:dyDescent="0.2">
      <c r="A1180" s="4">
        <v>1179</v>
      </c>
      <c r="B1180" s="4">
        <v>295</v>
      </c>
      <c r="C1180" s="4" t="s">
        <v>403</v>
      </c>
      <c r="D1180" s="4" t="s">
        <v>919</v>
      </c>
      <c r="E1180" s="4">
        <v>150</v>
      </c>
      <c r="F1180" s="4" t="s">
        <v>917</v>
      </c>
      <c r="G1180" s="4" t="e">
        <f>E1180*VLOOKUP(B1180,alimentos_master!$A:$M,13,FALSE())/100</f>
        <v>#N/A</v>
      </c>
      <c r="H1180" s="4" t="e">
        <f>E1180*VLOOKUP(B1180,alimentos_master!$A:$N,14,FALSE())/100</f>
        <v>#N/A</v>
      </c>
      <c r="I1180" s="4" t="e">
        <f>E1180*VLOOKUP(B1180,alimentos_master!$A:$O,15,FALSE())/100</f>
        <v>#N/A</v>
      </c>
      <c r="J1180" s="4" t="e">
        <f>E1180*VLOOKUP(B1180,alimentos_master!$A:$R,18,FALSE())/100</f>
        <v>#N/A</v>
      </c>
    </row>
    <row r="1181" spans="1:10" ht="15" customHeight="1" x14ac:dyDescent="0.2">
      <c r="A1181" s="4">
        <v>1180</v>
      </c>
      <c r="B1181" s="4">
        <v>295</v>
      </c>
      <c r="C1181" s="4" t="s">
        <v>403</v>
      </c>
      <c r="D1181" s="4" t="s">
        <v>920</v>
      </c>
      <c r="E1181" s="4">
        <v>200</v>
      </c>
      <c r="F1181" s="4" t="s">
        <v>917</v>
      </c>
      <c r="G1181" s="4" t="e">
        <f>E1181*VLOOKUP(B1181,alimentos_master!$A:$M,13,FALSE())/100</f>
        <v>#N/A</v>
      </c>
      <c r="H1181" s="4" t="e">
        <f>E1181*VLOOKUP(B1181,alimentos_master!$A:$N,14,FALSE())/100</f>
        <v>#N/A</v>
      </c>
      <c r="I1181" s="4" t="e">
        <f>E1181*VLOOKUP(B1181,alimentos_master!$A:$O,15,FALSE())/100</f>
        <v>#N/A</v>
      </c>
      <c r="J1181" s="4" t="e">
        <f>E1181*VLOOKUP(B1181,alimentos_master!$A:$R,18,FALSE())/100</f>
        <v>#N/A</v>
      </c>
    </row>
    <row r="1182" spans="1:10" ht="15" customHeight="1" x14ac:dyDescent="0.2">
      <c r="A1182" s="4">
        <v>1181</v>
      </c>
      <c r="B1182" s="4">
        <v>296</v>
      </c>
      <c r="C1182" s="4" t="s">
        <v>404</v>
      </c>
      <c r="D1182" s="4" t="s">
        <v>916</v>
      </c>
      <c r="E1182" s="4">
        <v>75</v>
      </c>
      <c r="F1182" s="4" t="s">
        <v>917</v>
      </c>
      <c r="G1182" s="4" t="e">
        <f>E1182*VLOOKUP(B1182,alimentos_master!$A:$M,13,FALSE())/100</f>
        <v>#N/A</v>
      </c>
      <c r="H1182" s="4" t="e">
        <f>E1182*VLOOKUP(B1182,alimentos_master!$A:$N,14,FALSE())/100</f>
        <v>#N/A</v>
      </c>
      <c r="I1182" s="4" t="e">
        <f>E1182*VLOOKUP(B1182,alimentos_master!$A:$O,15,FALSE())/100</f>
        <v>#N/A</v>
      </c>
      <c r="J1182" s="4" t="e">
        <f>E1182*VLOOKUP(B1182,alimentos_master!$A:$R,18,FALSE())/100</f>
        <v>#N/A</v>
      </c>
    </row>
    <row r="1183" spans="1:10" ht="15" customHeight="1" x14ac:dyDescent="0.2">
      <c r="A1183" s="4">
        <v>1182</v>
      </c>
      <c r="B1183" s="4">
        <v>296</v>
      </c>
      <c r="C1183" s="4" t="s">
        <v>404</v>
      </c>
      <c r="D1183" s="4" t="s">
        <v>918</v>
      </c>
      <c r="E1183" s="4">
        <v>100</v>
      </c>
      <c r="F1183" s="4" t="s">
        <v>917</v>
      </c>
      <c r="G1183" s="4" t="e">
        <f>E1183*VLOOKUP(B1183,alimentos_master!$A:$M,13,FALSE())/100</f>
        <v>#N/A</v>
      </c>
      <c r="H1183" s="4" t="e">
        <f>E1183*VLOOKUP(B1183,alimentos_master!$A:$N,14,FALSE())/100</f>
        <v>#N/A</v>
      </c>
      <c r="I1183" s="4" t="e">
        <f>E1183*VLOOKUP(B1183,alimentos_master!$A:$O,15,FALSE())/100</f>
        <v>#N/A</v>
      </c>
      <c r="J1183" s="4" t="e">
        <f>E1183*VLOOKUP(B1183,alimentos_master!$A:$R,18,FALSE())/100</f>
        <v>#N/A</v>
      </c>
    </row>
    <row r="1184" spans="1:10" ht="15" customHeight="1" x14ac:dyDescent="0.2">
      <c r="A1184" s="4">
        <v>1183</v>
      </c>
      <c r="B1184" s="4">
        <v>296</v>
      </c>
      <c r="C1184" s="4" t="s">
        <v>404</v>
      </c>
      <c r="D1184" s="4" t="s">
        <v>919</v>
      </c>
      <c r="E1184" s="4">
        <v>150</v>
      </c>
      <c r="F1184" s="4" t="s">
        <v>917</v>
      </c>
      <c r="G1184" s="4" t="e">
        <f>E1184*VLOOKUP(B1184,alimentos_master!$A:$M,13,FALSE())/100</f>
        <v>#N/A</v>
      </c>
      <c r="H1184" s="4" t="e">
        <f>E1184*VLOOKUP(B1184,alimentos_master!$A:$N,14,FALSE())/100</f>
        <v>#N/A</v>
      </c>
      <c r="I1184" s="4" t="e">
        <f>E1184*VLOOKUP(B1184,alimentos_master!$A:$O,15,FALSE())/100</f>
        <v>#N/A</v>
      </c>
      <c r="J1184" s="4" t="e">
        <f>E1184*VLOOKUP(B1184,alimentos_master!$A:$R,18,FALSE())/100</f>
        <v>#N/A</v>
      </c>
    </row>
    <row r="1185" spans="1:10" ht="15" customHeight="1" x14ac:dyDescent="0.2">
      <c r="A1185" s="4">
        <v>1184</v>
      </c>
      <c r="B1185" s="4">
        <v>296</v>
      </c>
      <c r="C1185" s="4" t="s">
        <v>404</v>
      </c>
      <c r="D1185" s="4" t="s">
        <v>920</v>
      </c>
      <c r="E1185" s="4">
        <v>200</v>
      </c>
      <c r="F1185" s="4" t="s">
        <v>917</v>
      </c>
      <c r="G1185" s="4" t="e">
        <f>E1185*VLOOKUP(B1185,alimentos_master!$A:$M,13,FALSE())/100</f>
        <v>#N/A</v>
      </c>
      <c r="H1185" s="4" t="e">
        <f>E1185*VLOOKUP(B1185,alimentos_master!$A:$N,14,FALSE())/100</f>
        <v>#N/A</v>
      </c>
      <c r="I1185" s="4" t="e">
        <f>E1185*VLOOKUP(B1185,alimentos_master!$A:$O,15,FALSE())/100</f>
        <v>#N/A</v>
      </c>
      <c r="J1185" s="4" t="e">
        <f>E1185*VLOOKUP(B1185,alimentos_master!$A:$R,18,FALSE())/100</f>
        <v>#N/A</v>
      </c>
    </row>
    <row r="1186" spans="1:10" ht="15" customHeight="1" x14ac:dyDescent="0.2">
      <c r="A1186" s="4">
        <v>1185</v>
      </c>
      <c r="B1186" s="4">
        <v>297</v>
      </c>
      <c r="C1186" s="4" t="s">
        <v>405</v>
      </c>
      <c r="D1186" s="4" t="s">
        <v>916</v>
      </c>
      <c r="E1186" s="4">
        <v>75</v>
      </c>
      <c r="F1186" s="4" t="s">
        <v>917</v>
      </c>
      <c r="G1186" s="4" t="e">
        <f>E1186*VLOOKUP(B1186,alimentos_master!$A:$M,13,FALSE())/100</f>
        <v>#N/A</v>
      </c>
      <c r="H1186" s="4" t="e">
        <f>E1186*VLOOKUP(B1186,alimentos_master!$A:$N,14,FALSE())/100</f>
        <v>#N/A</v>
      </c>
      <c r="I1186" s="4" t="e">
        <f>E1186*VLOOKUP(B1186,alimentos_master!$A:$O,15,FALSE())/100</f>
        <v>#N/A</v>
      </c>
      <c r="J1186" s="4" t="e">
        <f>E1186*VLOOKUP(B1186,alimentos_master!$A:$R,18,FALSE())/100</f>
        <v>#N/A</v>
      </c>
    </row>
    <row r="1187" spans="1:10" ht="15" customHeight="1" x14ac:dyDescent="0.2">
      <c r="A1187" s="4">
        <v>1186</v>
      </c>
      <c r="B1187" s="4">
        <v>297</v>
      </c>
      <c r="C1187" s="4" t="s">
        <v>405</v>
      </c>
      <c r="D1187" s="4" t="s">
        <v>918</v>
      </c>
      <c r="E1187" s="4">
        <v>100</v>
      </c>
      <c r="F1187" s="4" t="s">
        <v>917</v>
      </c>
      <c r="G1187" s="4" t="e">
        <f>E1187*VLOOKUP(B1187,alimentos_master!$A:$M,13,FALSE())/100</f>
        <v>#N/A</v>
      </c>
      <c r="H1187" s="4" t="e">
        <f>E1187*VLOOKUP(B1187,alimentos_master!$A:$N,14,FALSE())/100</f>
        <v>#N/A</v>
      </c>
      <c r="I1187" s="4" t="e">
        <f>E1187*VLOOKUP(B1187,alimentos_master!$A:$O,15,FALSE())/100</f>
        <v>#N/A</v>
      </c>
      <c r="J1187" s="4" t="e">
        <f>E1187*VLOOKUP(B1187,alimentos_master!$A:$R,18,FALSE())/100</f>
        <v>#N/A</v>
      </c>
    </row>
    <row r="1188" spans="1:10" ht="15" customHeight="1" x14ac:dyDescent="0.2">
      <c r="A1188" s="4">
        <v>1187</v>
      </c>
      <c r="B1188" s="4">
        <v>297</v>
      </c>
      <c r="C1188" s="4" t="s">
        <v>405</v>
      </c>
      <c r="D1188" s="4" t="s">
        <v>919</v>
      </c>
      <c r="E1188" s="4">
        <v>150</v>
      </c>
      <c r="F1188" s="4" t="s">
        <v>917</v>
      </c>
      <c r="G1188" s="4" t="e">
        <f>E1188*VLOOKUP(B1188,alimentos_master!$A:$M,13,FALSE())/100</f>
        <v>#N/A</v>
      </c>
      <c r="H1188" s="4" t="e">
        <f>E1188*VLOOKUP(B1188,alimentos_master!$A:$N,14,FALSE())/100</f>
        <v>#N/A</v>
      </c>
      <c r="I1188" s="4" t="e">
        <f>E1188*VLOOKUP(B1188,alimentos_master!$A:$O,15,FALSE())/100</f>
        <v>#N/A</v>
      </c>
      <c r="J1188" s="4" t="e">
        <f>E1188*VLOOKUP(B1188,alimentos_master!$A:$R,18,FALSE())/100</f>
        <v>#N/A</v>
      </c>
    </row>
    <row r="1189" spans="1:10" ht="15" customHeight="1" x14ac:dyDescent="0.2">
      <c r="A1189" s="4">
        <v>1188</v>
      </c>
      <c r="B1189" s="4">
        <v>297</v>
      </c>
      <c r="C1189" s="4" t="s">
        <v>405</v>
      </c>
      <c r="D1189" s="4" t="s">
        <v>920</v>
      </c>
      <c r="E1189" s="4">
        <v>200</v>
      </c>
      <c r="F1189" s="4" t="s">
        <v>917</v>
      </c>
      <c r="G1189" s="4" t="e">
        <f>E1189*VLOOKUP(B1189,alimentos_master!$A:$M,13,FALSE())/100</f>
        <v>#N/A</v>
      </c>
      <c r="H1189" s="4" t="e">
        <f>E1189*VLOOKUP(B1189,alimentos_master!$A:$N,14,FALSE())/100</f>
        <v>#N/A</v>
      </c>
      <c r="I1189" s="4" t="e">
        <f>E1189*VLOOKUP(B1189,alimentos_master!$A:$O,15,FALSE())/100</f>
        <v>#N/A</v>
      </c>
      <c r="J1189" s="4" t="e">
        <f>E1189*VLOOKUP(B1189,alimentos_master!$A:$R,18,FALSE())/100</f>
        <v>#N/A</v>
      </c>
    </row>
    <row r="1190" spans="1:10" ht="15" customHeight="1" x14ac:dyDescent="0.2">
      <c r="A1190" s="4">
        <v>1189</v>
      </c>
      <c r="B1190" s="4">
        <v>298</v>
      </c>
      <c r="C1190" s="4" t="s">
        <v>406</v>
      </c>
      <c r="D1190" s="4" t="s">
        <v>916</v>
      </c>
      <c r="E1190" s="4">
        <v>75</v>
      </c>
      <c r="F1190" s="4" t="s">
        <v>917</v>
      </c>
      <c r="G1190" s="4">
        <f>E1190*VLOOKUP(B1190,alimentos_master!$A:$M,13,FALSE())/100</f>
        <v>24</v>
      </c>
      <c r="H1190" s="4">
        <f>E1190*VLOOKUP(B1190,alimentos_master!$A:$N,14,FALSE())/100</f>
        <v>0.52500000000000002</v>
      </c>
      <c r="I1190" s="4">
        <f>E1190*VLOOKUP(B1190,alimentos_master!$A:$O,15,FALSE())/100</f>
        <v>5.7750000000000004</v>
      </c>
      <c r="J1190" s="4">
        <f>E1190*VLOOKUP(B1190,alimentos_master!$A:$R,18,FALSE())/100</f>
        <v>0.22500000000000001</v>
      </c>
    </row>
    <row r="1191" spans="1:10" ht="15" customHeight="1" x14ac:dyDescent="0.2">
      <c r="A1191" s="4">
        <v>1190</v>
      </c>
      <c r="B1191" s="4">
        <v>298</v>
      </c>
      <c r="C1191" s="4" t="s">
        <v>406</v>
      </c>
      <c r="D1191" s="4" t="s">
        <v>918</v>
      </c>
      <c r="E1191" s="4">
        <v>100</v>
      </c>
      <c r="F1191" s="4" t="s">
        <v>917</v>
      </c>
      <c r="G1191" s="4">
        <f>E1191*VLOOKUP(B1191,alimentos_master!$A:$M,13,FALSE())/100</f>
        <v>32</v>
      </c>
      <c r="H1191" s="4">
        <f>E1191*VLOOKUP(B1191,alimentos_master!$A:$N,14,FALSE())/100</f>
        <v>0.7</v>
      </c>
      <c r="I1191" s="4">
        <f>E1191*VLOOKUP(B1191,alimentos_master!$A:$O,15,FALSE())/100</f>
        <v>7.7</v>
      </c>
      <c r="J1191" s="4">
        <f>E1191*VLOOKUP(B1191,alimentos_master!$A:$R,18,FALSE())/100</f>
        <v>0.3</v>
      </c>
    </row>
    <row r="1192" spans="1:10" ht="15" customHeight="1" x14ac:dyDescent="0.2">
      <c r="A1192" s="4">
        <v>1191</v>
      </c>
      <c r="B1192" s="4">
        <v>298</v>
      </c>
      <c r="C1192" s="4" t="s">
        <v>406</v>
      </c>
      <c r="D1192" s="4" t="s">
        <v>919</v>
      </c>
      <c r="E1192" s="4">
        <v>150</v>
      </c>
      <c r="F1192" s="4" t="s">
        <v>917</v>
      </c>
      <c r="G1192" s="4">
        <f>E1192*VLOOKUP(B1192,alimentos_master!$A:$M,13,FALSE())/100</f>
        <v>48</v>
      </c>
      <c r="H1192" s="4">
        <f>E1192*VLOOKUP(B1192,alimentos_master!$A:$N,14,FALSE())/100</f>
        <v>1.05</v>
      </c>
      <c r="I1192" s="4">
        <f>E1192*VLOOKUP(B1192,alimentos_master!$A:$O,15,FALSE())/100</f>
        <v>11.55</v>
      </c>
      <c r="J1192" s="4">
        <f>E1192*VLOOKUP(B1192,alimentos_master!$A:$R,18,FALSE())/100</f>
        <v>0.45</v>
      </c>
    </row>
    <row r="1193" spans="1:10" ht="15" customHeight="1" x14ac:dyDescent="0.2">
      <c r="A1193" s="4">
        <v>1192</v>
      </c>
      <c r="B1193" s="4">
        <v>298</v>
      </c>
      <c r="C1193" s="4" t="s">
        <v>406</v>
      </c>
      <c r="D1193" s="4" t="s">
        <v>920</v>
      </c>
      <c r="E1193" s="4">
        <v>200</v>
      </c>
      <c r="F1193" s="4" t="s">
        <v>917</v>
      </c>
      <c r="G1193" s="4">
        <f>E1193*VLOOKUP(B1193,alimentos_master!$A:$M,13,FALSE())/100</f>
        <v>64</v>
      </c>
      <c r="H1193" s="4">
        <f>E1193*VLOOKUP(B1193,alimentos_master!$A:$N,14,FALSE())/100</f>
        <v>1.4</v>
      </c>
      <c r="I1193" s="4">
        <f>E1193*VLOOKUP(B1193,alimentos_master!$A:$O,15,FALSE())/100</f>
        <v>15.4</v>
      </c>
      <c r="J1193" s="4">
        <f>E1193*VLOOKUP(B1193,alimentos_master!$A:$R,18,FALSE())/100</f>
        <v>0.6</v>
      </c>
    </row>
    <row r="1194" spans="1:10" ht="15" customHeight="1" x14ac:dyDescent="0.2">
      <c r="A1194" s="4">
        <v>1193</v>
      </c>
      <c r="B1194" s="4">
        <v>299</v>
      </c>
      <c r="C1194" s="4" t="s">
        <v>408</v>
      </c>
      <c r="D1194" s="4" t="s">
        <v>916</v>
      </c>
      <c r="E1194" s="4">
        <v>75</v>
      </c>
      <c r="F1194" s="4" t="s">
        <v>917</v>
      </c>
      <c r="G1194" s="4" t="e">
        <f>E1194*VLOOKUP(B1194,alimentos_master!$A:$M,13,FALSE())/100</f>
        <v>#N/A</v>
      </c>
      <c r="H1194" s="4" t="e">
        <f>E1194*VLOOKUP(B1194,alimentos_master!$A:$N,14,FALSE())/100</f>
        <v>#N/A</v>
      </c>
      <c r="I1194" s="4" t="e">
        <f>E1194*VLOOKUP(B1194,alimentos_master!$A:$O,15,FALSE())/100</f>
        <v>#N/A</v>
      </c>
      <c r="J1194" s="4" t="e">
        <f>E1194*VLOOKUP(B1194,alimentos_master!$A:$R,18,FALSE())/100</f>
        <v>#N/A</v>
      </c>
    </row>
    <row r="1195" spans="1:10" ht="15" customHeight="1" x14ac:dyDescent="0.2">
      <c r="A1195" s="4">
        <v>1194</v>
      </c>
      <c r="B1195" s="4">
        <v>299</v>
      </c>
      <c r="C1195" s="4" t="s">
        <v>408</v>
      </c>
      <c r="D1195" s="4" t="s">
        <v>918</v>
      </c>
      <c r="E1195" s="4">
        <v>100</v>
      </c>
      <c r="F1195" s="4" t="s">
        <v>917</v>
      </c>
      <c r="G1195" s="4" t="e">
        <f>E1195*VLOOKUP(B1195,alimentos_master!$A:$M,13,FALSE())/100</f>
        <v>#N/A</v>
      </c>
      <c r="H1195" s="4" t="e">
        <f>E1195*VLOOKUP(B1195,alimentos_master!$A:$N,14,FALSE())/100</f>
        <v>#N/A</v>
      </c>
      <c r="I1195" s="4" t="e">
        <f>E1195*VLOOKUP(B1195,alimentos_master!$A:$O,15,FALSE())/100</f>
        <v>#N/A</v>
      </c>
      <c r="J1195" s="4" t="e">
        <f>E1195*VLOOKUP(B1195,alimentos_master!$A:$R,18,FALSE())/100</f>
        <v>#N/A</v>
      </c>
    </row>
    <row r="1196" spans="1:10" ht="15" customHeight="1" x14ac:dyDescent="0.2">
      <c r="A1196" s="4">
        <v>1195</v>
      </c>
      <c r="B1196" s="4">
        <v>299</v>
      </c>
      <c r="C1196" s="4" t="s">
        <v>408</v>
      </c>
      <c r="D1196" s="4" t="s">
        <v>919</v>
      </c>
      <c r="E1196" s="4">
        <v>150</v>
      </c>
      <c r="F1196" s="4" t="s">
        <v>917</v>
      </c>
      <c r="G1196" s="4" t="e">
        <f>E1196*VLOOKUP(B1196,alimentos_master!$A:$M,13,FALSE())/100</f>
        <v>#N/A</v>
      </c>
      <c r="H1196" s="4" t="e">
        <f>E1196*VLOOKUP(B1196,alimentos_master!$A:$N,14,FALSE())/100</f>
        <v>#N/A</v>
      </c>
      <c r="I1196" s="4" t="e">
        <f>E1196*VLOOKUP(B1196,alimentos_master!$A:$O,15,FALSE())/100</f>
        <v>#N/A</v>
      </c>
      <c r="J1196" s="4" t="e">
        <f>E1196*VLOOKUP(B1196,alimentos_master!$A:$R,18,FALSE())/100</f>
        <v>#N/A</v>
      </c>
    </row>
    <row r="1197" spans="1:10" ht="15" customHeight="1" x14ac:dyDescent="0.2">
      <c r="A1197" s="4">
        <v>1196</v>
      </c>
      <c r="B1197" s="4">
        <v>299</v>
      </c>
      <c r="C1197" s="4" t="s">
        <v>408</v>
      </c>
      <c r="D1197" s="4" t="s">
        <v>920</v>
      </c>
      <c r="E1197" s="4">
        <v>200</v>
      </c>
      <c r="F1197" s="4" t="s">
        <v>917</v>
      </c>
      <c r="G1197" s="4" t="e">
        <f>E1197*VLOOKUP(B1197,alimentos_master!$A:$M,13,FALSE())/100</f>
        <v>#N/A</v>
      </c>
      <c r="H1197" s="4" t="e">
        <f>E1197*VLOOKUP(B1197,alimentos_master!$A:$N,14,FALSE())/100</f>
        <v>#N/A</v>
      </c>
      <c r="I1197" s="4" t="e">
        <f>E1197*VLOOKUP(B1197,alimentos_master!$A:$O,15,FALSE())/100</f>
        <v>#N/A</v>
      </c>
      <c r="J1197" s="4" t="e">
        <f>E1197*VLOOKUP(B1197,alimentos_master!$A:$R,18,FALSE())/100</f>
        <v>#N/A</v>
      </c>
    </row>
    <row r="1198" spans="1:10" ht="15" customHeight="1" x14ac:dyDescent="0.2">
      <c r="A1198" s="4">
        <v>1197</v>
      </c>
      <c r="B1198" s="4">
        <v>300</v>
      </c>
      <c r="C1198" s="4" t="s">
        <v>409</v>
      </c>
      <c r="D1198" s="4" t="s">
        <v>916</v>
      </c>
      <c r="E1198" s="4">
        <v>75</v>
      </c>
      <c r="F1198" s="4" t="s">
        <v>917</v>
      </c>
      <c r="G1198" s="4" t="e">
        <f>E1198*VLOOKUP(B1198,alimentos_master!$A:$M,13,FALSE())/100</f>
        <v>#N/A</v>
      </c>
      <c r="H1198" s="4" t="e">
        <f>E1198*VLOOKUP(B1198,alimentos_master!$A:$N,14,FALSE())/100</f>
        <v>#N/A</v>
      </c>
      <c r="I1198" s="4" t="e">
        <f>E1198*VLOOKUP(B1198,alimentos_master!$A:$O,15,FALSE())/100</f>
        <v>#N/A</v>
      </c>
      <c r="J1198" s="4" t="e">
        <f>E1198*VLOOKUP(B1198,alimentos_master!$A:$R,18,FALSE())/100</f>
        <v>#N/A</v>
      </c>
    </row>
    <row r="1199" spans="1:10" ht="15" customHeight="1" x14ac:dyDescent="0.2">
      <c r="A1199" s="4">
        <v>1198</v>
      </c>
      <c r="B1199" s="4">
        <v>300</v>
      </c>
      <c r="C1199" s="4" t="s">
        <v>409</v>
      </c>
      <c r="D1199" s="4" t="s">
        <v>918</v>
      </c>
      <c r="E1199" s="4">
        <v>100</v>
      </c>
      <c r="F1199" s="4" t="s">
        <v>917</v>
      </c>
      <c r="G1199" s="4" t="e">
        <f>E1199*VLOOKUP(B1199,alimentos_master!$A:$M,13,FALSE())/100</f>
        <v>#N/A</v>
      </c>
      <c r="H1199" s="4" t="e">
        <f>E1199*VLOOKUP(B1199,alimentos_master!$A:$N,14,FALSE())/100</f>
        <v>#N/A</v>
      </c>
      <c r="I1199" s="4" t="e">
        <f>E1199*VLOOKUP(B1199,alimentos_master!$A:$O,15,FALSE())/100</f>
        <v>#N/A</v>
      </c>
      <c r="J1199" s="4" t="e">
        <f>E1199*VLOOKUP(B1199,alimentos_master!$A:$R,18,FALSE())/100</f>
        <v>#N/A</v>
      </c>
    </row>
    <row r="1200" spans="1:10" ht="15" customHeight="1" x14ac:dyDescent="0.2">
      <c r="A1200" s="4">
        <v>1199</v>
      </c>
      <c r="B1200" s="4">
        <v>300</v>
      </c>
      <c r="C1200" s="4" t="s">
        <v>409</v>
      </c>
      <c r="D1200" s="4" t="s">
        <v>919</v>
      </c>
      <c r="E1200" s="4">
        <v>150</v>
      </c>
      <c r="F1200" s="4" t="s">
        <v>917</v>
      </c>
      <c r="G1200" s="4" t="e">
        <f>E1200*VLOOKUP(B1200,alimentos_master!$A:$M,13,FALSE())/100</f>
        <v>#N/A</v>
      </c>
      <c r="H1200" s="4" t="e">
        <f>E1200*VLOOKUP(B1200,alimentos_master!$A:$N,14,FALSE())/100</f>
        <v>#N/A</v>
      </c>
      <c r="I1200" s="4" t="e">
        <f>E1200*VLOOKUP(B1200,alimentos_master!$A:$O,15,FALSE())/100</f>
        <v>#N/A</v>
      </c>
      <c r="J1200" s="4" t="e">
        <f>E1200*VLOOKUP(B1200,alimentos_master!$A:$R,18,FALSE())/100</f>
        <v>#N/A</v>
      </c>
    </row>
    <row r="1201" spans="1:10" ht="15" customHeight="1" x14ac:dyDescent="0.2">
      <c r="A1201" s="4">
        <v>1200</v>
      </c>
      <c r="B1201" s="4">
        <v>300</v>
      </c>
      <c r="C1201" s="4" t="s">
        <v>409</v>
      </c>
      <c r="D1201" s="4" t="s">
        <v>920</v>
      </c>
      <c r="E1201" s="4">
        <v>200</v>
      </c>
      <c r="F1201" s="4" t="s">
        <v>917</v>
      </c>
      <c r="G1201" s="4" t="e">
        <f>E1201*VLOOKUP(B1201,alimentos_master!$A:$M,13,FALSE())/100</f>
        <v>#N/A</v>
      </c>
      <c r="H1201" s="4" t="e">
        <f>E1201*VLOOKUP(B1201,alimentos_master!$A:$N,14,FALSE())/100</f>
        <v>#N/A</v>
      </c>
      <c r="I1201" s="4" t="e">
        <f>E1201*VLOOKUP(B1201,alimentos_master!$A:$O,15,FALSE())/100</f>
        <v>#N/A</v>
      </c>
      <c r="J1201" s="4" t="e">
        <f>E1201*VLOOKUP(B1201,alimentos_master!$A:$R,18,FALSE())/100</f>
        <v>#N/A</v>
      </c>
    </row>
    <row r="1202" spans="1:10" ht="15" customHeight="1" x14ac:dyDescent="0.2">
      <c r="A1202" s="4">
        <v>1201</v>
      </c>
      <c r="B1202" s="4">
        <v>1201</v>
      </c>
      <c r="C1202" s="4" t="s">
        <v>538</v>
      </c>
      <c r="D1202" s="4" t="s">
        <v>921</v>
      </c>
      <c r="E1202" s="4">
        <v>30</v>
      </c>
      <c r="F1202" s="4" t="s">
        <v>917</v>
      </c>
      <c r="G1202" s="4"/>
      <c r="H1202" s="4"/>
      <c r="I1202" s="4"/>
      <c r="J1202" s="4"/>
    </row>
    <row r="1203" spans="1:10" ht="15" customHeight="1" x14ac:dyDescent="0.2">
      <c r="A1203" s="4">
        <v>1202</v>
      </c>
      <c r="B1203" s="4">
        <v>1201</v>
      </c>
      <c r="C1203" s="4" t="s">
        <v>538</v>
      </c>
      <c r="D1203" s="4" t="s">
        <v>922</v>
      </c>
      <c r="E1203" s="4">
        <v>50</v>
      </c>
      <c r="F1203" s="4" t="s">
        <v>917</v>
      </c>
      <c r="G1203" s="4"/>
      <c r="H1203" s="4"/>
      <c r="I1203" s="4"/>
      <c r="J1203" s="4"/>
    </row>
    <row r="1204" spans="1:10" ht="15" customHeight="1" x14ac:dyDescent="0.2">
      <c r="A1204" s="4">
        <v>1203</v>
      </c>
      <c r="B1204" s="4">
        <v>1201</v>
      </c>
      <c r="C1204" s="4" t="s">
        <v>538</v>
      </c>
      <c r="D1204" s="4" t="s">
        <v>923</v>
      </c>
      <c r="E1204" s="4">
        <v>60</v>
      </c>
      <c r="F1204" s="4" t="s">
        <v>917</v>
      </c>
      <c r="G1204" s="4"/>
      <c r="H1204" s="4"/>
      <c r="I1204" s="4"/>
      <c r="J1204" s="4"/>
    </row>
    <row r="1205" spans="1:10" ht="15" customHeight="1" x14ac:dyDescent="0.2">
      <c r="A1205" s="4">
        <v>1204</v>
      </c>
      <c r="B1205" s="4">
        <v>1201</v>
      </c>
      <c r="C1205" s="4" t="s">
        <v>538</v>
      </c>
      <c r="D1205" s="4" t="s">
        <v>924</v>
      </c>
      <c r="E1205" s="4">
        <v>75</v>
      </c>
      <c r="F1205" s="4" t="s">
        <v>917</v>
      </c>
      <c r="G1205" s="4"/>
      <c r="H1205" s="4"/>
      <c r="I1205" s="4"/>
      <c r="J1205" s="4"/>
    </row>
    <row r="1206" spans="1:10" ht="15" customHeight="1" x14ac:dyDescent="0.2">
      <c r="A1206" s="4">
        <v>1205</v>
      </c>
      <c r="B1206" s="4">
        <v>1202</v>
      </c>
      <c r="C1206" s="4" t="s">
        <v>542</v>
      </c>
      <c r="D1206" s="4" t="s">
        <v>921</v>
      </c>
      <c r="E1206" s="4">
        <v>30</v>
      </c>
      <c r="F1206" s="4" t="s">
        <v>917</v>
      </c>
      <c r="G1206" s="4"/>
      <c r="H1206" s="4"/>
      <c r="I1206" s="4"/>
      <c r="J1206" s="4"/>
    </row>
    <row r="1207" spans="1:10" ht="15" customHeight="1" x14ac:dyDescent="0.2">
      <c r="A1207" s="4">
        <v>1206</v>
      </c>
      <c r="B1207" s="4">
        <v>1202</v>
      </c>
      <c r="C1207" s="4" t="s">
        <v>542</v>
      </c>
      <c r="D1207" s="4" t="s">
        <v>922</v>
      </c>
      <c r="E1207" s="4">
        <v>50</v>
      </c>
      <c r="F1207" s="4" t="s">
        <v>917</v>
      </c>
      <c r="G1207" s="4"/>
      <c r="H1207" s="4"/>
      <c r="I1207" s="4"/>
      <c r="J1207" s="4"/>
    </row>
    <row r="1208" spans="1:10" ht="15" customHeight="1" x14ac:dyDescent="0.2">
      <c r="A1208" s="4">
        <v>1207</v>
      </c>
      <c r="B1208" s="4">
        <v>1202</v>
      </c>
      <c r="C1208" s="4" t="s">
        <v>542</v>
      </c>
      <c r="D1208" s="4" t="s">
        <v>923</v>
      </c>
      <c r="E1208" s="4">
        <v>60</v>
      </c>
      <c r="F1208" s="4" t="s">
        <v>917</v>
      </c>
      <c r="G1208" s="4"/>
      <c r="H1208" s="4"/>
      <c r="I1208" s="4"/>
      <c r="J1208" s="4"/>
    </row>
    <row r="1209" spans="1:10" ht="15" customHeight="1" x14ac:dyDescent="0.2">
      <c r="A1209" s="4">
        <v>1208</v>
      </c>
      <c r="B1209" s="4">
        <v>1202</v>
      </c>
      <c r="C1209" s="4" t="s">
        <v>542</v>
      </c>
      <c r="D1209" s="4" t="s">
        <v>924</v>
      </c>
      <c r="E1209" s="4">
        <v>75</v>
      </c>
      <c r="F1209" s="4" t="s">
        <v>917</v>
      </c>
      <c r="G1209" s="4"/>
      <c r="H1209" s="4"/>
      <c r="I1209" s="4"/>
      <c r="J1209" s="4"/>
    </row>
    <row r="1210" spans="1:10" ht="15" customHeight="1" x14ac:dyDescent="0.2">
      <c r="A1210" s="4">
        <v>1209</v>
      </c>
      <c r="B1210" s="4">
        <v>1203</v>
      </c>
      <c r="C1210" s="4" t="s">
        <v>543</v>
      </c>
      <c r="D1210" s="4" t="s">
        <v>921</v>
      </c>
      <c r="E1210" s="4">
        <v>30</v>
      </c>
      <c r="F1210" s="4" t="s">
        <v>917</v>
      </c>
      <c r="G1210" s="4"/>
      <c r="H1210" s="4"/>
      <c r="I1210" s="4"/>
      <c r="J1210" s="4"/>
    </row>
    <row r="1211" spans="1:10" ht="15" customHeight="1" x14ac:dyDescent="0.2">
      <c r="A1211" s="4">
        <v>1210</v>
      </c>
      <c r="B1211" s="4">
        <v>1203</v>
      </c>
      <c r="C1211" s="4" t="s">
        <v>543</v>
      </c>
      <c r="D1211" s="4" t="s">
        <v>922</v>
      </c>
      <c r="E1211" s="4">
        <v>50</v>
      </c>
      <c r="F1211" s="4" t="s">
        <v>917</v>
      </c>
      <c r="G1211" s="4"/>
      <c r="H1211" s="4"/>
      <c r="I1211" s="4"/>
      <c r="J1211" s="4"/>
    </row>
    <row r="1212" spans="1:10" ht="15" customHeight="1" x14ac:dyDescent="0.2">
      <c r="A1212" s="4">
        <v>1211</v>
      </c>
      <c r="B1212" s="4">
        <v>1203</v>
      </c>
      <c r="C1212" s="4" t="s">
        <v>543</v>
      </c>
      <c r="D1212" s="4" t="s">
        <v>923</v>
      </c>
      <c r="E1212" s="4">
        <v>60</v>
      </c>
      <c r="F1212" s="4" t="s">
        <v>917</v>
      </c>
      <c r="G1212" s="4"/>
      <c r="H1212" s="4"/>
      <c r="I1212" s="4"/>
      <c r="J1212" s="4"/>
    </row>
    <row r="1213" spans="1:10" ht="15" customHeight="1" x14ac:dyDescent="0.2">
      <c r="A1213" s="4">
        <v>1212</v>
      </c>
      <c r="B1213" s="4">
        <v>1203</v>
      </c>
      <c r="C1213" s="4" t="s">
        <v>543</v>
      </c>
      <c r="D1213" s="4" t="s">
        <v>924</v>
      </c>
      <c r="E1213" s="4">
        <v>75</v>
      </c>
      <c r="F1213" s="4" t="s">
        <v>917</v>
      </c>
      <c r="G1213" s="4"/>
      <c r="H1213" s="4"/>
      <c r="I1213" s="4"/>
      <c r="J1213" s="4"/>
    </row>
    <row r="1214" spans="1:10" ht="15" customHeight="1" x14ac:dyDescent="0.2">
      <c r="A1214" s="4">
        <v>1213</v>
      </c>
      <c r="B1214" s="4">
        <v>1204</v>
      </c>
      <c r="C1214" s="4" t="s">
        <v>544</v>
      </c>
      <c r="D1214" s="4" t="s">
        <v>921</v>
      </c>
      <c r="E1214" s="4">
        <v>30</v>
      </c>
      <c r="F1214" s="4" t="s">
        <v>917</v>
      </c>
      <c r="G1214" s="4"/>
      <c r="H1214" s="4"/>
      <c r="I1214" s="4"/>
      <c r="J1214" s="4"/>
    </row>
    <row r="1215" spans="1:10" ht="15" customHeight="1" x14ac:dyDescent="0.2">
      <c r="A1215" s="4">
        <v>1214</v>
      </c>
      <c r="B1215" s="4">
        <v>1204</v>
      </c>
      <c r="C1215" s="4" t="s">
        <v>544</v>
      </c>
      <c r="D1215" s="4" t="s">
        <v>922</v>
      </c>
      <c r="E1215" s="4">
        <v>50</v>
      </c>
      <c r="F1215" s="4" t="s">
        <v>917</v>
      </c>
      <c r="G1215" s="4"/>
      <c r="H1215" s="4"/>
      <c r="I1215" s="4"/>
      <c r="J1215" s="4"/>
    </row>
    <row r="1216" spans="1:10" ht="15" customHeight="1" x14ac:dyDescent="0.2">
      <c r="A1216" s="4">
        <v>1215</v>
      </c>
      <c r="B1216" s="4">
        <v>1204</v>
      </c>
      <c r="C1216" s="4" t="s">
        <v>544</v>
      </c>
      <c r="D1216" s="4" t="s">
        <v>923</v>
      </c>
      <c r="E1216" s="4">
        <v>60</v>
      </c>
      <c r="F1216" s="4" t="s">
        <v>917</v>
      </c>
      <c r="G1216" s="4"/>
      <c r="H1216" s="4"/>
      <c r="I1216" s="4"/>
      <c r="J1216" s="4"/>
    </row>
    <row r="1217" spans="1:10" ht="15" customHeight="1" x14ac:dyDescent="0.2">
      <c r="A1217" s="4">
        <v>1216</v>
      </c>
      <c r="B1217" s="4">
        <v>1204</v>
      </c>
      <c r="C1217" s="4" t="s">
        <v>544</v>
      </c>
      <c r="D1217" s="4" t="s">
        <v>924</v>
      </c>
      <c r="E1217" s="4">
        <v>75</v>
      </c>
      <c r="F1217" s="4" t="s">
        <v>917</v>
      </c>
      <c r="G1217" s="4"/>
      <c r="H1217" s="4"/>
      <c r="I1217" s="4"/>
      <c r="J1217" s="4"/>
    </row>
    <row r="1218" spans="1:10" ht="15" customHeight="1" x14ac:dyDescent="0.2">
      <c r="A1218" s="4">
        <v>1217</v>
      </c>
      <c r="B1218" s="4">
        <v>1205</v>
      </c>
      <c r="C1218" s="4" t="s">
        <v>545</v>
      </c>
      <c r="D1218" s="4" t="s">
        <v>921</v>
      </c>
      <c r="E1218" s="4">
        <v>30</v>
      </c>
      <c r="F1218" s="4" t="s">
        <v>917</v>
      </c>
      <c r="G1218" s="4"/>
      <c r="H1218" s="4"/>
      <c r="I1218" s="4"/>
      <c r="J1218" s="4"/>
    </row>
    <row r="1219" spans="1:10" ht="15" customHeight="1" x14ac:dyDescent="0.2">
      <c r="A1219" s="4">
        <v>1218</v>
      </c>
      <c r="B1219" s="4">
        <v>1205</v>
      </c>
      <c r="C1219" s="4" t="s">
        <v>545</v>
      </c>
      <c r="D1219" s="4" t="s">
        <v>922</v>
      </c>
      <c r="E1219" s="4">
        <v>50</v>
      </c>
      <c r="F1219" s="4" t="s">
        <v>917</v>
      </c>
      <c r="G1219" s="4"/>
      <c r="H1219" s="4"/>
      <c r="I1219" s="4"/>
      <c r="J1219" s="4"/>
    </row>
    <row r="1220" spans="1:10" ht="15" customHeight="1" x14ac:dyDescent="0.2">
      <c r="A1220" s="4">
        <v>1219</v>
      </c>
      <c r="B1220" s="4">
        <v>1205</v>
      </c>
      <c r="C1220" s="4" t="s">
        <v>545</v>
      </c>
      <c r="D1220" s="4" t="s">
        <v>923</v>
      </c>
      <c r="E1220" s="4">
        <v>60</v>
      </c>
      <c r="F1220" s="4" t="s">
        <v>917</v>
      </c>
      <c r="G1220" s="4"/>
      <c r="H1220" s="4"/>
      <c r="I1220" s="4"/>
      <c r="J1220" s="4"/>
    </row>
    <row r="1221" spans="1:10" ht="15" customHeight="1" x14ac:dyDescent="0.2">
      <c r="A1221" s="4">
        <v>1220</v>
      </c>
      <c r="B1221" s="4">
        <v>1205</v>
      </c>
      <c r="C1221" s="4" t="s">
        <v>545</v>
      </c>
      <c r="D1221" s="4" t="s">
        <v>924</v>
      </c>
      <c r="E1221" s="4">
        <v>75</v>
      </c>
      <c r="F1221" s="4" t="s">
        <v>917</v>
      </c>
      <c r="G1221" s="4"/>
      <c r="H1221" s="4"/>
      <c r="I1221" s="4"/>
      <c r="J1221" s="4"/>
    </row>
    <row r="1222" spans="1:10" ht="15" customHeight="1" x14ac:dyDescent="0.2">
      <c r="A1222" s="4">
        <v>1221</v>
      </c>
      <c r="B1222" s="4">
        <v>1206</v>
      </c>
      <c r="C1222" s="4" t="s">
        <v>546</v>
      </c>
      <c r="D1222" s="4" t="s">
        <v>921</v>
      </c>
      <c r="E1222" s="4">
        <v>30</v>
      </c>
      <c r="F1222" s="4" t="s">
        <v>917</v>
      </c>
      <c r="G1222" s="4"/>
      <c r="H1222" s="4"/>
      <c r="I1222" s="4"/>
      <c r="J1222" s="4"/>
    </row>
    <row r="1223" spans="1:10" ht="15" customHeight="1" x14ac:dyDescent="0.2">
      <c r="A1223" s="4">
        <v>1222</v>
      </c>
      <c r="B1223" s="4">
        <v>1206</v>
      </c>
      <c r="C1223" s="4" t="s">
        <v>546</v>
      </c>
      <c r="D1223" s="4" t="s">
        <v>922</v>
      </c>
      <c r="E1223" s="4">
        <v>50</v>
      </c>
      <c r="F1223" s="4" t="s">
        <v>917</v>
      </c>
      <c r="G1223" s="4"/>
      <c r="H1223" s="4"/>
      <c r="I1223" s="4"/>
      <c r="J1223" s="4"/>
    </row>
    <row r="1224" spans="1:10" ht="15" customHeight="1" x14ac:dyDescent="0.2">
      <c r="A1224" s="4">
        <v>1223</v>
      </c>
      <c r="B1224" s="4">
        <v>1206</v>
      </c>
      <c r="C1224" s="4" t="s">
        <v>546</v>
      </c>
      <c r="D1224" s="4" t="s">
        <v>923</v>
      </c>
      <c r="E1224" s="4">
        <v>60</v>
      </c>
      <c r="F1224" s="4" t="s">
        <v>917</v>
      </c>
      <c r="G1224" s="4"/>
      <c r="H1224" s="4"/>
      <c r="I1224" s="4"/>
      <c r="J1224" s="4"/>
    </row>
    <row r="1225" spans="1:10" ht="15" customHeight="1" x14ac:dyDescent="0.2">
      <c r="A1225" s="4">
        <v>1224</v>
      </c>
      <c r="B1225" s="4">
        <v>1206</v>
      </c>
      <c r="C1225" s="4" t="s">
        <v>546</v>
      </c>
      <c r="D1225" s="4" t="s">
        <v>924</v>
      </c>
      <c r="E1225" s="4">
        <v>75</v>
      </c>
      <c r="F1225" s="4" t="s">
        <v>917</v>
      </c>
      <c r="G1225" s="4"/>
      <c r="H1225" s="4"/>
      <c r="I1225" s="4"/>
      <c r="J1225" s="4"/>
    </row>
    <row r="1226" spans="1:10" ht="15" customHeight="1" x14ac:dyDescent="0.2">
      <c r="A1226" s="4">
        <v>1225</v>
      </c>
      <c r="B1226" s="4">
        <v>1207</v>
      </c>
      <c r="C1226" s="4" t="s">
        <v>547</v>
      </c>
      <c r="D1226" s="4" t="s">
        <v>921</v>
      </c>
      <c r="E1226" s="4">
        <v>30</v>
      </c>
      <c r="F1226" s="4" t="s">
        <v>917</v>
      </c>
      <c r="G1226" s="4"/>
      <c r="H1226" s="4"/>
      <c r="I1226" s="4"/>
      <c r="J1226" s="4"/>
    </row>
    <row r="1227" spans="1:10" ht="15" customHeight="1" x14ac:dyDescent="0.2">
      <c r="A1227" s="4">
        <v>1226</v>
      </c>
      <c r="B1227" s="4">
        <v>1207</v>
      </c>
      <c r="C1227" s="4" t="s">
        <v>547</v>
      </c>
      <c r="D1227" s="4" t="s">
        <v>922</v>
      </c>
      <c r="E1227" s="4">
        <v>50</v>
      </c>
      <c r="F1227" s="4" t="s">
        <v>917</v>
      </c>
      <c r="G1227" s="4"/>
      <c r="H1227" s="4"/>
      <c r="I1227" s="4"/>
      <c r="J1227" s="4"/>
    </row>
    <row r="1228" spans="1:10" ht="15" customHeight="1" x14ac:dyDescent="0.2">
      <c r="A1228" s="4">
        <v>1227</v>
      </c>
      <c r="B1228" s="4">
        <v>1207</v>
      </c>
      <c r="C1228" s="4" t="s">
        <v>547</v>
      </c>
      <c r="D1228" s="4" t="s">
        <v>923</v>
      </c>
      <c r="E1228" s="4">
        <v>60</v>
      </c>
      <c r="F1228" s="4" t="s">
        <v>917</v>
      </c>
      <c r="G1228" s="4"/>
      <c r="H1228" s="4"/>
      <c r="I1228" s="4"/>
      <c r="J1228" s="4"/>
    </row>
    <row r="1229" spans="1:10" ht="15" customHeight="1" x14ac:dyDescent="0.2">
      <c r="A1229" s="4">
        <v>1228</v>
      </c>
      <c r="B1229" s="4">
        <v>1207</v>
      </c>
      <c r="C1229" s="4" t="s">
        <v>547</v>
      </c>
      <c r="D1229" s="4" t="s">
        <v>924</v>
      </c>
      <c r="E1229" s="4">
        <v>75</v>
      </c>
      <c r="F1229" s="4" t="s">
        <v>917</v>
      </c>
      <c r="G1229" s="4"/>
      <c r="H1229" s="4"/>
      <c r="I1229" s="4"/>
      <c r="J1229" s="4"/>
    </row>
    <row r="1230" spans="1:10" ht="15" customHeight="1" x14ac:dyDescent="0.2">
      <c r="A1230" s="4">
        <v>1229</v>
      </c>
      <c r="B1230" s="4">
        <v>1208</v>
      </c>
      <c r="C1230" s="4" t="s">
        <v>548</v>
      </c>
      <c r="D1230" s="4" t="s">
        <v>921</v>
      </c>
      <c r="E1230" s="4">
        <v>30</v>
      </c>
      <c r="F1230" s="4" t="s">
        <v>917</v>
      </c>
      <c r="G1230" s="4"/>
      <c r="H1230" s="4"/>
      <c r="I1230" s="4"/>
      <c r="J1230" s="4"/>
    </row>
    <row r="1231" spans="1:10" ht="15" customHeight="1" x14ac:dyDescent="0.2">
      <c r="A1231" s="4">
        <v>1230</v>
      </c>
      <c r="B1231" s="4">
        <v>1208</v>
      </c>
      <c r="C1231" s="4" t="s">
        <v>548</v>
      </c>
      <c r="D1231" s="4" t="s">
        <v>922</v>
      </c>
      <c r="E1231" s="4">
        <v>50</v>
      </c>
      <c r="F1231" s="4" t="s">
        <v>917</v>
      </c>
      <c r="G1231" s="4"/>
      <c r="H1231" s="4"/>
      <c r="I1231" s="4"/>
      <c r="J1231" s="4"/>
    </row>
    <row r="1232" spans="1:10" ht="15" customHeight="1" x14ac:dyDescent="0.2">
      <c r="A1232" s="4">
        <v>1231</v>
      </c>
      <c r="B1232" s="4">
        <v>1208</v>
      </c>
      <c r="C1232" s="4" t="s">
        <v>548</v>
      </c>
      <c r="D1232" s="4" t="s">
        <v>923</v>
      </c>
      <c r="E1232" s="4">
        <v>60</v>
      </c>
      <c r="F1232" s="4" t="s">
        <v>917</v>
      </c>
      <c r="G1232" s="4"/>
      <c r="H1232" s="4"/>
      <c r="I1232" s="4"/>
      <c r="J1232" s="4"/>
    </row>
    <row r="1233" spans="1:10" ht="15" customHeight="1" x14ac:dyDescent="0.2">
      <c r="A1233" s="4">
        <v>1232</v>
      </c>
      <c r="B1233" s="4">
        <v>1208</v>
      </c>
      <c r="C1233" s="4" t="s">
        <v>548</v>
      </c>
      <c r="D1233" s="4" t="s">
        <v>924</v>
      </c>
      <c r="E1233" s="4">
        <v>75</v>
      </c>
      <c r="F1233" s="4" t="s">
        <v>917</v>
      </c>
      <c r="G1233" s="4"/>
      <c r="H1233" s="4"/>
      <c r="I1233" s="4"/>
      <c r="J1233" s="4"/>
    </row>
    <row r="1234" spans="1:10" ht="15" customHeight="1" x14ac:dyDescent="0.2">
      <c r="A1234" s="4">
        <v>1233</v>
      </c>
      <c r="B1234" s="4">
        <v>1209</v>
      </c>
      <c r="C1234" s="4" t="s">
        <v>549</v>
      </c>
      <c r="D1234" s="4" t="s">
        <v>921</v>
      </c>
      <c r="E1234" s="4">
        <v>30</v>
      </c>
      <c r="F1234" s="4" t="s">
        <v>917</v>
      </c>
      <c r="G1234" s="4"/>
      <c r="H1234" s="4"/>
      <c r="I1234" s="4"/>
      <c r="J1234" s="4"/>
    </row>
    <row r="1235" spans="1:10" ht="15" customHeight="1" x14ac:dyDescent="0.2">
      <c r="A1235" s="4">
        <v>1234</v>
      </c>
      <c r="B1235" s="4">
        <v>1209</v>
      </c>
      <c r="C1235" s="4" t="s">
        <v>549</v>
      </c>
      <c r="D1235" s="4" t="s">
        <v>922</v>
      </c>
      <c r="E1235" s="4">
        <v>50</v>
      </c>
      <c r="F1235" s="4" t="s">
        <v>917</v>
      </c>
      <c r="G1235" s="4"/>
      <c r="H1235" s="4"/>
      <c r="I1235" s="4"/>
      <c r="J1235" s="4"/>
    </row>
    <row r="1236" spans="1:10" ht="15" customHeight="1" x14ac:dyDescent="0.2">
      <c r="A1236" s="4">
        <v>1235</v>
      </c>
      <c r="B1236" s="4">
        <v>1209</v>
      </c>
      <c r="C1236" s="4" t="s">
        <v>549</v>
      </c>
      <c r="D1236" s="4" t="s">
        <v>923</v>
      </c>
      <c r="E1236" s="4">
        <v>60</v>
      </c>
      <c r="F1236" s="4" t="s">
        <v>917</v>
      </c>
      <c r="G1236" s="4"/>
      <c r="H1236" s="4"/>
      <c r="I1236" s="4"/>
      <c r="J1236" s="4"/>
    </row>
    <row r="1237" spans="1:10" ht="15" customHeight="1" x14ac:dyDescent="0.2">
      <c r="A1237" s="4">
        <v>1236</v>
      </c>
      <c r="B1237" s="4">
        <v>1209</v>
      </c>
      <c r="C1237" s="4" t="s">
        <v>549</v>
      </c>
      <c r="D1237" s="4" t="s">
        <v>924</v>
      </c>
      <c r="E1237" s="4">
        <v>75</v>
      </c>
      <c r="F1237" s="4" t="s">
        <v>917</v>
      </c>
      <c r="G1237" s="4"/>
      <c r="H1237" s="4"/>
      <c r="I1237" s="4"/>
      <c r="J1237" s="4"/>
    </row>
    <row r="1238" spans="1:10" ht="15" customHeight="1" x14ac:dyDescent="0.2">
      <c r="A1238" s="4">
        <v>1237</v>
      </c>
      <c r="B1238" s="4">
        <v>1210</v>
      </c>
      <c r="C1238" s="4" t="s">
        <v>550</v>
      </c>
      <c r="D1238" s="4" t="s">
        <v>921</v>
      </c>
      <c r="E1238" s="4">
        <v>30</v>
      </c>
      <c r="F1238" s="4" t="s">
        <v>917</v>
      </c>
      <c r="G1238" s="4"/>
      <c r="H1238" s="4"/>
      <c r="I1238" s="4"/>
      <c r="J1238" s="4"/>
    </row>
    <row r="1239" spans="1:10" ht="15" customHeight="1" x14ac:dyDescent="0.2">
      <c r="A1239" s="4">
        <v>1238</v>
      </c>
      <c r="B1239" s="4">
        <v>1210</v>
      </c>
      <c r="C1239" s="4" t="s">
        <v>550</v>
      </c>
      <c r="D1239" s="4" t="s">
        <v>922</v>
      </c>
      <c r="E1239" s="4">
        <v>50</v>
      </c>
      <c r="F1239" s="4" t="s">
        <v>917</v>
      </c>
      <c r="G1239" s="4"/>
      <c r="H1239" s="4"/>
      <c r="I1239" s="4"/>
      <c r="J1239" s="4"/>
    </row>
    <row r="1240" spans="1:10" ht="15" customHeight="1" x14ac:dyDescent="0.2">
      <c r="A1240" s="4">
        <v>1239</v>
      </c>
      <c r="B1240" s="4">
        <v>1210</v>
      </c>
      <c r="C1240" s="4" t="s">
        <v>550</v>
      </c>
      <c r="D1240" s="4" t="s">
        <v>923</v>
      </c>
      <c r="E1240" s="4">
        <v>60</v>
      </c>
      <c r="F1240" s="4" t="s">
        <v>917</v>
      </c>
      <c r="G1240" s="4"/>
      <c r="H1240" s="4"/>
      <c r="I1240" s="4"/>
      <c r="J1240" s="4"/>
    </row>
    <row r="1241" spans="1:10" ht="15" customHeight="1" x14ac:dyDescent="0.2">
      <c r="A1241" s="4">
        <v>1240</v>
      </c>
      <c r="B1241" s="4">
        <v>1210</v>
      </c>
      <c r="C1241" s="4" t="s">
        <v>550</v>
      </c>
      <c r="D1241" s="4" t="s">
        <v>924</v>
      </c>
      <c r="E1241" s="4">
        <v>75</v>
      </c>
      <c r="F1241" s="4" t="s">
        <v>917</v>
      </c>
      <c r="G1241" s="4"/>
      <c r="H1241" s="4"/>
      <c r="I1241" s="4"/>
      <c r="J1241" s="4"/>
    </row>
    <row r="1242" spans="1:10" ht="15" customHeight="1" x14ac:dyDescent="0.2">
      <c r="A1242" s="4">
        <v>1241</v>
      </c>
      <c r="B1242" s="4">
        <v>1211</v>
      </c>
      <c r="C1242" s="4" t="s">
        <v>551</v>
      </c>
      <c r="D1242" s="4" t="s">
        <v>921</v>
      </c>
      <c r="E1242" s="4">
        <v>30</v>
      </c>
      <c r="F1242" s="4" t="s">
        <v>917</v>
      </c>
      <c r="G1242" s="4"/>
      <c r="H1242" s="4"/>
      <c r="I1242" s="4"/>
      <c r="J1242" s="4"/>
    </row>
    <row r="1243" spans="1:10" ht="15" customHeight="1" x14ac:dyDescent="0.2">
      <c r="A1243" s="4">
        <v>1242</v>
      </c>
      <c r="B1243" s="4">
        <v>1211</v>
      </c>
      <c r="C1243" s="4" t="s">
        <v>551</v>
      </c>
      <c r="D1243" s="4" t="s">
        <v>922</v>
      </c>
      <c r="E1243" s="4">
        <v>50</v>
      </c>
      <c r="F1243" s="4" t="s">
        <v>917</v>
      </c>
      <c r="G1243" s="4"/>
      <c r="H1243" s="4"/>
      <c r="I1243" s="4"/>
      <c r="J1243" s="4"/>
    </row>
    <row r="1244" spans="1:10" ht="15" customHeight="1" x14ac:dyDescent="0.2">
      <c r="A1244" s="4">
        <v>1243</v>
      </c>
      <c r="B1244" s="4">
        <v>1211</v>
      </c>
      <c r="C1244" s="4" t="s">
        <v>551</v>
      </c>
      <c r="D1244" s="4" t="s">
        <v>923</v>
      </c>
      <c r="E1244" s="4">
        <v>60</v>
      </c>
      <c r="F1244" s="4" t="s">
        <v>917</v>
      </c>
      <c r="G1244" s="4"/>
      <c r="H1244" s="4"/>
      <c r="I1244" s="4"/>
      <c r="J1244" s="4"/>
    </row>
    <row r="1245" spans="1:10" ht="15" customHeight="1" x14ac:dyDescent="0.2">
      <c r="A1245" s="4">
        <v>1244</v>
      </c>
      <c r="B1245" s="4">
        <v>1211</v>
      </c>
      <c r="C1245" s="4" t="s">
        <v>551</v>
      </c>
      <c r="D1245" s="4" t="s">
        <v>924</v>
      </c>
      <c r="E1245" s="4">
        <v>75</v>
      </c>
      <c r="F1245" s="4" t="s">
        <v>917</v>
      </c>
      <c r="G1245" s="4"/>
      <c r="H1245" s="4"/>
      <c r="I1245" s="4"/>
      <c r="J1245" s="4"/>
    </row>
    <row r="1246" spans="1:10" ht="15" customHeight="1" x14ac:dyDescent="0.2">
      <c r="A1246" s="4">
        <v>1245</v>
      </c>
      <c r="B1246" s="4">
        <v>1212</v>
      </c>
      <c r="C1246" s="4" t="s">
        <v>552</v>
      </c>
      <c r="D1246" s="4" t="s">
        <v>921</v>
      </c>
      <c r="E1246" s="4">
        <v>30</v>
      </c>
      <c r="F1246" s="4" t="s">
        <v>917</v>
      </c>
      <c r="G1246" s="4"/>
      <c r="H1246" s="4"/>
      <c r="I1246" s="4"/>
      <c r="J1246" s="4"/>
    </row>
    <row r="1247" spans="1:10" ht="15" customHeight="1" x14ac:dyDescent="0.2">
      <c r="A1247" s="4">
        <v>1246</v>
      </c>
      <c r="B1247" s="4">
        <v>1212</v>
      </c>
      <c r="C1247" s="4" t="s">
        <v>552</v>
      </c>
      <c r="D1247" s="4" t="s">
        <v>922</v>
      </c>
      <c r="E1247" s="4">
        <v>50</v>
      </c>
      <c r="F1247" s="4" t="s">
        <v>917</v>
      </c>
      <c r="G1247" s="4"/>
      <c r="H1247" s="4"/>
      <c r="I1247" s="4"/>
      <c r="J1247" s="4"/>
    </row>
    <row r="1248" spans="1:10" ht="15" customHeight="1" x14ac:dyDescent="0.2">
      <c r="A1248" s="4">
        <v>1247</v>
      </c>
      <c r="B1248" s="4">
        <v>1212</v>
      </c>
      <c r="C1248" s="4" t="s">
        <v>552</v>
      </c>
      <c r="D1248" s="4" t="s">
        <v>923</v>
      </c>
      <c r="E1248" s="4">
        <v>60</v>
      </c>
      <c r="F1248" s="4" t="s">
        <v>917</v>
      </c>
      <c r="G1248" s="4"/>
      <c r="H1248" s="4"/>
      <c r="I1248" s="4"/>
      <c r="J1248" s="4"/>
    </row>
    <row r="1249" spans="1:10" ht="15" customHeight="1" x14ac:dyDescent="0.2">
      <c r="A1249" s="4">
        <v>1248</v>
      </c>
      <c r="B1249" s="4">
        <v>1212</v>
      </c>
      <c r="C1249" s="4" t="s">
        <v>552</v>
      </c>
      <c r="D1249" s="4" t="s">
        <v>924</v>
      </c>
      <c r="E1249" s="4">
        <v>75</v>
      </c>
      <c r="F1249" s="4" t="s">
        <v>917</v>
      </c>
      <c r="G1249" s="4"/>
      <c r="H1249" s="4"/>
      <c r="I1249" s="4"/>
      <c r="J1249" s="4"/>
    </row>
    <row r="1250" spans="1:10" ht="15" customHeight="1" x14ac:dyDescent="0.2">
      <c r="A1250" s="4">
        <v>1249</v>
      </c>
      <c r="B1250" s="4">
        <v>1213</v>
      </c>
      <c r="C1250" s="4" t="s">
        <v>553</v>
      </c>
      <c r="D1250" s="4" t="s">
        <v>921</v>
      </c>
      <c r="E1250" s="4">
        <v>30</v>
      </c>
      <c r="F1250" s="4" t="s">
        <v>917</v>
      </c>
      <c r="G1250" s="4"/>
      <c r="H1250" s="4"/>
      <c r="I1250" s="4"/>
      <c r="J1250" s="4"/>
    </row>
    <row r="1251" spans="1:10" ht="15" customHeight="1" x14ac:dyDescent="0.2">
      <c r="A1251" s="4">
        <v>1250</v>
      </c>
      <c r="B1251" s="4">
        <v>1213</v>
      </c>
      <c r="C1251" s="4" t="s">
        <v>553</v>
      </c>
      <c r="D1251" s="4" t="s">
        <v>922</v>
      </c>
      <c r="E1251" s="4">
        <v>50</v>
      </c>
      <c r="F1251" s="4" t="s">
        <v>917</v>
      </c>
      <c r="G1251" s="4"/>
      <c r="H1251" s="4"/>
      <c r="I1251" s="4"/>
      <c r="J1251" s="4"/>
    </row>
    <row r="1252" spans="1:10" ht="15" customHeight="1" x14ac:dyDescent="0.2">
      <c r="A1252" s="4">
        <v>1251</v>
      </c>
      <c r="B1252" s="4">
        <v>1213</v>
      </c>
      <c r="C1252" s="4" t="s">
        <v>553</v>
      </c>
      <c r="D1252" s="4" t="s">
        <v>923</v>
      </c>
      <c r="E1252" s="4">
        <v>60</v>
      </c>
      <c r="F1252" s="4" t="s">
        <v>917</v>
      </c>
      <c r="G1252" s="4"/>
      <c r="H1252" s="4"/>
      <c r="I1252" s="4"/>
      <c r="J1252" s="4"/>
    </row>
    <row r="1253" spans="1:10" ht="15" customHeight="1" x14ac:dyDescent="0.2">
      <c r="A1253" s="4">
        <v>1252</v>
      </c>
      <c r="B1253" s="4">
        <v>1213</v>
      </c>
      <c r="C1253" s="4" t="s">
        <v>553</v>
      </c>
      <c r="D1253" s="4" t="s">
        <v>924</v>
      </c>
      <c r="E1253" s="4">
        <v>75</v>
      </c>
      <c r="F1253" s="4" t="s">
        <v>917</v>
      </c>
      <c r="G1253" s="4"/>
      <c r="H1253" s="4"/>
      <c r="I1253" s="4"/>
      <c r="J1253" s="4"/>
    </row>
    <row r="1254" spans="1:10" ht="15" customHeight="1" x14ac:dyDescent="0.2">
      <c r="A1254" s="4">
        <v>1253</v>
      </c>
      <c r="B1254" s="4">
        <v>1214</v>
      </c>
      <c r="C1254" s="4" t="s">
        <v>554</v>
      </c>
      <c r="D1254" s="4" t="s">
        <v>921</v>
      </c>
      <c r="E1254" s="4">
        <v>30</v>
      </c>
      <c r="F1254" s="4" t="s">
        <v>917</v>
      </c>
      <c r="G1254" s="4"/>
      <c r="H1254" s="4"/>
      <c r="I1254" s="4"/>
      <c r="J1254" s="4"/>
    </row>
    <row r="1255" spans="1:10" ht="15" customHeight="1" x14ac:dyDescent="0.2">
      <c r="A1255" s="4">
        <v>1254</v>
      </c>
      <c r="B1255" s="4">
        <v>1214</v>
      </c>
      <c r="C1255" s="4" t="s">
        <v>554</v>
      </c>
      <c r="D1255" s="4" t="s">
        <v>922</v>
      </c>
      <c r="E1255" s="4">
        <v>50</v>
      </c>
      <c r="F1255" s="4" t="s">
        <v>917</v>
      </c>
      <c r="G1255" s="4"/>
      <c r="H1255" s="4"/>
      <c r="I1255" s="4"/>
      <c r="J1255" s="4"/>
    </row>
    <row r="1256" spans="1:10" ht="15" customHeight="1" x14ac:dyDescent="0.2">
      <c r="A1256" s="4">
        <v>1255</v>
      </c>
      <c r="B1256" s="4">
        <v>1214</v>
      </c>
      <c r="C1256" s="4" t="s">
        <v>554</v>
      </c>
      <c r="D1256" s="4" t="s">
        <v>923</v>
      </c>
      <c r="E1256" s="4">
        <v>60</v>
      </c>
      <c r="F1256" s="4" t="s">
        <v>917</v>
      </c>
      <c r="G1256" s="4"/>
      <c r="H1256" s="4"/>
      <c r="I1256" s="4"/>
      <c r="J1256" s="4"/>
    </row>
    <row r="1257" spans="1:10" ht="15" customHeight="1" x14ac:dyDescent="0.2">
      <c r="A1257" s="4">
        <v>1256</v>
      </c>
      <c r="B1257" s="4">
        <v>1214</v>
      </c>
      <c r="C1257" s="4" t="s">
        <v>554</v>
      </c>
      <c r="D1257" s="4" t="s">
        <v>924</v>
      </c>
      <c r="E1257" s="4">
        <v>75</v>
      </c>
      <c r="F1257" s="4" t="s">
        <v>917</v>
      </c>
      <c r="G1257" s="4"/>
      <c r="H1257" s="4"/>
      <c r="I1257" s="4"/>
      <c r="J1257" s="4"/>
    </row>
    <row r="1258" spans="1:10" ht="15" customHeight="1" x14ac:dyDescent="0.2">
      <c r="A1258" s="4">
        <v>1257</v>
      </c>
      <c r="B1258" s="4">
        <v>1215</v>
      </c>
      <c r="C1258" s="4" t="s">
        <v>555</v>
      </c>
      <c r="D1258" s="4" t="s">
        <v>921</v>
      </c>
      <c r="E1258" s="4">
        <v>30</v>
      </c>
      <c r="F1258" s="4" t="s">
        <v>917</v>
      </c>
      <c r="G1258" s="4"/>
      <c r="H1258" s="4"/>
      <c r="I1258" s="4"/>
      <c r="J1258" s="4"/>
    </row>
    <row r="1259" spans="1:10" ht="15" customHeight="1" x14ac:dyDescent="0.2">
      <c r="A1259" s="4">
        <v>1258</v>
      </c>
      <c r="B1259" s="4">
        <v>1215</v>
      </c>
      <c r="C1259" s="4" t="s">
        <v>555</v>
      </c>
      <c r="D1259" s="4" t="s">
        <v>922</v>
      </c>
      <c r="E1259" s="4">
        <v>50</v>
      </c>
      <c r="F1259" s="4" t="s">
        <v>917</v>
      </c>
      <c r="G1259" s="4"/>
      <c r="H1259" s="4"/>
      <c r="I1259" s="4"/>
      <c r="J1259" s="4"/>
    </row>
    <row r="1260" spans="1:10" ht="15" customHeight="1" x14ac:dyDescent="0.2">
      <c r="A1260" s="4">
        <v>1259</v>
      </c>
      <c r="B1260" s="4">
        <v>1215</v>
      </c>
      <c r="C1260" s="4" t="s">
        <v>555</v>
      </c>
      <c r="D1260" s="4" t="s">
        <v>923</v>
      </c>
      <c r="E1260" s="4">
        <v>60</v>
      </c>
      <c r="F1260" s="4" t="s">
        <v>917</v>
      </c>
      <c r="G1260" s="4"/>
      <c r="H1260" s="4"/>
      <c r="I1260" s="4"/>
      <c r="J1260" s="4"/>
    </row>
    <row r="1261" spans="1:10" ht="15" customHeight="1" x14ac:dyDescent="0.2">
      <c r="A1261" s="4">
        <v>1260</v>
      </c>
      <c r="B1261" s="4">
        <v>1215</v>
      </c>
      <c r="C1261" s="4" t="s">
        <v>555</v>
      </c>
      <c r="D1261" s="4" t="s">
        <v>924</v>
      </c>
      <c r="E1261" s="4">
        <v>75</v>
      </c>
      <c r="F1261" s="4" t="s">
        <v>917</v>
      </c>
      <c r="G1261" s="4"/>
      <c r="H1261" s="4"/>
      <c r="I1261" s="4"/>
      <c r="J1261" s="4"/>
    </row>
    <row r="1262" spans="1:10" ht="15" customHeight="1" x14ac:dyDescent="0.2">
      <c r="A1262" s="4">
        <v>1261</v>
      </c>
      <c r="B1262" s="4">
        <v>1216</v>
      </c>
      <c r="C1262" s="4" t="s">
        <v>556</v>
      </c>
      <c r="D1262" s="4" t="s">
        <v>921</v>
      </c>
      <c r="E1262" s="4">
        <v>30</v>
      </c>
      <c r="F1262" s="4" t="s">
        <v>917</v>
      </c>
      <c r="G1262" s="4"/>
      <c r="H1262" s="4"/>
      <c r="I1262" s="4"/>
      <c r="J1262" s="4"/>
    </row>
    <row r="1263" spans="1:10" ht="15" customHeight="1" x14ac:dyDescent="0.2">
      <c r="A1263" s="4">
        <v>1262</v>
      </c>
      <c r="B1263" s="4">
        <v>1216</v>
      </c>
      <c r="C1263" s="4" t="s">
        <v>556</v>
      </c>
      <c r="D1263" s="4" t="s">
        <v>922</v>
      </c>
      <c r="E1263" s="4">
        <v>50</v>
      </c>
      <c r="F1263" s="4" t="s">
        <v>917</v>
      </c>
      <c r="G1263" s="4"/>
      <c r="H1263" s="4"/>
      <c r="I1263" s="4"/>
      <c r="J1263" s="4"/>
    </row>
    <row r="1264" spans="1:10" ht="15" customHeight="1" x14ac:dyDescent="0.2">
      <c r="A1264" s="4">
        <v>1263</v>
      </c>
      <c r="B1264" s="4">
        <v>1216</v>
      </c>
      <c r="C1264" s="4" t="s">
        <v>556</v>
      </c>
      <c r="D1264" s="4" t="s">
        <v>923</v>
      </c>
      <c r="E1264" s="4">
        <v>60</v>
      </c>
      <c r="F1264" s="4" t="s">
        <v>917</v>
      </c>
      <c r="G1264" s="4"/>
      <c r="H1264" s="4"/>
      <c r="I1264" s="4"/>
      <c r="J1264" s="4"/>
    </row>
    <row r="1265" spans="1:10" ht="15" customHeight="1" x14ac:dyDescent="0.2">
      <c r="A1265" s="4">
        <v>1264</v>
      </c>
      <c r="B1265" s="4">
        <v>1216</v>
      </c>
      <c r="C1265" s="4" t="s">
        <v>556</v>
      </c>
      <c r="D1265" s="4" t="s">
        <v>924</v>
      </c>
      <c r="E1265" s="4">
        <v>75</v>
      </c>
      <c r="F1265" s="4" t="s">
        <v>917</v>
      </c>
      <c r="G1265" s="4"/>
      <c r="H1265" s="4"/>
      <c r="I1265" s="4"/>
      <c r="J1265" s="4"/>
    </row>
    <row r="1266" spans="1:10" ht="15" customHeight="1" x14ac:dyDescent="0.2">
      <c r="A1266" s="4">
        <v>1265</v>
      </c>
      <c r="B1266" s="4">
        <v>1217</v>
      </c>
      <c r="C1266" s="4" t="s">
        <v>558</v>
      </c>
      <c r="D1266" s="4" t="s">
        <v>921</v>
      </c>
      <c r="E1266" s="4">
        <v>30</v>
      </c>
      <c r="F1266" s="4" t="s">
        <v>917</v>
      </c>
      <c r="G1266" s="4"/>
      <c r="H1266" s="4"/>
      <c r="I1266" s="4"/>
      <c r="J1266" s="4"/>
    </row>
    <row r="1267" spans="1:10" ht="15" customHeight="1" x14ac:dyDescent="0.2">
      <c r="A1267" s="4">
        <v>1266</v>
      </c>
      <c r="B1267" s="4">
        <v>1217</v>
      </c>
      <c r="C1267" s="4" t="s">
        <v>558</v>
      </c>
      <c r="D1267" s="4" t="s">
        <v>922</v>
      </c>
      <c r="E1267" s="4">
        <v>50</v>
      </c>
      <c r="F1267" s="4" t="s">
        <v>917</v>
      </c>
      <c r="G1267" s="4"/>
      <c r="H1267" s="4"/>
      <c r="I1267" s="4"/>
      <c r="J1267" s="4"/>
    </row>
    <row r="1268" spans="1:10" ht="15" customHeight="1" x14ac:dyDescent="0.2">
      <c r="A1268" s="4">
        <v>1267</v>
      </c>
      <c r="B1268" s="4">
        <v>1217</v>
      </c>
      <c r="C1268" s="4" t="s">
        <v>558</v>
      </c>
      <c r="D1268" s="4" t="s">
        <v>923</v>
      </c>
      <c r="E1268" s="4">
        <v>60</v>
      </c>
      <c r="F1268" s="4" t="s">
        <v>917</v>
      </c>
      <c r="G1268" s="4"/>
      <c r="H1268" s="4"/>
      <c r="I1268" s="4"/>
      <c r="J1268" s="4"/>
    </row>
    <row r="1269" spans="1:10" ht="15" customHeight="1" x14ac:dyDescent="0.2">
      <c r="A1269" s="4">
        <v>1268</v>
      </c>
      <c r="B1269" s="4">
        <v>1217</v>
      </c>
      <c r="C1269" s="4" t="s">
        <v>558</v>
      </c>
      <c r="D1269" s="4" t="s">
        <v>924</v>
      </c>
      <c r="E1269" s="4">
        <v>75</v>
      </c>
      <c r="F1269" s="4" t="s">
        <v>917</v>
      </c>
      <c r="G1269" s="4"/>
      <c r="H1269" s="4"/>
      <c r="I1269" s="4"/>
      <c r="J1269" s="4"/>
    </row>
    <row r="1270" spans="1:10" ht="15" customHeight="1" x14ac:dyDescent="0.2">
      <c r="A1270" s="4">
        <v>1269</v>
      </c>
      <c r="B1270" s="4">
        <v>1218</v>
      </c>
      <c r="C1270" s="4" t="s">
        <v>559</v>
      </c>
      <c r="D1270" s="4" t="s">
        <v>921</v>
      </c>
      <c r="E1270" s="4">
        <v>30</v>
      </c>
      <c r="F1270" s="4" t="s">
        <v>917</v>
      </c>
      <c r="G1270" s="4"/>
      <c r="H1270" s="4"/>
      <c r="I1270" s="4"/>
      <c r="J1270" s="4"/>
    </row>
    <row r="1271" spans="1:10" ht="15" customHeight="1" x14ac:dyDescent="0.2">
      <c r="A1271" s="4">
        <v>1270</v>
      </c>
      <c r="B1271" s="4">
        <v>1218</v>
      </c>
      <c r="C1271" s="4" t="s">
        <v>559</v>
      </c>
      <c r="D1271" s="4" t="s">
        <v>922</v>
      </c>
      <c r="E1271" s="4">
        <v>50</v>
      </c>
      <c r="F1271" s="4" t="s">
        <v>917</v>
      </c>
      <c r="G1271" s="4"/>
      <c r="H1271" s="4"/>
      <c r="I1271" s="4"/>
      <c r="J1271" s="4"/>
    </row>
    <row r="1272" spans="1:10" ht="15" customHeight="1" x14ac:dyDescent="0.2">
      <c r="A1272" s="4">
        <v>1271</v>
      </c>
      <c r="B1272" s="4">
        <v>1218</v>
      </c>
      <c r="C1272" s="4" t="s">
        <v>559</v>
      </c>
      <c r="D1272" s="4" t="s">
        <v>923</v>
      </c>
      <c r="E1272" s="4">
        <v>60</v>
      </c>
      <c r="F1272" s="4" t="s">
        <v>917</v>
      </c>
      <c r="G1272" s="4"/>
      <c r="H1272" s="4"/>
      <c r="I1272" s="4"/>
      <c r="J1272" s="4"/>
    </row>
    <row r="1273" spans="1:10" ht="15" customHeight="1" x14ac:dyDescent="0.2">
      <c r="A1273" s="4">
        <v>1272</v>
      </c>
      <c r="B1273" s="4">
        <v>1218</v>
      </c>
      <c r="C1273" s="4" t="s">
        <v>559</v>
      </c>
      <c r="D1273" s="4" t="s">
        <v>924</v>
      </c>
      <c r="E1273" s="4">
        <v>75</v>
      </c>
      <c r="F1273" s="4" t="s">
        <v>917</v>
      </c>
      <c r="G1273" s="4"/>
      <c r="H1273" s="4"/>
      <c r="I1273" s="4"/>
      <c r="J1273" s="4"/>
    </row>
    <row r="1274" spans="1:10" ht="15" customHeight="1" x14ac:dyDescent="0.2">
      <c r="A1274" s="4">
        <v>1273</v>
      </c>
      <c r="B1274" s="4">
        <v>1219</v>
      </c>
      <c r="C1274" s="4" t="s">
        <v>560</v>
      </c>
      <c r="D1274" s="4" t="s">
        <v>921</v>
      </c>
      <c r="E1274" s="4">
        <v>30</v>
      </c>
      <c r="F1274" s="4" t="s">
        <v>917</v>
      </c>
      <c r="G1274" s="4"/>
      <c r="H1274" s="4"/>
      <c r="I1274" s="4"/>
      <c r="J1274" s="4"/>
    </row>
    <row r="1275" spans="1:10" ht="15" customHeight="1" x14ac:dyDescent="0.2">
      <c r="A1275" s="4">
        <v>1274</v>
      </c>
      <c r="B1275" s="4">
        <v>1219</v>
      </c>
      <c r="C1275" s="4" t="s">
        <v>560</v>
      </c>
      <c r="D1275" s="4" t="s">
        <v>922</v>
      </c>
      <c r="E1275" s="4">
        <v>50</v>
      </c>
      <c r="F1275" s="4" t="s">
        <v>917</v>
      </c>
      <c r="G1275" s="4"/>
      <c r="H1275" s="4"/>
      <c r="I1275" s="4"/>
      <c r="J1275" s="4"/>
    </row>
    <row r="1276" spans="1:10" ht="15" customHeight="1" x14ac:dyDescent="0.2">
      <c r="A1276" s="4">
        <v>1275</v>
      </c>
      <c r="B1276" s="4">
        <v>1219</v>
      </c>
      <c r="C1276" s="4" t="s">
        <v>560</v>
      </c>
      <c r="D1276" s="4" t="s">
        <v>923</v>
      </c>
      <c r="E1276" s="4">
        <v>60</v>
      </c>
      <c r="F1276" s="4" t="s">
        <v>917</v>
      </c>
      <c r="G1276" s="4"/>
      <c r="H1276" s="4"/>
      <c r="I1276" s="4"/>
      <c r="J1276" s="4"/>
    </row>
    <row r="1277" spans="1:10" ht="15" customHeight="1" x14ac:dyDescent="0.2">
      <c r="A1277" s="4">
        <v>1276</v>
      </c>
      <c r="B1277" s="4">
        <v>1219</v>
      </c>
      <c r="C1277" s="4" t="s">
        <v>560</v>
      </c>
      <c r="D1277" s="4" t="s">
        <v>924</v>
      </c>
      <c r="E1277" s="4">
        <v>75</v>
      </c>
      <c r="F1277" s="4" t="s">
        <v>917</v>
      </c>
      <c r="G1277" s="4"/>
      <c r="H1277" s="4"/>
      <c r="I1277" s="4"/>
      <c r="J1277" s="4"/>
    </row>
    <row r="1278" spans="1:10" ht="15" customHeight="1" x14ac:dyDescent="0.2">
      <c r="A1278" s="4">
        <v>1277</v>
      </c>
      <c r="B1278" s="4">
        <v>1220</v>
      </c>
      <c r="C1278" s="4" t="s">
        <v>563</v>
      </c>
      <c r="D1278" s="4" t="s">
        <v>921</v>
      </c>
      <c r="E1278" s="4">
        <v>30</v>
      </c>
      <c r="F1278" s="4" t="s">
        <v>917</v>
      </c>
      <c r="G1278" s="4"/>
      <c r="H1278" s="4"/>
      <c r="I1278" s="4"/>
      <c r="J1278" s="4"/>
    </row>
    <row r="1279" spans="1:10" ht="15" customHeight="1" x14ac:dyDescent="0.2">
      <c r="A1279" s="4">
        <v>1278</v>
      </c>
      <c r="B1279" s="4">
        <v>1220</v>
      </c>
      <c r="C1279" s="4" t="s">
        <v>563</v>
      </c>
      <c r="D1279" s="4" t="s">
        <v>922</v>
      </c>
      <c r="E1279" s="4">
        <v>50</v>
      </c>
      <c r="F1279" s="4" t="s">
        <v>917</v>
      </c>
      <c r="G1279" s="4"/>
      <c r="H1279" s="4"/>
      <c r="I1279" s="4"/>
      <c r="J1279" s="4"/>
    </row>
    <row r="1280" spans="1:10" ht="15" customHeight="1" x14ac:dyDescent="0.2">
      <c r="A1280" s="4">
        <v>1279</v>
      </c>
      <c r="B1280" s="4">
        <v>1220</v>
      </c>
      <c r="C1280" s="4" t="s">
        <v>563</v>
      </c>
      <c r="D1280" s="4" t="s">
        <v>923</v>
      </c>
      <c r="E1280" s="4">
        <v>60</v>
      </c>
      <c r="F1280" s="4" t="s">
        <v>917</v>
      </c>
      <c r="G1280" s="4"/>
      <c r="H1280" s="4"/>
      <c r="I1280" s="4"/>
      <c r="J1280" s="4"/>
    </row>
    <row r="1281" spans="1:10" ht="15" customHeight="1" x14ac:dyDescent="0.2">
      <c r="A1281" s="4">
        <v>1280</v>
      </c>
      <c r="B1281" s="4">
        <v>1220</v>
      </c>
      <c r="C1281" s="4" t="s">
        <v>563</v>
      </c>
      <c r="D1281" s="4" t="s">
        <v>924</v>
      </c>
      <c r="E1281" s="4">
        <v>75</v>
      </c>
      <c r="F1281" s="4" t="s">
        <v>917</v>
      </c>
      <c r="G1281" s="4"/>
      <c r="H1281" s="4"/>
      <c r="I1281" s="4"/>
      <c r="J1281" s="4"/>
    </row>
    <row r="1282" spans="1:10" ht="15" customHeight="1" x14ac:dyDescent="0.2">
      <c r="A1282" s="4">
        <v>1281</v>
      </c>
      <c r="B1282" s="4">
        <v>1221</v>
      </c>
      <c r="C1282" s="4" t="s">
        <v>564</v>
      </c>
      <c r="D1282" s="4" t="s">
        <v>921</v>
      </c>
      <c r="E1282" s="4">
        <v>30</v>
      </c>
      <c r="F1282" s="4" t="s">
        <v>917</v>
      </c>
      <c r="G1282" s="4"/>
      <c r="H1282" s="4"/>
      <c r="I1282" s="4"/>
      <c r="J1282" s="4"/>
    </row>
    <row r="1283" spans="1:10" ht="15" customHeight="1" x14ac:dyDescent="0.2">
      <c r="A1283" s="4">
        <v>1282</v>
      </c>
      <c r="B1283" s="4">
        <v>1221</v>
      </c>
      <c r="C1283" s="4" t="s">
        <v>564</v>
      </c>
      <c r="D1283" s="4" t="s">
        <v>922</v>
      </c>
      <c r="E1283" s="4">
        <v>50</v>
      </c>
      <c r="F1283" s="4" t="s">
        <v>917</v>
      </c>
      <c r="G1283" s="4"/>
      <c r="H1283" s="4"/>
      <c r="I1283" s="4"/>
      <c r="J1283" s="4"/>
    </row>
    <row r="1284" spans="1:10" ht="15" customHeight="1" x14ac:dyDescent="0.2">
      <c r="A1284" s="4">
        <v>1283</v>
      </c>
      <c r="B1284" s="4">
        <v>1221</v>
      </c>
      <c r="C1284" s="4" t="s">
        <v>564</v>
      </c>
      <c r="D1284" s="4" t="s">
        <v>923</v>
      </c>
      <c r="E1284" s="4">
        <v>60</v>
      </c>
      <c r="F1284" s="4" t="s">
        <v>917</v>
      </c>
      <c r="G1284" s="4"/>
      <c r="H1284" s="4"/>
      <c r="I1284" s="4"/>
      <c r="J1284" s="4"/>
    </row>
    <row r="1285" spans="1:10" ht="15" customHeight="1" x14ac:dyDescent="0.2">
      <c r="A1285" s="4">
        <v>1284</v>
      </c>
      <c r="B1285" s="4">
        <v>1221</v>
      </c>
      <c r="C1285" s="4" t="s">
        <v>564</v>
      </c>
      <c r="D1285" s="4" t="s">
        <v>924</v>
      </c>
      <c r="E1285" s="4">
        <v>75</v>
      </c>
      <c r="F1285" s="4" t="s">
        <v>917</v>
      </c>
      <c r="G1285" s="4"/>
      <c r="H1285" s="4"/>
      <c r="I1285" s="4"/>
      <c r="J1285" s="4"/>
    </row>
    <row r="1286" spans="1:10" ht="15" customHeight="1" x14ac:dyDescent="0.2">
      <c r="A1286" s="4">
        <v>1285</v>
      </c>
      <c r="B1286" s="4">
        <v>1222</v>
      </c>
      <c r="C1286" s="4" t="s">
        <v>565</v>
      </c>
      <c r="D1286" s="4" t="s">
        <v>921</v>
      </c>
      <c r="E1286" s="4">
        <v>30</v>
      </c>
      <c r="F1286" s="4" t="s">
        <v>917</v>
      </c>
      <c r="G1286" s="4"/>
      <c r="H1286" s="4"/>
      <c r="I1286" s="4"/>
      <c r="J1286" s="4"/>
    </row>
    <row r="1287" spans="1:10" ht="15" customHeight="1" x14ac:dyDescent="0.2">
      <c r="A1287" s="4">
        <v>1286</v>
      </c>
      <c r="B1287" s="4">
        <v>1222</v>
      </c>
      <c r="C1287" s="4" t="s">
        <v>565</v>
      </c>
      <c r="D1287" s="4" t="s">
        <v>922</v>
      </c>
      <c r="E1287" s="4">
        <v>50</v>
      </c>
      <c r="F1287" s="4" t="s">
        <v>917</v>
      </c>
      <c r="G1287" s="4"/>
      <c r="H1287" s="4"/>
      <c r="I1287" s="4"/>
      <c r="J1287" s="4"/>
    </row>
    <row r="1288" spans="1:10" ht="15" customHeight="1" x14ac:dyDescent="0.2">
      <c r="A1288" s="4">
        <v>1287</v>
      </c>
      <c r="B1288" s="4">
        <v>1222</v>
      </c>
      <c r="C1288" s="4" t="s">
        <v>565</v>
      </c>
      <c r="D1288" s="4" t="s">
        <v>923</v>
      </c>
      <c r="E1288" s="4">
        <v>60</v>
      </c>
      <c r="F1288" s="4" t="s">
        <v>917</v>
      </c>
      <c r="G1288" s="4"/>
      <c r="H1288" s="4"/>
      <c r="I1288" s="4"/>
      <c r="J1288" s="4"/>
    </row>
    <row r="1289" spans="1:10" ht="15" customHeight="1" x14ac:dyDescent="0.2">
      <c r="A1289" s="4">
        <v>1288</v>
      </c>
      <c r="B1289" s="4">
        <v>1222</v>
      </c>
      <c r="C1289" s="4" t="s">
        <v>565</v>
      </c>
      <c r="D1289" s="4" t="s">
        <v>924</v>
      </c>
      <c r="E1289" s="4">
        <v>75</v>
      </c>
      <c r="F1289" s="4" t="s">
        <v>917</v>
      </c>
      <c r="G1289" s="4"/>
      <c r="H1289" s="4"/>
      <c r="I1289" s="4"/>
      <c r="J1289" s="4"/>
    </row>
    <row r="1290" spans="1:10" ht="15" customHeight="1" x14ac:dyDescent="0.2">
      <c r="A1290" s="4">
        <v>1289</v>
      </c>
      <c r="B1290" s="4">
        <v>1223</v>
      </c>
      <c r="C1290" s="4" t="s">
        <v>566</v>
      </c>
      <c r="D1290" s="4" t="s">
        <v>921</v>
      </c>
      <c r="E1290" s="4">
        <v>30</v>
      </c>
      <c r="F1290" s="4" t="s">
        <v>917</v>
      </c>
      <c r="G1290" s="4"/>
      <c r="H1290" s="4"/>
      <c r="I1290" s="4"/>
      <c r="J1290" s="4"/>
    </row>
    <row r="1291" spans="1:10" ht="15" customHeight="1" x14ac:dyDescent="0.2">
      <c r="A1291" s="4">
        <v>1290</v>
      </c>
      <c r="B1291" s="4">
        <v>1223</v>
      </c>
      <c r="C1291" s="4" t="s">
        <v>566</v>
      </c>
      <c r="D1291" s="4" t="s">
        <v>922</v>
      </c>
      <c r="E1291" s="4">
        <v>50</v>
      </c>
      <c r="F1291" s="4" t="s">
        <v>917</v>
      </c>
      <c r="G1291" s="4"/>
      <c r="H1291" s="4"/>
      <c r="I1291" s="4"/>
      <c r="J1291" s="4"/>
    </row>
    <row r="1292" spans="1:10" ht="15" customHeight="1" x14ac:dyDescent="0.2">
      <c r="A1292" s="4">
        <v>1291</v>
      </c>
      <c r="B1292" s="4">
        <v>1223</v>
      </c>
      <c r="C1292" s="4" t="s">
        <v>566</v>
      </c>
      <c r="D1292" s="4" t="s">
        <v>923</v>
      </c>
      <c r="E1292" s="4">
        <v>60</v>
      </c>
      <c r="F1292" s="4" t="s">
        <v>917</v>
      </c>
      <c r="G1292" s="4"/>
      <c r="H1292" s="4"/>
      <c r="I1292" s="4"/>
      <c r="J1292" s="4"/>
    </row>
    <row r="1293" spans="1:10" ht="15" customHeight="1" x14ac:dyDescent="0.2">
      <c r="A1293" s="4">
        <v>1292</v>
      </c>
      <c r="B1293" s="4">
        <v>1223</v>
      </c>
      <c r="C1293" s="4" t="s">
        <v>566</v>
      </c>
      <c r="D1293" s="4" t="s">
        <v>924</v>
      </c>
      <c r="E1293" s="4">
        <v>75</v>
      </c>
      <c r="F1293" s="4" t="s">
        <v>917</v>
      </c>
      <c r="G1293" s="4"/>
      <c r="H1293" s="4"/>
      <c r="I1293" s="4"/>
      <c r="J1293" s="4"/>
    </row>
    <row r="1294" spans="1:10" ht="15" customHeight="1" x14ac:dyDescent="0.2">
      <c r="A1294" s="4">
        <v>1293</v>
      </c>
      <c r="B1294" s="4">
        <v>1224</v>
      </c>
      <c r="C1294" s="4" t="s">
        <v>567</v>
      </c>
      <c r="D1294" s="4" t="s">
        <v>921</v>
      </c>
      <c r="E1294" s="4">
        <v>30</v>
      </c>
      <c r="F1294" s="4" t="s">
        <v>917</v>
      </c>
      <c r="G1294" s="4"/>
      <c r="H1294" s="4"/>
      <c r="I1294" s="4"/>
      <c r="J1294" s="4"/>
    </row>
    <row r="1295" spans="1:10" ht="15" customHeight="1" x14ac:dyDescent="0.2">
      <c r="A1295" s="4">
        <v>1294</v>
      </c>
      <c r="B1295" s="4">
        <v>1224</v>
      </c>
      <c r="C1295" s="4" t="s">
        <v>567</v>
      </c>
      <c r="D1295" s="4" t="s">
        <v>922</v>
      </c>
      <c r="E1295" s="4">
        <v>50</v>
      </c>
      <c r="F1295" s="4" t="s">
        <v>917</v>
      </c>
      <c r="G1295" s="4"/>
      <c r="H1295" s="4"/>
      <c r="I1295" s="4"/>
      <c r="J1295" s="4"/>
    </row>
    <row r="1296" spans="1:10" ht="15" customHeight="1" x14ac:dyDescent="0.2">
      <c r="A1296" s="4">
        <v>1295</v>
      </c>
      <c r="B1296" s="4">
        <v>1224</v>
      </c>
      <c r="C1296" s="4" t="s">
        <v>567</v>
      </c>
      <c r="D1296" s="4" t="s">
        <v>923</v>
      </c>
      <c r="E1296" s="4">
        <v>60</v>
      </c>
      <c r="F1296" s="4" t="s">
        <v>917</v>
      </c>
      <c r="G1296" s="4"/>
      <c r="H1296" s="4"/>
      <c r="I1296" s="4"/>
      <c r="J1296" s="4"/>
    </row>
    <row r="1297" spans="1:10" ht="15" customHeight="1" x14ac:dyDescent="0.2">
      <c r="A1297" s="4">
        <v>1296</v>
      </c>
      <c r="B1297" s="4">
        <v>1224</v>
      </c>
      <c r="C1297" s="4" t="s">
        <v>567</v>
      </c>
      <c r="D1297" s="4" t="s">
        <v>924</v>
      </c>
      <c r="E1297" s="4">
        <v>75</v>
      </c>
      <c r="F1297" s="4" t="s">
        <v>917</v>
      </c>
      <c r="G1297" s="4"/>
      <c r="H1297" s="4"/>
      <c r="I1297" s="4"/>
      <c r="J1297" s="4"/>
    </row>
    <row r="1298" spans="1:10" ht="15" customHeight="1" x14ac:dyDescent="0.2">
      <c r="A1298" s="4">
        <v>1297</v>
      </c>
      <c r="B1298" s="4">
        <v>1225</v>
      </c>
      <c r="C1298" s="4" t="s">
        <v>568</v>
      </c>
      <c r="D1298" s="4" t="s">
        <v>921</v>
      </c>
      <c r="E1298" s="4">
        <v>30</v>
      </c>
      <c r="F1298" s="4" t="s">
        <v>917</v>
      </c>
      <c r="G1298" s="4"/>
      <c r="H1298" s="4"/>
      <c r="I1298" s="4"/>
      <c r="J1298" s="4"/>
    </row>
    <row r="1299" spans="1:10" ht="15" customHeight="1" x14ac:dyDescent="0.2">
      <c r="A1299" s="4">
        <v>1298</v>
      </c>
      <c r="B1299" s="4">
        <v>1225</v>
      </c>
      <c r="C1299" s="4" t="s">
        <v>568</v>
      </c>
      <c r="D1299" s="4" t="s">
        <v>922</v>
      </c>
      <c r="E1299" s="4">
        <v>50</v>
      </c>
      <c r="F1299" s="4" t="s">
        <v>917</v>
      </c>
      <c r="G1299" s="4"/>
      <c r="H1299" s="4"/>
      <c r="I1299" s="4"/>
      <c r="J1299" s="4"/>
    </row>
    <row r="1300" spans="1:10" ht="15" customHeight="1" x14ac:dyDescent="0.2">
      <c r="A1300" s="4">
        <v>1299</v>
      </c>
      <c r="B1300" s="4">
        <v>1225</v>
      </c>
      <c r="C1300" s="4" t="s">
        <v>568</v>
      </c>
      <c r="D1300" s="4" t="s">
        <v>923</v>
      </c>
      <c r="E1300" s="4">
        <v>60</v>
      </c>
      <c r="F1300" s="4" t="s">
        <v>917</v>
      </c>
      <c r="G1300" s="4"/>
      <c r="H1300" s="4"/>
      <c r="I1300" s="4"/>
      <c r="J1300" s="4"/>
    </row>
    <row r="1301" spans="1:10" ht="15" customHeight="1" x14ac:dyDescent="0.2">
      <c r="A1301" s="4">
        <v>1300</v>
      </c>
      <c r="B1301" s="4">
        <v>1225</v>
      </c>
      <c r="C1301" s="4" t="s">
        <v>568</v>
      </c>
      <c r="D1301" s="4" t="s">
        <v>924</v>
      </c>
      <c r="E1301" s="4">
        <v>75</v>
      </c>
      <c r="F1301" s="4" t="s">
        <v>917</v>
      </c>
      <c r="G1301" s="4"/>
      <c r="H1301" s="4"/>
      <c r="I1301" s="4"/>
      <c r="J1301" s="4"/>
    </row>
    <row r="1302" spans="1:10" ht="15" customHeight="1" x14ac:dyDescent="0.2">
      <c r="A1302" s="4">
        <v>1301</v>
      </c>
      <c r="B1302" s="4">
        <v>1226</v>
      </c>
      <c r="C1302" s="4" t="s">
        <v>570</v>
      </c>
      <c r="D1302" s="4" t="s">
        <v>921</v>
      </c>
      <c r="E1302" s="4">
        <v>30</v>
      </c>
      <c r="F1302" s="4" t="s">
        <v>917</v>
      </c>
      <c r="G1302" s="4"/>
      <c r="H1302" s="4"/>
      <c r="I1302" s="4"/>
      <c r="J1302" s="4"/>
    </row>
    <row r="1303" spans="1:10" ht="15" customHeight="1" x14ac:dyDescent="0.2">
      <c r="A1303" s="4">
        <v>1302</v>
      </c>
      <c r="B1303" s="4">
        <v>1226</v>
      </c>
      <c r="C1303" s="4" t="s">
        <v>570</v>
      </c>
      <c r="D1303" s="4" t="s">
        <v>922</v>
      </c>
      <c r="E1303" s="4">
        <v>50</v>
      </c>
      <c r="F1303" s="4" t="s">
        <v>917</v>
      </c>
      <c r="G1303" s="4"/>
      <c r="H1303" s="4"/>
      <c r="I1303" s="4"/>
      <c r="J1303" s="4"/>
    </row>
    <row r="1304" spans="1:10" ht="15" customHeight="1" x14ac:dyDescent="0.2">
      <c r="A1304" s="4">
        <v>1303</v>
      </c>
      <c r="B1304" s="4">
        <v>1226</v>
      </c>
      <c r="C1304" s="4" t="s">
        <v>570</v>
      </c>
      <c r="D1304" s="4" t="s">
        <v>923</v>
      </c>
      <c r="E1304" s="4">
        <v>60</v>
      </c>
      <c r="F1304" s="4" t="s">
        <v>917</v>
      </c>
      <c r="G1304" s="4"/>
      <c r="H1304" s="4"/>
      <c r="I1304" s="4"/>
      <c r="J1304" s="4"/>
    </row>
    <row r="1305" spans="1:10" ht="15" customHeight="1" x14ac:dyDescent="0.2">
      <c r="A1305" s="4">
        <v>1304</v>
      </c>
      <c r="B1305" s="4">
        <v>1226</v>
      </c>
      <c r="C1305" s="4" t="s">
        <v>570</v>
      </c>
      <c r="D1305" s="4" t="s">
        <v>924</v>
      </c>
      <c r="E1305" s="4">
        <v>75</v>
      </c>
      <c r="F1305" s="4" t="s">
        <v>917</v>
      </c>
      <c r="G1305" s="4"/>
      <c r="H1305" s="4"/>
      <c r="I1305" s="4"/>
      <c r="J1305" s="4"/>
    </row>
    <row r="1306" spans="1:10" ht="15" customHeight="1" x14ac:dyDescent="0.2">
      <c r="A1306" s="4">
        <v>1305</v>
      </c>
      <c r="B1306" s="4">
        <v>1227</v>
      </c>
      <c r="C1306" s="4" t="s">
        <v>571</v>
      </c>
      <c r="D1306" s="4" t="s">
        <v>921</v>
      </c>
      <c r="E1306" s="4">
        <v>30</v>
      </c>
      <c r="F1306" s="4" t="s">
        <v>917</v>
      </c>
      <c r="G1306" s="4"/>
      <c r="H1306" s="4"/>
      <c r="I1306" s="4"/>
      <c r="J1306" s="4"/>
    </row>
    <row r="1307" spans="1:10" ht="15" customHeight="1" x14ac:dyDescent="0.2">
      <c r="A1307" s="4">
        <v>1306</v>
      </c>
      <c r="B1307" s="4">
        <v>1227</v>
      </c>
      <c r="C1307" s="4" t="s">
        <v>571</v>
      </c>
      <c r="D1307" s="4" t="s">
        <v>922</v>
      </c>
      <c r="E1307" s="4">
        <v>50</v>
      </c>
      <c r="F1307" s="4" t="s">
        <v>917</v>
      </c>
      <c r="G1307" s="4"/>
      <c r="H1307" s="4"/>
      <c r="I1307" s="4"/>
      <c r="J1307" s="4"/>
    </row>
    <row r="1308" spans="1:10" ht="15" customHeight="1" x14ac:dyDescent="0.2">
      <c r="A1308" s="4">
        <v>1307</v>
      </c>
      <c r="B1308" s="4">
        <v>1227</v>
      </c>
      <c r="C1308" s="4" t="s">
        <v>571</v>
      </c>
      <c r="D1308" s="4" t="s">
        <v>923</v>
      </c>
      <c r="E1308" s="4">
        <v>60</v>
      </c>
      <c r="F1308" s="4" t="s">
        <v>917</v>
      </c>
      <c r="G1308" s="4"/>
      <c r="H1308" s="4"/>
      <c r="I1308" s="4"/>
      <c r="J1308" s="4"/>
    </row>
    <row r="1309" spans="1:10" ht="15" customHeight="1" x14ac:dyDescent="0.2">
      <c r="A1309" s="4">
        <v>1308</v>
      </c>
      <c r="B1309" s="4">
        <v>1227</v>
      </c>
      <c r="C1309" s="4" t="s">
        <v>571</v>
      </c>
      <c r="D1309" s="4" t="s">
        <v>924</v>
      </c>
      <c r="E1309" s="4">
        <v>75</v>
      </c>
      <c r="F1309" s="4" t="s">
        <v>917</v>
      </c>
      <c r="G1309" s="4"/>
      <c r="H1309" s="4"/>
      <c r="I1309" s="4"/>
      <c r="J1309" s="4"/>
    </row>
    <row r="1310" spans="1:10" ht="15" customHeight="1" x14ac:dyDescent="0.2">
      <c r="A1310" s="4">
        <v>1309</v>
      </c>
      <c r="B1310" s="4">
        <v>1228</v>
      </c>
      <c r="C1310" s="4" t="s">
        <v>572</v>
      </c>
      <c r="D1310" s="4" t="s">
        <v>921</v>
      </c>
      <c r="E1310" s="4">
        <v>30</v>
      </c>
      <c r="F1310" s="4" t="s">
        <v>917</v>
      </c>
      <c r="G1310" s="4"/>
      <c r="H1310" s="4"/>
      <c r="I1310" s="4"/>
      <c r="J1310" s="4"/>
    </row>
    <row r="1311" spans="1:10" ht="15" customHeight="1" x14ac:dyDescent="0.2">
      <c r="A1311" s="4">
        <v>1310</v>
      </c>
      <c r="B1311" s="4">
        <v>1228</v>
      </c>
      <c r="C1311" s="4" t="s">
        <v>572</v>
      </c>
      <c r="D1311" s="4" t="s">
        <v>922</v>
      </c>
      <c r="E1311" s="4">
        <v>50</v>
      </c>
      <c r="F1311" s="4" t="s">
        <v>917</v>
      </c>
      <c r="G1311" s="4"/>
      <c r="H1311" s="4"/>
      <c r="I1311" s="4"/>
      <c r="J1311" s="4"/>
    </row>
    <row r="1312" spans="1:10" ht="15" customHeight="1" x14ac:dyDescent="0.2">
      <c r="A1312" s="4">
        <v>1311</v>
      </c>
      <c r="B1312" s="4">
        <v>1228</v>
      </c>
      <c r="C1312" s="4" t="s">
        <v>572</v>
      </c>
      <c r="D1312" s="4" t="s">
        <v>923</v>
      </c>
      <c r="E1312" s="4">
        <v>60</v>
      </c>
      <c r="F1312" s="4" t="s">
        <v>917</v>
      </c>
      <c r="G1312" s="4"/>
      <c r="H1312" s="4"/>
      <c r="I1312" s="4"/>
      <c r="J1312" s="4"/>
    </row>
    <row r="1313" spans="1:10" ht="15" customHeight="1" x14ac:dyDescent="0.2">
      <c r="A1313" s="4">
        <v>1312</v>
      </c>
      <c r="B1313" s="4">
        <v>1228</v>
      </c>
      <c r="C1313" s="4" t="s">
        <v>572</v>
      </c>
      <c r="D1313" s="4" t="s">
        <v>924</v>
      </c>
      <c r="E1313" s="4">
        <v>75</v>
      </c>
      <c r="F1313" s="4" t="s">
        <v>917</v>
      </c>
      <c r="G1313" s="4"/>
      <c r="H1313" s="4"/>
      <c r="I1313" s="4"/>
      <c r="J1313" s="4"/>
    </row>
    <row r="1314" spans="1:10" ht="15" customHeight="1" x14ac:dyDescent="0.2">
      <c r="A1314" s="4">
        <v>1313</v>
      </c>
      <c r="B1314" s="4">
        <v>1229</v>
      </c>
      <c r="C1314" s="4" t="s">
        <v>573</v>
      </c>
      <c r="D1314" s="4" t="s">
        <v>921</v>
      </c>
      <c r="E1314" s="4">
        <v>30</v>
      </c>
      <c r="F1314" s="4" t="s">
        <v>917</v>
      </c>
      <c r="G1314" s="4"/>
      <c r="H1314" s="4"/>
      <c r="I1314" s="4"/>
      <c r="J1314" s="4"/>
    </row>
    <row r="1315" spans="1:10" ht="15" customHeight="1" x14ac:dyDescent="0.2">
      <c r="A1315" s="4">
        <v>1314</v>
      </c>
      <c r="B1315" s="4">
        <v>1229</v>
      </c>
      <c r="C1315" s="4" t="s">
        <v>573</v>
      </c>
      <c r="D1315" s="4" t="s">
        <v>922</v>
      </c>
      <c r="E1315" s="4">
        <v>50</v>
      </c>
      <c r="F1315" s="4" t="s">
        <v>917</v>
      </c>
      <c r="G1315" s="4"/>
      <c r="H1315" s="4"/>
      <c r="I1315" s="4"/>
      <c r="J1315" s="4"/>
    </row>
    <row r="1316" spans="1:10" ht="15" customHeight="1" x14ac:dyDescent="0.2">
      <c r="A1316" s="4">
        <v>1315</v>
      </c>
      <c r="B1316" s="4">
        <v>1229</v>
      </c>
      <c r="C1316" s="4" t="s">
        <v>573</v>
      </c>
      <c r="D1316" s="4" t="s">
        <v>923</v>
      </c>
      <c r="E1316" s="4">
        <v>60</v>
      </c>
      <c r="F1316" s="4" t="s">
        <v>917</v>
      </c>
      <c r="G1316" s="4"/>
      <c r="H1316" s="4"/>
      <c r="I1316" s="4"/>
      <c r="J1316" s="4"/>
    </row>
    <row r="1317" spans="1:10" ht="15" customHeight="1" x14ac:dyDescent="0.2">
      <c r="A1317" s="4">
        <v>1316</v>
      </c>
      <c r="B1317" s="4">
        <v>1229</v>
      </c>
      <c r="C1317" s="4" t="s">
        <v>573</v>
      </c>
      <c r="D1317" s="4" t="s">
        <v>924</v>
      </c>
      <c r="E1317" s="4">
        <v>75</v>
      </c>
      <c r="F1317" s="4" t="s">
        <v>917</v>
      </c>
      <c r="G1317" s="4"/>
      <c r="H1317" s="4"/>
      <c r="I1317" s="4"/>
      <c r="J1317" s="4"/>
    </row>
    <row r="1318" spans="1:10" ht="15" customHeight="1" x14ac:dyDescent="0.2">
      <c r="A1318" s="4">
        <v>1317</v>
      </c>
      <c r="B1318" s="4">
        <v>1230</v>
      </c>
      <c r="C1318" s="4" t="s">
        <v>574</v>
      </c>
      <c r="D1318" s="4" t="s">
        <v>921</v>
      </c>
      <c r="E1318" s="4">
        <v>30</v>
      </c>
      <c r="F1318" s="4" t="s">
        <v>917</v>
      </c>
      <c r="G1318" s="4"/>
      <c r="H1318" s="4"/>
      <c r="I1318" s="4"/>
      <c r="J1318" s="4"/>
    </row>
    <row r="1319" spans="1:10" ht="15" customHeight="1" x14ac:dyDescent="0.2">
      <c r="A1319" s="4">
        <v>1318</v>
      </c>
      <c r="B1319" s="4">
        <v>1230</v>
      </c>
      <c r="C1319" s="4" t="s">
        <v>574</v>
      </c>
      <c r="D1319" s="4" t="s">
        <v>922</v>
      </c>
      <c r="E1319" s="4">
        <v>50</v>
      </c>
      <c r="F1319" s="4" t="s">
        <v>917</v>
      </c>
      <c r="G1319" s="4"/>
      <c r="H1319" s="4"/>
      <c r="I1319" s="4"/>
      <c r="J1319" s="4"/>
    </row>
    <row r="1320" spans="1:10" ht="15" customHeight="1" x14ac:dyDescent="0.2">
      <c r="A1320" s="4">
        <v>1319</v>
      </c>
      <c r="B1320" s="4">
        <v>1230</v>
      </c>
      <c r="C1320" s="4" t="s">
        <v>574</v>
      </c>
      <c r="D1320" s="4" t="s">
        <v>923</v>
      </c>
      <c r="E1320" s="4">
        <v>60</v>
      </c>
      <c r="F1320" s="4" t="s">
        <v>917</v>
      </c>
      <c r="G1320" s="4"/>
      <c r="H1320" s="4"/>
      <c r="I1320" s="4"/>
      <c r="J1320" s="4"/>
    </row>
    <row r="1321" spans="1:10" ht="15" customHeight="1" x14ac:dyDescent="0.2">
      <c r="A1321" s="4">
        <v>1320</v>
      </c>
      <c r="B1321" s="4">
        <v>1230</v>
      </c>
      <c r="C1321" s="4" t="s">
        <v>574</v>
      </c>
      <c r="D1321" s="4" t="s">
        <v>924</v>
      </c>
      <c r="E1321" s="4">
        <v>75</v>
      </c>
      <c r="F1321" s="4" t="s">
        <v>917</v>
      </c>
      <c r="G1321" s="4"/>
      <c r="H1321" s="4"/>
      <c r="I1321" s="4"/>
      <c r="J1321" s="4"/>
    </row>
    <row r="1322" spans="1:10" ht="15" customHeight="1" x14ac:dyDescent="0.2">
      <c r="A1322" s="4">
        <v>1321</v>
      </c>
      <c r="B1322" s="4">
        <v>1231</v>
      </c>
      <c r="C1322" s="4" t="s">
        <v>575</v>
      </c>
      <c r="D1322" s="4" t="s">
        <v>921</v>
      </c>
      <c r="E1322" s="4">
        <v>30</v>
      </c>
      <c r="F1322" s="4" t="s">
        <v>917</v>
      </c>
      <c r="G1322" s="4"/>
      <c r="H1322" s="4"/>
      <c r="I1322" s="4"/>
      <c r="J1322" s="4"/>
    </row>
    <row r="1323" spans="1:10" ht="15" customHeight="1" x14ac:dyDescent="0.2">
      <c r="A1323" s="4">
        <v>1322</v>
      </c>
      <c r="B1323" s="4">
        <v>1231</v>
      </c>
      <c r="C1323" s="4" t="s">
        <v>575</v>
      </c>
      <c r="D1323" s="4" t="s">
        <v>922</v>
      </c>
      <c r="E1323" s="4">
        <v>50</v>
      </c>
      <c r="F1323" s="4" t="s">
        <v>917</v>
      </c>
      <c r="G1323" s="4"/>
      <c r="H1323" s="4"/>
      <c r="I1323" s="4"/>
      <c r="J1323" s="4"/>
    </row>
    <row r="1324" spans="1:10" ht="15" customHeight="1" x14ac:dyDescent="0.2">
      <c r="A1324" s="4">
        <v>1323</v>
      </c>
      <c r="B1324" s="4">
        <v>1231</v>
      </c>
      <c r="C1324" s="4" t="s">
        <v>575</v>
      </c>
      <c r="D1324" s="4" t="s">
        <v>923</v>
      </c>
      <c r="E1324" s="4">
        <v>60</v>
      </c>
      <c r="F1324" s="4" t="s">
        <v>917</v>
      </c>
      <c r="G1324" s="4"/>
      <c r="H1324" s="4"/>
      <c r="I1324" s="4"/>
      <c r="J1324" s="4"/>
    </row>
    <row r="1325" spans="1:10" ht="15" customHeight="1" x14ac:dyDescent="0.2">
      <c r="A1325" s="4">
        <v>1324</v>
      </c>
      <c r="B1325" s="4">
        <v>1231</v>
      </c>
      <c r="C1325" s="4" t="s">
        <v>575</v>
      </c>
      <c r="D1325" s="4" t="s">
        <v>924</v>
      </c>
      <c r="E1325" s="4">
        <v>75</v>
      </c>
      <c r="F1325" s="4" t="s">
        <v>917</v>
      </c>
      <c r="G1325" s="4"/>
      <c r="H1325" s="4"/>
      <c r="I1325" s="4"/>
      <c r="J1325" s="4"/>
    </row>
    <row r="1326" spans="1:10" ht="15" customHeight="1" x14ac:dyDescent="0.2">
      <c r="A1326" s="4">
        <v>1325</v>
      </c>
      <c r="B1326" s="4">
        <v>1232</v>
      </c>
      <c r="C1326" s="4" t="s">
        <v>576</v>
      </c>
      <c r="D1326" s="4" t="s">
        <v>921</v>
      </c>
      <c r="E1326" s="4">
        <v>30</v>
      </c>
      <c r="F1326" s="4" t="s">
        <v>917</v>
      </c>
      <c r="G1326" s="4"/>
      <c r="H1326" s="4"/>
      <c r="I1326" s="4"/>
      <c r="J1326" s="4"/>
    </row>
    <row r="1327" spans="1:10" ht="15" customHeight="1" x14ac:dyDescent="0.2">
      <c r="A1327" s="4">
        <v>1326</v>
      </c>
      <c r="B1327" s="4">
        <v>1232</v>
      </c>
      <c r="C1327" s="4" t="s">
        <v>576</v>
      </c>
      <c r="D1327" s="4" t="s">
        <v>922</v>
      </c>
      <c r="E1327" s="4">
        <v>50</v>
      </c>
      <c r="F1327" s="4" t="s">
        <v>917</v>
      </c>
      <c r="G1327" s="4"/>
      <c r="H1327" s="4"/>
      <c r="I1327" s="4"/>
      <c r="J1327" s="4"/>
    </row>
    <row r="1328" spans="1:10" ht="15" customHeight="1" x14ac:dyDescent="0.2">
      <c r="A1328" s="4">
        <v>1327</v>
      </c>
      <c r="B1328" s="4">
        <v>1232</v>
      </c>
      <c r="C1328" s="4" t="s">
        <v>576</v>
      </c>
      <c r="D1328" s="4" t="s">
        <v>923</v>
      </c>
      <c r="E1328" s="4">
        <v>60</v>
      </c>
      <c r="F1328" s="4" t="s">
        <v>917</v>
      </c>
      <c r="G1328" s="4"/>
      <c r="H1328" s="4"/>
      <c r="I1328" s="4"/>
      <c r="J1328" s="4"/>
    </row>
    <row r="1329" spans="1:10" ht="15" customHeight="1" x14ac:dyDescent="0.2">
      <c r="A1329" s="4">
        <v>1328</v>
      </c>
      <c r="B1329" s="4">
        <v>1232</v>
      </c>
      <c r="C1329" s="4" t="s">
        <v>576</v>
      </c>
      <c r="D1329" s="4" t="s">
        <v>924</v>
      </c>
      <c r="E1329" s="4">
        <v>75</v>
      </c>
      <c r="F1329" s="4" t="s">
        <v>917</v>
      </c>
      <c r="G1329" s="4"/>
      <c r="H1329" s="4"/>
      <c r="I1329" s="4"/>
      <c r="J1329" s="4"/>
    </row>
    <row r="1330" spans="1:10" ht="15" customHeight="1" x14ac:dyDescent="0.2">
      <c r="A1330" s="4">
        <v>1329</v>
      </c>
      <c r="B1330" s="4">
        <v>1233</v>
      </c>
      <c r="C1330" s="4" t="s">
        <v>577</v>
      </c>
      <c r="D1330" s="4" t="s">
        <v>921</v>
      </c>
      <c r="E1330" s="4">
        <v>30</v>
      </c>
      <c r="F1330" s="4" t="s">
        <v>917</v>
      </c>
      <c r="G1330" s="4"/>
      <c r="H1330" s="4"/>
      <c r="I1330" s="4"/>
      <c r="J1330" s="4"/>
    </row>
    <row r="1331" spans="1:10" ht="15" customHeight="1" x14ac:dyDescent="0.2">
      <c r="A1331" s="4">
        <v>1330</v>
      </c>
      <c r="B1331" s="4">
        <v>1233</v>
      </c>
      <c r="C1331" s="4" t="s">
        <v>577</v>
      </c>
      <c r="D1331" s="4" t="s">
        <v>922</v>
      </c>
      <c r="E1331" s="4">
        <v>50</v>
      </c>
      <c r="F1331" s="4" t="s">
        <v>917</v>
      </c>
      <c r="G1331" s="4"/>
      <c r="H1331" s="4"/>
      <c r="I1331" s="4"/>
      <c r="J1331" s="4"/>
    </row>
    <row r="1332" spans="1:10" ht="15" customHeight="1" x14ac:dyDescent="0.2">
      <c r="A1332" s="4">
        <v>1331</v>
      </c>
      <c r="B1332" s="4">
        <v>1233</v>
      </c>
      <c r="C1332" s="4" t="s">
        <v>577</v>
      </c>
      <c r="D1332" s="4" t="s">
        <v>923</v>
      </c>
      <c r="E1332" s="4">
        <v>60</v>
      </c>
      <c r="F1332" s="4" t="s">
        <v>917</v>
      </c>
      <c r="G1332" s="4"/>
      <c r="H1332" s="4"/>
      <c r="I1332" s="4"/>
      <c r="J1332" s="4"/>
    </row>
    <row r="1333" spans="1:10" ht="15" customHeight="1" x14ac:dyDescent="0.2">
      <c r="A1333" s="4">
        <v>1332</v>
      </c>
      <c r="B1333" s="4">
        <v>1233</v>
      </c>
      <c r="C1333" s="4" t="s">
        <v>577</v>
      </c>
      <c r="D1333" s="4" t="s">
        <v>924</v>
      </c>
      <c r="E1333" s="4">
        <v>75</v>
      </c>
      <c r="F1333" s="4" t="s">
        <v>917</v>
      </c>
      <c r="G1333" s="4"/>
      <c r="H1333" s="4"/>
      <c r="I1333" s="4"/>
      <c r="J1333" s="4"/>
    </row>
    <row r="1334" spans="1:10" ht="15" customHeight="1" x14ac:dyDescent="0.2">
      <c r="A1334" s="4">
        <v>1333</v>
      </c>
      <c r="B1334" s="4">
        <v>1234</v>
      </c>
      <c r="C1334" s="4" t="s">
        <v>578</v>
      </c>
      <c r="D1334" s="4" t="s">
        <v>921</v>
      </c>
      <c r="E1334" s="4">
        <v>30</v>
      </c>
      <c r="F1334" s="4" t="s">
        <v>917</v>
      </c>
      <c r="G1334" s="4"/>
      <c r="H1334" s="4"/>
      <c r="I1334" s="4"/>
      <c r="J1334" s="4"/>
    </row>
    <row r="1335" spans="1:10" ht="15" customHeight="1" x14ac:dyDescent="0.2">
      <c r="A1335" s="4">
        <v>1334</v>
      </c>
      <c r="B1335" s="4">
        <v>1234</v>
      </c>
      <c r="C1335" s="4" t="s">
        <v>578</v>
      </c>
      <c r="D1335" s="4" t="s">
        <v>922</v>
      </c>
      <c r="E1335" s="4">
        <v>50</v>
      </c>
      <c r="F1335" s="4" t="s">
        <v>917</v>
      </c>
      <c r="G1335" s="4"/>
      <c r="H1335" s="4"/>
      <c r="I1335" s="4"/>
      <c r="J1335" s="4"/>
    </row>
    <row r="1336" spans="1:10" ht="15" customHeight="1" x14ac:dyDescent="0.2">
      <c r="A1336" s="4">
        <v>1335</v>
      </c>
      <c r="B1336" s="4">
        <v>1234</v>
      </c>
      <c r="C1336" s="4" t="s">
        <v>578</v>
      </c>
      <c r="D1336" s="4" t="s">
        <v>923</v>
      </c>
      <c r="E1336" s="4">
        <v>60</v>
      </c>
      <c r="F1336" s="4" t="s">
        <v>917</v>
      </c>
      <c r="G1336" s="4"/>
      <c r="H1336" s="4"/>
      <c r="I1336" s="4"/>
      <c r="J1336" s="4"/>
    </row>
    <row r="1337" spans="1:10" ht="15" customHeight="1" x14ac:dyDescent="0.2">
      <c r="A1337" s="4">
        <v>1336</v>
      </c>
      <c r="B1337" s="4">
        <v>1234</v>
      </c>
      <c r="C1337" s="4" t="s">
        <v>578</v>
      </c>
      <c r="D1337" s="4" t="s">
        <v>924</v>
      </c>
      <c r="E1337" s="4">
        <v>75</v>
      </c>
      <c r="F1337" s="4" t="s">
        <v>917</v>
      </c>
      <c r="G1337" s="4"/>
      <c r="H1337" s="4"/>
      <c r="I1337" s="4"/>
      <c r="J1337" s="4"/>
    </row>
    <row r="1338" spans="1:10" ht="15" customHeight="1" x14ac:dyDescent="0.2">
      <c r="A1338" s="4">
        <v>1337</v>
      </c>
      <c r="B1338" s="4">
        <v>1235</v>
      </c>
      <c r="C1338" s="4" t="s">
        <v>580</v>
      </c>
      <c r="D1338" s="4" t="s">
        <v>921</v>
      </c>
      <c r="E1338" s="4">
        <v>30</v>
      </c>
      <c r="F1338" s="4" t="s">
        <v>917</v>
      </c>
      <c r="G1338" s="4"/>
      <c r="H1338" s="4"/>
      <c r="I1338" s="4"/>
      <c r="J1338" s="4"/>
    </row>
    <row r="1339" spans="1:10" ht="15" customHeight="1" x14ac:dyDescent="0.2">
      <c r="A1339" s="4">
        <v>1338</v>
      </c>
      <c r="B1339" s="4">
        <v>1235</v>
      </c>
      <c r="C1339" s="4" t="s">
        <v>580</v>
      </c>
      <c r="D1339" s="4" t="s">
        <v>922</v>
      </c>
      <c r="E1339" s="4">
        <v>50</v>
      </c>
      <c r="F1339" s="4" t="s">
        <v>917</v>
      </c>
      <c r="G1339" s="4"/>
      <c r="H1339" s="4"/>
      <c r="I1339" s="4"/>
      <c r="J1339" s="4"/>
    </row>
    <row r="1340" spans="1:10" ht="15" customHeight="1" x14ac:dyDescent="0.2">
      <c r="A1340" s="4">
        <v>1339</v>
      </c>
      <c r="B1340" s="4">
        <v>1235</v>
      </c>
      <c r="C1340" s="4" t="s">
        <v>580</v>
      </c>
      <c r="D1340" s="4" t="s">
        <v>923</v>
      </c>
      <c r="E1340" s="4">
        <v>60</v>
      </c>
      <c r="F1340" s="4" t="s">
        <v>917</v>
      </c>
      <c r="G1340" s="4"/>
      <c r="H1340" s="4"/>
      <c r="I1340" s="4"/>
      <c r="J1340" s="4"/>
    </row>
    <row r="1341" spans="1:10" ht="15" customHeight="1" x14ac:dyDescent="0.2">
      <c r="A1341" s="4">
        <v>1340</v>
      </c>
      <c r="B1341" s="4">
        <v>1235</v>
      </c>
      <c r="C1341" s="4" t="s">
        <v>580</v>
      </c>
      <c r="D1341" s="4" t="s">
        <v>924</v>
      </c>
      <c r="E1341" s="4">
        <v>75</v>
      </c>
      <c r="F1341" s="4" t="s">
        <v>917</v>
      </c>
      <c r="G1341" s="4"/>
      <c r="H1341" s="4"/>
      <c r="I1341" s="4"/>
      <c r="J1341" s="4"/>
    </row>
    <row r="1342" spans="1:10" ht="15" customHeight="1" x14ac:dyDescent="0.2">
      <c r="A1342" s="4">
        <v>1341</v>
      </c>
      <c r="B1342" s="4">
        <v>1236</v>
      </c>
      <c r="C1342" s="4" t="s">
        <v>581</v>
      </c>
      <c r="D1342" s="4" t="s">
        <v>921</v>
      </c>
      <c r="E1342" s="4">
        <v>30</v>
      </c>
      <c r="F1342" s="4" t="s">
        <v>917</v>
      </c>
      <c r="G1342" s="4"/>
      <c r="H1342" s="4"/>
      <c r="I1342" s="4"/>
      <c r="J1342" s="4"/>
    </row>
    <row r="1343" spans="1:10" ht="15" customHeight="1" x14ac:dyDescent="0.2">
      <c r="A1343" s="4">
        <v>1342</v>
      </c>
      <c r="B1343" s="4">
        <v>1236</v>
      </c>
      <c r="C1343" s="4" t="s">
        <v>581</v>
      </c>
      <c r="D1343" s="4" t="s">
        <v>922</v>
      </c>
      <c r="E1343" s="4">
        <v>50</v>
      </c>
      <c r="F1343" s="4" t="s">
        <v>917</v>
      </c>
      <c r="G1343" s="4"/>
      <c r="H1343" s="4"/>
      <c r="I1343" s="4"/>
      <c r="J1343" s="4"/>
    </row>
    <row r="1344" spans="1:10" ht="15" customHeight="1" x14ac:dyDescent="0.2">
      <c r="A1344" s="4">
        <v>1343</v>
      </c>
      <c r="B1344" s="4">
        <v>1236</v>
      </c>
      <c r="C1344" s="4" t="s">
        <v>581</v>
      </c>
      <c r="D1344" s="4" t="s">
        <v>923</v>
      </c>
      <c r="E1344" s="4">
        <v>60</v>
      </c>
      <c r="F1344" s="4" t="s">
        <v>917</v>
      </c>
      <c r="G1344" s="4"/>
      <c r="H1344" s="4"/>
      <c r="I1344" s="4"/>
      <c r="J1344" s="4"/>
    </row>
    <row r="1345" spans="1:10" ht="15" customHeight="1" x14ac:dyDescent="0.2">
      <c r="A1345" s="4">
        <v>1344</v>
      </c>
      <c r="B1345" s="4">
        <v>1236</v>
      </c>
      <c r="C1345" s="4" t="s">
        <v>581</v>
      </c>
      <c r="D1345" s="4" t="s">
        <v>924</v>
      </c>
      <c r="E1345" s="4">
        <v>75</v>
      </c>
      <c r="F1345" s="4" t="s">
        <v>917</v>
      </c>
      <c r="G1345" s="4"/>
      <c r="H1345" s="4"/>
      <c r="I1345" s="4"/>
      <c r="J1345" s="4"/>
    </row>
    <row r="1346" spans="1:10" ht="15" customHeight="1" x14ac:dyDescent="0.2">
      <c r="A1346" s="4">
        <v>1345</v>
      </c>
      <c r="B1346" s="4">
        <v>1237</v>
      </c>
      <c r="C1346" s="4" t="s">
        <v>582</v>
      </c>
      <c r="D1346" s="4" t="s">
        <v>925</v>
      </c>
      <c r="E1346" s="4">
        <v>5</v>
      </c>
      <c r="F1346" s="4" t="s">
        <v>917</v>
      </c>
      <c r="G1346" s="4"/>
      <c r="H1346" s="4"/>
      <c r="I1346" s="4"/>
      <c r="J1346" s="4"/>
    </row>
    <row r="1347" spans="1:10" ht="15" customHeight="1" x14ac:dyDescent="0.2">
      <c r="A1347" s="4">
        <v>1346</v>
      </c>
      <c r="B1347" s="4">
        <v>1237</v>
      </c>
      <c r="C1347" s="4" t="s">
        <v>582</v>
      </c>
      <c r="D1347" s="4" t="s">
        <v>926</v>
      </c>
      <c r="E1347" s="4">
        <v>10</v>
      </c>
      <c r="F1347" s="4" t="s">
        <v>917</v>
      </c>
      <c r="G1347" s="4"/>
      <c r="H1347" s="4"/>
      <c r="I1347" s="4"/>
      <c r="J1347" s="4"/>
    </row>
    <row r="1348" spans="1:10" ht="27.75" customHeight="1" x14ac:dyDescent="0.2">
      <c r="A1348" s="4">
        <v>1347</v>
      </c>
      <c r="B1348" s="4">
        <v>1237</v>
      </c>
      <c r="C1348" s="4" t="s">
        <v>582</v>
      </c>
      <c r="D1348" s="4" t="s">
        <v>927</v>
      </c>
      <c r="E1348" s="4">
        <v>15</v>
      </c>
      <c r="F1348" s="4" t="s">
        <v>917</v>
      </c>
      <c r="G1348" s="4"/>
      <c r="H1348" s="4"/>
      <c r="I1348" s="4"/>
      <c r="J1348" s="4"/>
    </row>
    <row r="1349" spans="1:10" ht="15" customHeight="1" x14ac:dyDescent="0.2">
      <c r="A1349" s="4">
        <v>1348</v>
      </c>
      <c r="B1349" s="4">
        <v>1237</v>
      </c>
      <c r="C1349" s="4" t="s">
        <v>582</v>
      </c>
      <c r="D1349" s="4" t="s">
        <v>928</v>
      </c>
      <c r="E1349" s="4">
        <v>20</v>
      </c>
      <c r="F1349" s="4" t="s">
        <v>917</v>
      </c>
      <c r="G1349" s="4"/>
      <c r="H1349" s="4"/>
      <c r="I1349" s="4"/>
      <c r="J1349" s="4"/>
    </row>
    <row r="1350" spans="1:10" ht="15" customHeight="1" x14ac:dyDescent="0.2">
      <c r="A1350" s="4">
        <v>1349</v>
      </c>
      <c r="B1350" s="4">
        <v>1238</v>
      </c>
      <c r="C1350" s="4" t="s">
        <v>586</v>
      </c>
      <c r="D1350" s="4" t="s">
        <v>925</v>
      </c>
      <c r="E1350" s="4">
        <v>5</v>
      </c>
      <c r="F1350" s="4" t="s">
        <v>917</v>
      </c>
      <c r="G1350" s="4"/>
      <c r="H1350" s="4"/>
      <c r="I1350" s="4"/>
      <c r="J1350" s="4"/>
    </row>
    <row r="1351" spans="1:10" ht="15" customHeight="1" x14ac:dyDescent="0.2">
      <c r="A1351" s="4">
        <v>1350</v>
      </c>
      <c r="B1351" s="4">
        <v>1238</v>
      </c>
      <c r="C1351" s="4" t="s">
        <v>586</v>
      </c>
      <c r="D1351" s="4" t="s">
        <v>926</v>
      </c>
      <c r="E1351" s="4">
        <v>10</v>
      </c>
      <c r="F1351" s="4" t="s">
        <v>917</v>
      </c>
      <c r="G1351" s="4"/>
      <c r="H1351" s="4"/>
      <c r="I1351" s="4"/>
      <c r="J1351" s="4"/>
    </row>
    <row r="1352" spans="1:10" ht="27.75" customHeight="1" x14ac:dyDescent="0.2">
      <c r="A1352" s="4">
        <v>1351</v>
      </c>
      <c r="B1352" s="4">
        <v>1238</v>
      </c>
      <c r="C1352" s="4" t="s">
        <v>586</v>
      </c>
      <c r="D1352" s="4" t="s">
        <v>927</v>
      </c>
      <c r="E1352" s="4">
        <v>15</v>
      </c>
      <c r="F1352" s="4" t="s">
        <v>917</v>
      </c>
      <c r="G1352" s="4"/>
      <c r="H1352" s="4"/>
      <c r="I1352" s="4"/>
      <c r="J1352" s="4"/>
    </row>
    <row r="1353" spans="1:10" ht="15" customHeight="1" x14ac:dyDescent="0.2">
      <c r="A1353" s="4">
        <v>1352</v>
      </c>
      <c r="B1353" s="4">
        <v>1238</v>
      </c>
      <c r="C1353" s="4" t="s">
        <v>586</v>
      </c>
      <c r="D1353" s="4" t="s">
        <v>928</v>
      </c>
      <c r="E1353" s="4">
        <v>20</v>
      </c>
      <c r="F1353" s="4" t="s">
        <v>917</v>
      </c>
      <c r="G1353" s="4"/>
      <c r="H1353" s="4"/>
      <c r="I1353" s="4"/>
      <c r="J1353" s="4"/>
    </row>
    <row r="1354" spans="1:10" ht="15" customHeight="1" x14ac:dyDescent="0.2">
      <c r="A1354" s="4">
        <v>1353</v>
      </c>
      <c r="B1354" s="4">
        <v>1239</v>
      </c>
      <c r="C1354" s="4" t="s">
        <v>587</v>
      </c>
      <c r="D1354" s="4" t="s">
        <v>925</v>
      </c>
      <c r="E1354" s="4">
        <v>5</v>
      </c>
      <c r="F1354" s="4" t="s">
        <v>917</v>
      </c>
      <c r="G1354" s="4"/>
      <c r="H1354" s="4"/>
      <c r="I1354" s="4"/>
      <c r="J1354" s="4"/>
    </row>
    <row r="1355" spans="1:10" ht="15" customHeight="1" x14ac:dyDescent="0.2">
      <c r="A1355" s="4">
        <v>1354</v>
      </c>
      <c r="B1355" s="4">
        <v>1239</v>
      </c>
      <c r="C1355" s="4" t="s">
        <v>587</v>
      </c>
      <c r="D1355" s="4" t="s">
        <v>926</v>
      </c>
      <c r="E1355" s="4">
        <v>10</v>
      </c>
      <c r="F1355" s="4" t="s">
        <v>917</v>
      </c>
      <c r="G1355" s="4"/>
      <c r="H1355" s="4"/>
      <c r="I1355" s="4"/>
      <c r="J1355" s="4"/>
    </row>
    <row r="1356" spans="1:10" ht="27.75" customHeight="1" x14ac:dyDescent="0.2">
      <c r="A1356" s="4">
        <v>1355</v>
      </c>
      <c r="B1356" s="4">
        <v>1239</v>
      </c>
      <c r="C1356" s="4" t="s">
        <v>587</v>
      </c>
      <c r="D1356" s="4" t="s">
        <v>927</v>
      </c>
      <c r="E1356" s="4">
        <v>15</v>
      </c>
      <c r="F1356" s="4" t="s">
        <v>917</v>
      </c>
      <c r="G1356" s="4"/>
      <c r="H1356" s="4"/>
      <c r="I1356" s="4"/>
      <c r="J1356" s="4"/>
    </row>
    <row r="1357" spans="1:10" ht="15" customHeight="1" x14ac:dyDescent="0.2">
      <c r="A1357" s="4">
        <v>1356</v>
      </c>
      <c r="B1357" s="4">
        <v>1239</v>
      </c>
      <c r="C1357" s="4" t="s">
        <v>587</v>
      </c>
      <c r="D1357" s="4" t="s">
        <v>928</v>
      </c>
      <c r="E1357" s="4">
        <v>20</v>
      </c>
      <c r="F1357" s="4" t="s">
        <v>917</v>
      </c>
      <c r="G1357" s="4"/>
      <c r="H1357" s="4"/>
      <c r="I1357" s="4"/>
      <c r="J1357" s="4"/>
    </row>
    <row r="1358" spans="1:10" ht="15" customHeight="1" x14ac:dyDescent="0.2">
      <c r="A1358" s="4">
        <v>1357</v>
      </c>
      <c r="B1358" s="4">
        <v>1240</v>
      </c>
      <c r="C1358" s="4" t="s">
        <v>588</v>
      </c>
      <c r="D1358" s="4" t="s">
        <v>925</v>
      </c>
      <c r="E1358" s="4">
        <v>5</v>
      </c>
      <c r="F1358" s="4" t="s">
        <v>917</v>
      </c>
      <c r="G1358" s="4"/>
      <c r="H1358" s="4"/>
      <c r="I1358" s="4"/>
      <c r="J1358" s="4"/>
    </row>
    <row r="1359" spans="1:10" ht="15" customHeight="1" x14ac:dyDescent="0.2">
      <c r="A1359" s="4">
        <v>1358</v>
      </c>
      <c r="B1359" s="4">
        <v>1240</v>
      </c>
      <c r="C1359" s="4" t="s">
        <v>588</v>
      </c>
      <c r="D1359" s="4" t="s">
        <v>926</v>
      </c>
      <c r="E1359" s="4">
        <v>10</v>
      </c>
      <c r="F1359" s="4" t="s">
        <v>917</v>
      </c>
      <c r="G1359" s="4"/>
      <c r="H1359" s="4"/>
      <c r="I1359" s="4"/>
      <c r="J1359" s="4"/>
    </row>
    <row r="1360" spans="1:10" ht="27.75" customHeight="1" x14ac:dyDescent="0.2">
      <c r="A1360" s="4">
        <v>1359</v>
      </c>
      <c r="B1360" s="4">
        <v>1240</v>
      </c>
      <c r="C1360" s="4" t="s">
        <v>588</v>
      </c>
      <c r="D1360" s="4" t="s">
        <v>927</v>
      </c>
      <c r="E1360" s="4">
        <v>15</v>
      </c>
      <c r="F1360" s="4" t="s">
        <v>917</v>
      </c>
      <c r="G1360" s="4"/>
      <c r="H1360" s="4"/>
      <c r="I1360" s="4"/>
      <c r="J1360" s="4"/>
    </row>
    <row r="1361" spans="1:10" ht="15" customHeight="1" x14ac:dyDescent="0.2">
      <c r="A1361" s="4">
        <v>1360</v>
      </c>
      <c r="B1361" s="4">
        <v>1240</v>
      </c>
      <c r="C1361" s="4" t="s">
        <v>588</v>
      </c>
      <c r="D1361" s="4" t="s">
        <v>928</v>
      </c>
      <c r="E1361" s="4">
        <v>20</v>
      </c>
      <c r="F1361" s="4" t="s">
        <v>917</v>
      </c>
      <c r="G1361" s="4"/>
      <c r="H1361" s="4"/>
      <c r="I1361" s="4"/>
      <c r="J1361" s="4"/>
    </row>
    <row r="1362" spans="1:10" ht="15" customHeight="1" x14ac:dyDescent="0.2">
      <c r="A1362" s="4">
        <v>1361</v>
      </c>
      <c r="B1362" s="4">
        <v>1241</v>
      </c>
      <c r="C1362" s="4" t="s">
        <v>589</v>
      </c>
      <c r="D1362" s="4" t="s">
        <v>925</v>
      </c>
      <c r="E1362" s="4">
        <v>5</v>
      </c>
      <c r="F1362" s="4" t="s">
        <v>917</v>
      </c>
      <c r="G1362" s="4"/>
      <c r="H1362" s="4"/>
      <c r="I1362" s="4"/>
      <c r="J1362" s="4"/>
    </row>
    <row r="1363" spans="1:10" ht="15" customHeight="1" x14ac:dyDescent="0.2">
      <c r="A1363" s="4">
        <v>1362</v>
      </c>
      <c r="B1363" s="4">
        <v>1241</v>
      </c>
      <c r="C1363" s="4" t="s">
        <v>589</v>
      </c>
      <c r="D1363" s="4" t="s">
        <v>926</v>
      </c>
      <c r="E1363" s="4">
        <v>10</v>
      </c>
      <c r="F1363" s="4" t="s">
        <v>917</v>
      </c>
      <c r="G1363" s="4"/>
      <c r="H1363" s="4"/>
      <c r="I1363" s="4"/>
      <c r="J1363" s="4"/>
    </row>
    <row r="1364" spans="1:10" ht="27.75" customHeight="1" x14ac:dyDescent="0.2">
      <c r="A1364" s="4">
        <v>1363</v>
      </c>
      <c r="B1364" s="4">
        <v>1241</v>
      </c>
      <c r="C1364" s="4" t="s">
        <v>589</v>
      </c>
      <c r="D1364" s="4" t="s">
        <v>927</v>
      </c>
      <c r="E1364" s="4">
        <v>15</v>
      </c>
      <c r="F1364" s="4" t="s">
        <v>917</v>
      </c>
      <c r="G1364" s="4"/>
      <c r="H1364" s="4"/>
      <c r="I1364" s="4"/>
      <c r="J1364" s="4"/>
    </row>
    <row r="1365" spans="1:10" ht="15" customHeight="1" x14ac:dyDescent="0.2">
      <c r="A1365" s="4">
        <v>1364</v>
      </c>
      <c r="B1365" s="4">
        <v>1241</v>
      </c>
      <c r="C1365" s="4" t="s">
        <v>589</v>
      </c>
      <c r="D1365" s="4" t="s">
        <v>928</v>
      </c>
      <c r="E1365" s="4">
        <v>20</v>
      </c>
      <c r="F1365" s="4" t="s">
        <v>917</v>
      </c>
      <c r="G1365" s="4"/>
      <c r="H1365" s="4"/>
      <c r="I1365" s="4"/>
      <c r="J1365" s="4"/>
    </row>
    <row r="1366" spans="1:10" ht="15" customHeight="1" x14ac:dyDescent="0.2">
      <c r="A1366" s="4">
        <v>1365</v>
      </c>
      <c r="B1366" s="4">
        <v>1242</v>
      </c>
      <c r="C1366" s="4" t="s">
        <v>590</v>
      </c>
      <c r="D1366" s="4" t="s">
        <v>925</v>
      </c>
      <c r="E1366" s="4">
        <v>5</v>
      </c>
      <c r="F1366" s="4" t="s">
        <v>917</v>
      </c>
      <c r="G1366" s="4"/>
      <c r="H1366" s="4"/>
      <c r="I1366" s="4"/>
      <c r="J1366" s="4"/>
    </row>
    <row r="1367" spans="1:10" ht="15" customHeight="1" x14ac:dyDescent="0.2">
      <c r="A1367" s="4">
        <v>1366</v>
      </c>
      <c r="B1367" s="4">
        <v>1242</v>
      </c>
      <c r="C1367" s="4" t="s">
        <v>590</v>
      </c>
      <c r="D1367" s="4" t="s">
        <v>926</v>
      </c>
      <c r="E1367" s="4">
        <v>10</v>
      </c>
      <c r="F1367" s="4" t="s">
        <v>917</v>
      </c>
      <c r="G1367" s="4"/>
      <c r="H1367" s="4"/>
      <c r="I1367" s="4"/>
      <c r="J1367" s="4"/>
    </row>
    <row r="1368" spans="1:10" ht="27.75" customHeight="1" x14ac:dyDescent="0.2">
      <c r="A1368" s="4">
        <v>1367</v>
      </c>
      <c r="B1368" s="4">
        <v>1242</v>
      </c>
      <c r="C1368" s="4" t="s">
        <v>590</v>
      </c>
      <c r="D1368" s="4" t="s">
        <v>927</v>
      </c>
      <c r="E1368" s="4">
        <v>15</v>
      </c>
      <c r="F1368" s="4" t="s">
        <v>917</v>
      </c>
      <c r="G1368" s="4"/>
      <c r="H1368" s="4"/>
      <c r="I1368" s="4"/>
      <c r="J1368" s="4"/>
    </row>
    <row r="1369" spans="1:10" ht="15" customHeight="1" x14ac:dyDescent="0.2">
      <c r="A1369" s="4">
        <v>1368</v>
      </c>
      <c r="B1369" s="4">
        <v>1242</v>
      </c>
      <c r="C1369" s="4" t="s">
        <v>590</v>
      </c>
      <c r="D1369" s="4" t="s">
        <v>928</v>
      </c>
      <c r="E1369" s="4">
        <v>20</v>
      </c>
      <c r="F1369" s="4" t="s">
        <v>917</v>
      </c>
      <c r="G1369" s="4"/>
      <c r="H1369" s="4"/>
      <c r="I1369" s="4"/>
      <c r="J1369" s="4"/>
    </row>
    <row r="1370" spans="1:10" ht="15" customHeight="1" x14ac:dyDescent="0.2">
      <c r="A1370" s="4">
        <v>1369</v>
      </c>
      <c r="B1370" s="4">
        <v>1243</v>
      </c>
      <c r="C1370" s="4" t="s">
        <v>591</v>
      </c>
      <c r="D1370" s="4" t="s">
        <v>925</v>
      </c>
      <c r="E1370" s="4">
        <v>5</v>
      </c>
      <c r="F1370" s="4" t="s">
        <v>917</v>
      </c>
      <c r="G1370" s="4"/>
      <c r="H1370" s="4"/>
      <c r="I1370" s="4"/>
      <c r="J1370" s="4"/>
    </row>
    <row r="1371" spans="1:10" ht="15" customHeight="1" x14ac:dyDescent="0.2">
      <c r="A1371" s="4">
        <v>1370</v>
      </c>
      <c r="B1371" s="4">
        <v>1243</v>
      </c>
      <c r="C1371" s="4" t="s">
        <v>591</v>
      </c>
      <c r="D1371" s="4" t="s">
        <v>926</v>
      </c>
      <c r="E1371" s="4">
        <v>10</v>
      </c>
      <c r="F1371" s="4" t="s">
        <v>917</v>
      </c>
      <c r="G1371" s="4"/>
      <c r="H1371" s="4"/>
      <c r="I1371" s="4"/>
      <c r="J1371" s="4"/>
    </row>
    <row r="1372" spans="1:10" ht="27.75" customHeight="1" x14ac:dyDescent="0.2">
      <c r="A1372" s="4">
        <v>1371</v>
      </c>
      <c r="B1372" s="4">
        <v>1243</v>
      </c>
      <c r="C1372" s="4" t="s">
        <v>591</v>
      </c>
      <c r="D1372" s="4" t="s">
        <v>927</v>
      </c>
      <c r="E1372" s="4">
        <v>15</v>
      </c>
      <c r="F1372" s="4" t="s">
        <v>917</v>
      </c>
      <c r="G1372" s="4"/>
      <c r="H1372" s="4"/>
      <c r="I1372" s="4"/>
      <c r="J1372" s="4"/>
    </row>
    <row r="1373" spans="1:10" ht="15" customHeight="1" x14ac:dyDescent="0.2">
      <c r="A1373" s="4">
        <v>1372</v>
      </c>
      <c r="B1373" s="4">
        <v>1243</v>
      </c>
      <c r="C1373" s="4" t="s">
        <v>591</v>
      </c>
      <c r="D1373" s="4" t="s">
        <v>928</v>
      </c>
      <c r="E1373" s="4">
        <v>20</v>
      </c>
      <c r="F1373" s="4" t="s">
        <v>917</v>
      </c>
      <c r="G1373" s="4"/>
      <c r="H1373" s="4"/>
      <c r="I1373" s="4"/>
      <c r="J1373" s="4"/>
    </row>
    <row r="1374" spans="1:10" ht="15" customHeight="1" x14ac:dyDescent="0.2">
      <c r="A1374" s="4">
        <v>1373</v>
      </c>
      <c r="B1374" s="4">
        <v>1244</v>
      </c>
      <c r="C1374" s="4" t="s">
        <v>592</v>
      </c>
      <c r="D1374" s="4" t="s">
        <v>925</v>
      </c>
      <c r="E1374" s="4">
        <v>5</v>
      </c>
      <c r="F1374" s="4" t="s">
        <v>917</v>
      </c>
      <c r="G1374" s="4"/>
      <c r="H1374" s="4"/>
      <c r="I1374" s="4"/>
      <c r="J1374" s="4"/>
    </row>
    <row r="1375" spans="1:10" ht="15" customHeight="1" x14ac:dyDescent="0.2">
      <c r="A1375" s="4">
        <v>1374</v>
      </c>
      <c r="B1375" s="4">
        <v>1244</v>
      </c>
      <c r="C1375" s="4" t="s">
        <v>592</v>
      </c>
      <c r="D1375" s="4" t="s">
        <v>926</v>
      </c>
      <c r="E1375" s="4">
        <v>10</v>
      </c>
      <c r="F1375" s="4" t="s">
        <v>917</v>
      </c>
      <c r="G1375" s="4"/>
      <c r="H1375" s="4"/>
      <c r="I1375" s="4"/>
      <c r="J1375" s="4"/>
    </row>
    <row r="1376" spans="1:10" ht="27.75" customHeight="1" x14ac:dyDescent="0.2">
      <c r="A1376" s="4">
        <v>1375</v>
      </c>
      <c r="B1376" s="4">
        <v>1244</v>
      </c>
      <c r="C1376" s="4" t="s">
        <v>592</v>
      </c>
      <c r="D1376" s="4" t="s">
        <v>927</v>
      </c>
      <c r="E1376" s="4">
        <v>15</v>
      </c>
      <c r="F1376" s="4" t="s">
        <v>917</v>
      </c>
      <c r="G1376" s="4"/>
      <c r="H1376" s="4"/>
      <c r="I1376" s="4"/>
      <c r="J1376" s="4"/>
    </row>
    <row r="1377" spans="1:10" ht="15" customHeight="1" x14ac:dyDescent="0.2">
      <c r="A1377" s="4">
        <v>1376</v>
      </c>
      <c r="B1377" s="4">
        <v>1244</v>
      </c>
      <c r="C1377" s="4" t="s">
        <v>592</v>
      </c>
      <c r="D1377" s="4" t="s">
        <v>928</v>
      </c>
      <c r="E1377" s="4">
        <v>20</v>
      </c>
      <c r="F1377" s="4" t="s">
        <v>917</v>
      </c>
      <c r="G1377" s="4"/>
      <c r="H1377" s="4"/>
      <c r="I1377" s="4"/>
      <c r="J1377" s="4"/>
    </row>
    <row r="1378" spans="1:10" ht="15" customHeight="1" x14ac:dyDescent="0.2">
      <c r="A1378" s="4">
        <v>1377</v>
      </c>
      <c r="B1378" s="4">
        <v>1245</v>
      </c>
      <c r="C1378" s="4" t="s">
        <v>593</v>
      </c>
      <c r="D1378" s="4" t="s">
        <v>925</v>
      </c>
      <c r="E1378" s="4">
        <v>5</v>
      </c>
      <c r="F1378" s="4" t="s">
        <v>917</v>
      </c>
      <c r="G1378" s="4"/>
      <c r="H1378" s="4"/>
      <c r="I1378" s="4"/>
      <c r="J1378" s="4"/>
    </row>
    <row r="1379" spans="1:10" ht="15" customHeight="1" x14ac:dyDescent="0.2">
      <c r="A1379" s="4">
        <v>1378</v>
      </c>
      <c r="B1379" s="4">
        <v>1245</v>
      </c>
      <c r="C1379" s="4" t="s">
        <v>593</v>
      </c>
      <c r="D1379" s="4" t="s">
        <v>926</v>
      </c>
      <c r="E1379" s="4">
        <v>10</v>
      </c>
      <c r="F1379" s="4" t="s">
        <v>917</v>
      </c>
      <c r="G1379" s="4"/>
      <c r="H1379" s="4"/>
      <c r="I1379" s="4"/>
      <c r="J1379" s="4"/>
    </row>
    <row r="1380" spans="1:10" ht="27.75" customHeight="1" x14ac:dyDescent="0.2">
      <c r="A1380" s="4">
        <v>1379</v>
      </c>
      <c r="B1380" s="4">
        <v>1245</v>
      </c>
      <c r="C1380" s="4" t="s">
        <v>593</v>
      </c>
      <c r="D1380" s="4" t="s">
        <v>927</v>
      </c>
      <c r="E1380" s="4">
        <v>15</v>
      </c>
      <c r="F1380" s="4" t="s">
        <v>917</v>
      </c>
      <c r="G1380" s="4"/>
      <c r="H1380" s="4"/>
      <c r="I1380" s="4"/>
      <c r="J1380" s="4"/>
    </row>
    <row r="1381" spans="1:10" ht="15" customHeight="1" x14ac:dyDescent="0.2">
      <c r="A1381" s="4">
        <v>1380</v>
      </c>
      <c r="B1381" s="4">
        <v>1245</v>
      </c>
      <c r="C1381" s="4" t="s">
        <v>593</v>
      </c>
      <c r="D1381" s="4" t="s">
        <v>928</v>
      </c>
      <c r="E1381" s="4">
        <v>20</v>
      </c>
      <c r="F1381" s="4" t="s">
        <v>917</v>
      </c>
      <c r="G1381" s="4"/>
      <c r="H1381" s="4"/>
      <c r="I1381" s="4"/>
      <c r="J1381" s="4"/>
    </row>
    <row r="1382" spans="1:10" ht="15" customHeight="1" x14ac:dyDescent="0.2">
      <c r="A1382" s="4">
        <v>1381</v>
      </c>
      <c r="B1382" s="4">
        <v>1246</v>
      </c>
      <c r="C1382" s="4" t="s">
        <v>594</v>
      </c>
      <c r="D1382" s="4" t="s">
        <v>925</v>
      </c>
      <c r="E1382" s="4">
        <v>5</v>
      </c>
      <c r="F1382" s="4" t="s">
        <v>917</v>
      </c>
      <c r="G1382" s="4"/>
      <c r="H1382" s="4"/>
      <c r="I1382" s="4"/>
      <c r="J1382" s="4"/>
    </row>
    <row r="1383" spans="1:10" ht="15" customHeight="1" x14ac:dyDescent="0.2">
      <c r="A1383" s="4">
        <v>1382</v>
      </c>
      <c r="B1383" s="4">
        <v>1246</v>
      </c>
      <c r="C1383" s="4" t="s">
        <v>594</v>
      </c>
      <c r="D1383" s="4" t="s">
        <v>926</v>
      </c>
      <c r="E1383" s="4">
        <v>10</v>
      </c>
      <c r="F1383" s="4" t="s">
        <v>917</v>
      </c>
      <c r="G1383" s="4"/>
      <c r="H1383" s="4"/>
      <c r="I1383" s="4"/>
      <c r="J1383" s="4"/>
    </row>
    <row r="1384" spans="1:10" ht="27.75" customHeight="1" x14ac:dyDescent="0.2">
      <c r="A1384" s="4">
        <v>1383</v>
      </c>
      <c r="B1384" s="4">
        <v>1246</v>
      </c>
      <c r="C1384" s="4" t="s">
        <v>594</v>
      </c>
      <c r="D1384" s="4" t="s">
        <v>927</v>
      </c>
      <c r="E1384" s="4">
        <v>15</v>
      </c>
      <c r="F1384" s="4" t="s">
        <v>917</v>
      </c>
      <c r="G1384" s="4"/>
      <c r="H1384" s="4"/>
      <c r="I1384" s="4"/>
      <c r="J1384" s="4"/>
    </row>
    <row r="1385" spans="1:10" ht="15" customHeight="1" x14ac:dyDescent="0.2">
      <c r="A1385" s="4">
        <v>1384</v>
      </c>
      <c r="B1385" s="4">
        <v>1246</v>
      </c>
      <c r="C1385" s="4" t="s">
        <v>594</v>
      </c>
      <c r="D1385" s="4" t="s">
        <v>928</v>
      </c>
      <c r="E1385" s="4">
        <v>20</v>
      </c>
      <c r="F1385" s="4" t="s">
        <v>917</v>
      </c>
      <c r="G1385" s="4"/>
      <c r="H1385" s="4"/>
      <c r="I1385" s="4"/>
      <c r="J1385" s="4"/>
    </row>
    <row r="1386" spans="1:10" ht="15" customHeight="1" x14ac:dyDescent="0.2">
      <c r="A1386" s="4">
        <v>1385</v>
      </c>
      <c r="B1386" s="4">
        <v>1247</v>
      </c>
      <c r="C1386" s="4" t="s">
        <v>596</v>
      </c>
      <c r="D1386" s="4" t="s">
        <v>925</v>
      </c>
      <c r="E1386" s="4">
        <v>5</v>
      </c>
      <c r="F1386" s="4" t="s">
        <v>917</v>
      </c>
      <c r="G1386" s="4"/>
      <c r="H1386" s="4"/>
      <c r="I1386" s="4"/>
      <c r="J1386" s="4"/>
    </row>
    <row r="1387" spans="1:10" ht="15" customHeight="1" x14ac:dyDescent="0.2">
      <c r="A1387" s="4">
        <v>1386</v>
      </c>
      <c r="B1387" s="4">
        <v>1247</v>
      </c>
      <c r="C1387" s="4" t="s">
        <v>596</v>
      </c>
      <c r="D1387" s="4" t="s">
        <v>926</v>
      </c>
      <c r="E1387" s="4">
        <v>10</v>
      </c>
      <c r="F1387" s="4" t="s">
        <v>917</v>
      </c>
      <c r="G1387" s="4"/>
      <c r="H1387" s="4"/>
      <c r="I1387" s="4"/>
      <c r="J1387" s="4"/>
    </row>
    <row r="1388" spans="1:10" ht="27.75" customHeight="1" x14ac:dyDescent="0.2">
      <c r="A1388" s="4">
        <v>1387</v>
      </c>
      <c r="B1388" s="4">
        <v>1247</v>
      </c>
      <c r="C1388" s="4" t="s">
        <v>596</v>
      </c>
      <c r="D1388" s="4" t="s">
        <v>927</v>
      </c>
      <c r="E1388" s="4">
        <v>15</v>
      </c>
      <c r="F1388" s="4" t="s">
        <v>917</v>
      </c>
      <c r="G1388" s="4"/>
      <c r="H1388" s="4"/>
      <c r="I1388" s="4"/>
      <c r="J1388" s="4"/>
    </row>
    <row r="1389" spans="1:10" ht="15" customHeight="1" x14ac:dyDescent="0.2">
      <c r="A1389" s="4">
        <v>1388</v>
      </c>
      <c r="B1389" s="4">
        <v>1247</v>
      </c>
      <c r="C1389" s="4" t="s">
        <v>596</v>
      </c>
      <c r="D1389" s="4" t="s">
        <v>928</v>
      </c>
      <c r="E1389" s="4">
        <v>20</v>
      </c>
      <c r="F1389" s="4" t="s">
        <v>917</v>
      </c>
      <c r="G1389" s="4"/>
      <c r="H1389" s="4"/>
      <c r="I1389" s="4"/>
      <c r="J1389" s="4"/>
    </row>
    <row r="1390" spans="1:10" ht="15" customHeight="1" x14ac:dyDescent="0.2">
      <c r="A1390" s="4">
        <v>1389</v>
      </c>
      <c r="B1390" s="4">
        <v>1248</v>
      </c>
      <c r="C1390" s="4" t="s">
        <v>597</v>
      </c>
      <c r="D1390" s="4" t="s">
        <v>925</v>
      </c>
      <c r="E1390" s="4">
        <v>5</v>
      </c>
      <c r="F1390" s="4" t="s">
        <v>917</v>
      </c>
      <c r="G1390" s="4"/>
      <c r="H1390" s="4"/>
      <c r="I1390" s="4"/>
      <c r="J1390" s="4"/>
    </row>
    <row r="1391" spans="1:10" ht="15" customHeight="1" x14ac:dyDescent="0.2">
      <c r="A1391" s="4">
        <v>1390</v>
      </c>
      <c r="B1391" s="4">
        <v>1248</v>
      </c>
      <c r="C1391" s="4" t="s">
        <v>597</v>
      </c>
      <c r="D1391" s="4" t="s">
        <v>926</v>
      </c>
      <c r="E1391" s="4">
        <v>10</v>
      </c>
      <c r="F1391" s="4" t="s">
        <v>917</v>
      </c>
      <c r="G1391" s="4"/>
      <c r="H1391" s="4"/>
      <c r="I1391" s="4"/>
      <c r="J1391" s="4"/>
    </row>
    <row r="1392" spans="1:10" ht="27.75" customHeight="1" x14ac:dyDescent="0.2">
      <c r="A1392" s="4">
        <v>1391</v>
      </c>
      <c r="B1392" s="4">
        <v>1248</v>
      </c>
      <c r="C1392" s="4" t="s">
        <v>597</v>
      </c>
      <c r="D1392" s="4" t="s">
        <v>927</v>
      </c>
      <c r="E1392" s="4">
        <v>15</v>
      </c>
      <c r="F1392" s="4" t="s">
        <v>917</v>
      </c>
      <c r="G1392" s="4"/>
      <c r="H1392" s="4"/>
      <c r="I1392" s="4"/>
      <c r="J1392" s="4"/>
    </row>
    <row r="1393" spans="1:10" ht="15" customHeight="1" x14ac:dyDescent="0.2">
      <c r="A1393" s="4">
        <v>1392</v>
      </c>
      <c r="B1393" s="4">
        <v>1248</v>
      </c>
      <c r="C1393" s="4" t="s">
        <v>597</v>
      </c>
      <c r="D1393" s="4" t="s">
        <v>928</v>
      </c>
      <c r="E1393" s="4">
        <v>20</v>
      </c>
      <c r="F1393" s="4" t="s">
        <v>917</v>
      </c>
      <c r="G1393" s="4"/>
      <c r="H1393" s="4"/>
      <c r="I1393" s="4"/>
      <c r="J1393" s="4"/>
    </row>
    <row r="1394" spans="1:10" ht="15" customHeight="1" x14ac:dyDescent="0.2">
      <c r="A1394" s="4">
        <v>1393</v>
      </c>
      <c r="B1394" s="4">
        <v>1249</v>
      </c>
      <c r="C1394" s="4" t="s">
        <v>598</v>
      </c>
      <c r="D1394" s="4" t="s">
        <v>925</v>
      </c>
      <c r="E1394" s="4">
        <v>5</v>
      </c>
      <c r="F1394" s="4" t="s">
        <v>917</v>
      </c>
      <c r="G1394" s="4"/>
      <c r="H1394" s="4"/>
      <c r="I1394" s="4"/>
      <c r="J1394" s="4"/>
    </row>
    <row r="1395" spans="1:10" ht="15" customHeight="1" x14ac:dyDescent="0.2">
      <c r="A1395" s="4">
        <v>1394</v>
      </c>
      <c r="B1395" s="4">
        <v>1249</v>
      </c>
      <c r="C1395" s="4" t="s">
        <v>598</v>
      </c>
      <c r="D1395" s="4" t="s">
        <v>926</v>
      </c>
      <c r="E1395" s="4">
        <v>10</v>
      </c>
      <c r="F1395" s="4" t="s">
        <v>917</v>
      </c>
      <c r="G1395" s="4"/>
      <c r="H1395" s="4"/>
      <c r="I1395" s="4"/>
      <c r="J1395" s="4"/>
    </row>
    <row r="1396" spans="1:10" ht="27.75" customHeight="1" x14ac:dyDescent="0.2">
      <c r="A1396" s="4">
        <v>1395</v>
      </c>
      <c r="B1396" s="4">
        <v>1249</v>
      </c>
      <c r="C1396" s="4" t="s">
        <v>598</v>
      </c>
      <c r="D1396" s="4" t="s">
        <v>927</v>
      </c>
      <c r="E1396" s="4">
        <v>15</v>
      </c>
      <c r="F1396" s="4" t="s">
        <v>917</v>
      </c>
      <c r="G1396" s="4"/>
      <c r="H1396" s="4"/>
      <c r="I1396" s="4"/>
      <c r="J1396" s="4"/>
    </row>
    <row r="1397" spans="1:10" ht="15" customHeight="1" x14ac:dyDescent="0.2">
      <c r="A1397" s="4">
        <v>1396</v>
      </c>
      <c r="B1397" s="4">
        <v>1249</v>
      </c>
      <c r="C1397" s="4" t="s">
        <v>598</v>
      </c>
      <c r="D1397" s="4" t="s">
        <v>928</v>
      </c>
      <c r="E1397" s="4">
        <v>20</v>
      </c>
      <c r="F1397" s="4" t="s">
        <v>917</v>
      </c>
      <c r="G1397" s="4"/>
      <c r="H1397" s="4"/>
      <c r="I1397" s="4"/>
      <c r="J1397" s="4"/>
    </row>
    <row r="1398" spans="1:10" ht="15" customHeight="1" x14ac:dyDescent="0.2">
      <c r="A1398" s="4">
        <v>1397</v>
      </c>
      <c r="B1398" s="4">
        <v>1250</v>
      </c>
      <c r="C1398" s="4" t="s">
        <v>600</v>
      </c>
      <c r="D1398" s="4" t="s">
        <v>925</v>
      </c>
      <c r="E1398" s="4">
        <v>5</v>
      </c>
      <c r="F1398" s="4" t="s">
        <v>917</v>
      </c>
      <c r="G1398" s="4"/>
      <c r="H1398" s="4"/>
      <c r="I1398" s="4"/>
      <c r="J1398" s="4"/>
    </row>
    <row r="1399" spans="1:10" ht="15" customHeight="1" x14ac:dyDescent="0.2">
      <c r="A1399" s="4">
        <v>1398</v>
      </c>
      <c r="B1399" s="4">
        <v>1250</v>
      </c>
      <c r="C1399" s="4" t="s">
        <v>600</v>
      </c>
      <c r="D1399" s="4" t="s">
        <v>926</v>
      </c>
      <c r="E1399" s="4">
        <v>10</v>
      </c>
      <c r="F1399" s="4" t="s">
        <v>917</v>
      </c>
      <c r="G1399" s="4"/>
      <c r="H1399" s="4"/>
      <c r="I1399" s="4"/>
      <c r="J1399" s="4"/>
    </row>
    <row r="1400" spans="1:10" ht="27.75" customHeight="1" x14ac:dyDescent="0.2">
      <c r="A1400" s="4">
        <v>1399</v>
      </c>
      <c r="B1400" s="4">
        <v>1250</v>
      </c>
      <c r="C1400" s="4" t="s">
        <v>600</v>
      </c>
      <c r="D1400" s="4" t="s">
        <v>927</v>
      </c>
      <c r="E1400" s="4">
        <v>15</v>
      </c>
      <c r="F1400" s="4" t="s">
        <v>917</v>
      </c>
      <c r="G1400" s="4"/>
      <c r="H1400" s="4"/>
      <c r="I1400" s="4"/>
      <c r="J1400" s="4"/>
    </row>
    <row r="1401" spans="1:10" ht="15" customHeight="1" x14ac:dyDescent="0.2">
      <c r="A1401" s="4">
        <v>1400</v>
      </c>
      <c r="B1401" s="4">
        <v>1250</v>
      </c>
      <c r="C1401" s="4" t="s">
        <v>600</v>
      </c>
      <c r="D1401" s="4" t="s">
        <v>928</v>
      </c>
      <c r="E1401" s="4">
        <v>20</v>
      </c>
      <c r="F1401" s="4" t="s">
        <v>917</v>
      </c>
      <c r="G1401" s="4"/>
      <c r="H1401" s="4"/>
      <c r="I1401" s="4"/>
      <c r="J1401" s="4"/>
    </row>
    <row r="1402" spans="1:10" ht="15" customHeight="1" x14ac:dyDescent="0.2">
      <c r="A1402" s="4">
        <v>1401</v>
      </c>
      <c r="B1402" s="4">
        <v>1251</v>
      </c>
      <c r="C1402" s="4" t="s">
        <v>601</v>
      </c>
      <c r="D1402" s="4" t="s">
        <v>925</v>
      </c>
      <c r="E1402" s="4">
        <v>5</v>
      </c>
      <c r="F1402" s="4" t="s">
        <v>917</v>
      </c>
      <c r="G1402" s="4"/>
      <c r="H1402" s="4"/>
      <c r="I1402" s="4"/>
      <c r="J1402" s="4"/>
    </row>
    <row r="1403" spans="1:10" ht="15" customHeight="1" x14ac:dyDescent="0.2">
      <c r="A1403" s="4">
        <v>1402</v>
      </c>
      <c r="B1403" s="4">
        <v>1251</v>
      </c>
      <c r="C1403" s="4" t="s">
        <v>601</v>
      </c>
      <c r="D1403" s="4" t="s">
        <v>926</v>
      </c>
      <c r="E1403" s="4">
        <v>10</v>
      </c>
      <c r="F1403" s="4" t="s">
        <v>917</v>
      </c>
      <c r="G1403" s="4"/>
      <c r="H1403" s="4"/>
      <c r="I1403" s="4"/>
      <c r="J1403" s="4"/>
    </row>
    <row r="1404" spans="1:10" ht="27.75" customHeight="1" x14ac:dyDescent="0.2">
      <c r="A1404" s="4">
        <v>1403</v>
      </c>
      <c r="B1404" s="4">
        <v>1251</v>
      </c>
      <c r="C1404" s="4" t="s">
        <v>601</v>
      </c>
      <c r="D1404" s="4" t="s">
        <v>927</v>
      </c>
      <c r="E1404" s="4">
        <v>15</v>
      </c>
      <c r="F1404" s="4" t="s">
        <v>917</v>
      </c>
      <c r="G1404" s="4"/>
      <c r="H1404" s="4"/>
      <c r="I1404" s="4"/>
      <c r="J1404" s="4"/>
    </row>
    <row r="1405" spans="1:10" ht="15" customHeight="1" x14ac:dyDescent="0.2">
      <c r="A1405" s="4">
        <v>1404</v>
      </c>
      <c r="B1405" s="4">
        <v>1251</v>
      </c>
      <c r="C1405" s="4" t="s">
        <v>601</v>
      </c>
      <c r="D1405" s="4" t="s">
        <v>928</v>
      </c>
      <c r="E1405" s="4">
        <v>20</v>
      </c>
      <c r="F1405" s="4" t="s">
        <v>917</v>
      </c>
      <c r="G1405" s="4"/>
      <c r="H1405" s="4"/>
      <c r="I1405" s="4"/>
      <c r="J1405" s="4"/>
    </row>
    <row r="1406" spans="1:10" ht="15" customHeight="1" x14ac:dyDescent="0.2">
      <c r="A1406" s="4">
        <v>1405</v>
      </c>
      <c r="B1406" s="4">
        <v>1252</v>
      </c>
      <c r="C1406" s="4" t="s">
        <v>602</v>
      </c>
      <c r="D1406" s="4" t="s">
        <v>925</v>
      </c>
      <c r="E1406" s="4">
        <v>5</v>
      </c>
      <c r="F1406" s="4" t="s">
        <v>917</v>
      </c>
      <c r="G1406" s="4"/>
      <c r="H1406" s="4"/>
      <c r="I1406" s="4"/>
      <c r="J1406" s="4"/>
    </row>
    <row r="1407" spans="1:10" ht="15" customHeight="1" x14ac:dyDescent="0.2">
      <c r="A1407" s="4">
        <v>1406</v>
      </c>
      <c r="B1407" s="4">
        <v>1252</v>
      </c>
      <c r="C1407" s="4" t="s">
        <v>602</v>
      </c>
      <c r="D1407" s="4" t="s">
        <v>926</v>
      </c>
      <c r="E1407" s="4">
        <v>10</v>
      </c>
      <c r="F1407" s="4" t="s">
        <v>917</v>
      </c>
      <c r="G1407" s="4"/>
      <c r="H1407" s="4"/>
      <c r="I1407" s="4"/>
      <c r="J1407" s="4"/>
    </row>
    <row r="1408" spans="1:10" ht="27.75" customHeight="1" x14ac:dyDescent="0.2">
      <c r="A1408" s="4">
        <v>1407</v>
      </c>
      <c r="B1408" s="4">
        <v>1252</v>
      </c>
      <c r="C1408" s="4" t="s">
        <v>602</v>
      </c>
      <c r="D1408" s="4" t="s">
        <v>927</v>
      </c>
      <c r="E1408" s="4">
        <v>15</v>
      </c>
      <c r="F1408" s="4" t="s">
        <v>917</v>
      </c>
      <c r="G1408" s="4"/>
      <c r="H1408" s="4"/>
      <c r="I1408" s="4"/>
      <c r="J1408" s="4"/>
    </row>
    <row r="1409" spans="1:10" ht="15" customHeight="1" x14ac:dyDescent="0.2">
      <c r="A1409" s="4">
        <v>1408</v>
      </c>
      <c r="B1409" s="4">
        <v>1252</v>
      </c>
      <c r="C1409" s="4" t="s">
        <v>602</v>
      </c>
      <c r="D1409" s="4" t="s">
        <v>928</v>
      </c>
      <c r="E1409" s="4">
        <v>20</v>
      </c>
      <c r="F1409" s="4" t="s">
        <v>917</v>
      </c>
      <c r="G1409" s="4"/>
      <c r="H1409" s="4"/>
      <c r="I1409" s="4"/>
      <c r="J1409" s="4"/>
    </row>
    <row r="1410" spans="1:10" ht="15" customHeight="1" x14ac:dyDescent="0.2">
      <c r="A1410" s="4">
        <v>1409</v>
      </c>
      <c r="B1410" s="4">
        <v>1253</v>
      </c>
      <c r="C1410" s="4" t="s">
        <v>604</v>
      </c>
      <c r="D1410" s="4" t="s">
        <v>925</v>
      </c>
      <c r="E1410" s="4">
        <v>5</v>
      </c>
      <c r="F1410" s="4" t="s">
        <v>917</v>
      </c>
      <c r="G1410" s="4"/>
      <c r="H1410" s="4"/>
      <c r="I1410" s="4"/>
      <c r="J1410" s="4"/>
    </row>
    <row r="1411" spans="1:10" ht="15" customHeight="1" x14ac:dyDescent="0.2">
      <c r="A1411" s="4">
        <v>1410</v>
      </c>
      <c r="B1411" s="4">
        <v>1253</v>
      </c>
      <c r="C1411" s="4" t="s">
        <v>604</v>
      </c>
      <c r="D1411" s="4" t="s">
        <v>926</v>
      </c>
      <c r="E1411" s="4">
        <v>10</v>
      </c>
      <c r="F1411" s="4" t="s">
        <v>917</v>
      </c>
      <c r="G1411" s="4"/>
      <c r="H1411" s="4"/>
      <c r="I1411" s="4"/>
      <c r="J1411" s="4"/>
    </row>
    <row r="1412" spans="1:10" ht="27.75" customHeight="1" x14ac:dyDescent="0.2">
      <c r="A1412" s="4">
        <v>1411</v>
      </c>
      <c r="B1412" s="4">
        <v>1253</v>
      </c>
      <c r="C1412" s="4" t="s">
        <v>604</v>
      </c>
      <c r="D1412" s="4" t="s">
        <v>927</v>
      </c>
      <c r="E1412" s="4">
        <v>15</v>
      </c>
      <c r="F1412" s="4" t="s">
        <v>917</v>
      </c>
      <c r="G1412" s="4"/>
      <c r="H1412" s="4"/>
      <c r="I1412" s="4"/>
      <c r="J1412" s="4"/>
    </row>
    <row r="1413" spans="1:10" ht="15" customHeight="1" x14ac:dyDescent="0.2">
      <c r="A1413" s="4">
        <v>1412</v>
      </c>
      <c r="B1413" s="4">
        <v>1253</v>
      </c>
      <c r="C1413" s="4" t="s">
        <v>604</v>
      </c>
      <c r="D1413" s="4" t="s">
        <v>928</v>
      </c>
      <c r="E1413" s="4">
        <v>20</v>
      </c>
      <c r="F1413" s="4" t="s">
        <v>917</v>
      </c>
      <c r="G1413" s="4"/>
      <c r="H1413" s="4"/>
      <c r="I1413" s="4"/>
      <c r="J1413" s="4"/>
    </row>
    <row r="1414" spans="1:10" ht="15" customHeight="1" x14ac:dyDescent="0.2">
      <c r="A1414" s="4">
        <v>1413</v>
      </c>
      <c r="B1414" s="4">
        <v>1254</v>
      </c>
      <c r="C1414" s="4" t="s">
        <v>605</v>
      </c>
      <c r="D1414" s="4" t="s">
        <v>925</v>
      </c>
      <c r="E1414" s="4">
        <v>5</v>
      </c>
      <c r="F1414" s="4" t="s">
        <v>917</v>
      </c>
      <c r="G1414" s="4"/>
      <c r="H1414" s="4"/>
      <c r="I1414" s="4"/>
      <c r="J1414" s="4"/>
    </row>
    <row r="1415" spans="1:10" ht="15" customHeight="1" x14ac:dyDescent="0.2">
      <c r="A1415" s="4">
        <v>1414</v>
      </c>
      <c r="B1415" s="4">
        <v>1254</v>
      </c>
      <c r="C1415" s="4" t="s">
        <v>605</v>
      </c>
      <c r="D1415" s="4" t="s">
        <v>926</v>
      </c>
      <c r="E1415" s="4">
        <v>10</v>
      </c>
      <c r="F1415" s="4" t="s">
        <v>917</v>
      </c>
      <c r="G1415" s="4"/>
      <c r="H1415" s="4"/>
      <c r="I1415" s="4"/>
      <c r="J1415" s="4"/>
    </row>
    <row r="1416" spans="1:10" ht="27.75" customHeight="1" x14ac:dyDescent="0.2">
      <c r="A1416" s="4">
        <v>1415</v>
      </c>
      <c r="B1416" s="4">
        <v>1254</v>
      </c>
      <c r="C1416" s="4" t="s">
        <v>605</v>
      </c>
      <c r="D1416" s="4" t="s">
        <v>927</v>
      </c>
      <c r="E1416" s="4">
        <v>15</v>
      </c>
      <c r="F1416" s="4" t="s">
        <v>917</v>
      </c>
      <c r="G1416" s="4"/>
      <c r="H1416" s="4"/>
      <c r="I1416" s="4"/>
      <c r="J1416" s="4"/>
    </row>
    <row r="1417" spans="1:10" ht="15" customHeight="1" x14ac:dyDescent="0.2">
      <c r="A1417" s="4">
        <v>1416</v>
      </c>
      <c r="B1417" s="4">
        <v>1254</v>
      </c>
      <c r="C1417" s="4" t="s">
        <v>605</v>
      </c>
      <c r="D1417" s="4" t="s">
        <v>928</v>
      </c>
      <c r="E1417" s="4">
        <v>20</v>
      </c>
      <c r="F1417" s="4" t="s">
        <v>917</v>
      </c>
      <c r="G1417" s="4"/>
      <c r="H1417" s="4"/>
      <c r="I1417" s="4"/>
      <c r="J1417" s="4"/>
    </row>
    <row r="1418" spans="1:10" ht="15" customHeight="1" x14ac:dyDescent="0.2">
      <c r="A1418" s="4">
        <v>1417</v>
      </c>
      <c r="B1418" s="4">
        <v>1255</v>
      </c>
      <c r="C1418" s="4" t="s">
        <v>606</v>
      </c>
      <c r="D1418" s="4" t="s">
        <v>925</v>
      </c>
      <c r="E1418" s="4">
        <v>5</v>
      </c>
      <c r="F1418" s="4" t="s">
        <v>917</v>
      </c>
      <c r="G1418" s="4"/>
      <c r="H1418" s="4"/>
      <c r="I1418" s="4"/>
      <c r="J1418" s="4"/>
    </row>
    <row r="1419" spans="1:10" ht="15" customHeight="1" x14ac:dyDescent="0.2">
      <c r="A1419" s="4">
        <v>1418</v>
      </c>
      <c r="B1419" s="4">
        <v>1255</v>
      </c>
      <c r="C1419" s="4" t="s">
        <v>606</v>
      </c>
      <c r="D1419" s="4" t="s">
        <v>926</v>
      </c>
      <c r="E1419" s="4">
        <v>10</v>
      </c>
      <c r="F1419" s="4" t="s">
        <v>917</v>
      </c>
      <c r="G1419" s="4"/>
      <c r="H1419" s="4"/>
      <c r="I1419" s="4"/>
      <c r="J1419" s="4"/>
    </row>
    <row r="1420" spans="1:10" ht="27.75" customHeight="1" x14ac:dyDescent="0.2">
      <c r="A1420" s="4">
        <v>1419</v>
      </c>
      <c r="B1420" s="4">
        <v>1255</v>
      </c>
      <c r="C1420" s="4" t="s">
        <v>606</v>
      </c>
      <c r="D1420" s="4" t="s">
        <v>927</v>
      </c>
      <c r="E1420" s="4">
        <v>15</v>
      </c>
      <c r="F1420" s="4" t="s">
        <v>917</v>
      </c>
      <c r="G1420" s="4"/>
      <c r="H1420" s="4"/>
      <c r="I1420" s="4"/>
      <c r="J1420" s="4"/>
    </row>
    <row r="1421" spans="1:10" ht="15" customHeight="1" x14ac:dyDescent="0.2">
      <c r="A1421" s="4">
        <v>1420</v>
      </c>
      <c r="B1421" s="4">
        <v>1255</v>
      </c>
      <c r="C1421" s="4" t="s">
        <v>606</v>
      </c>
      <c r="D1421" s="4" t="s">
        <v>928</v>
      </c>
      <c r="E1421" s="4">
        <v>20</v>
      </c>
      <c r="F1421" s="4" t="s">
        <v>917</v>
      </c>
      <c r="G1421" s="4"/>
      <c r="H1421" s="4"/>
      <c r="I1421" s="4"/>
      <c r="J1421" s="4"/>
    </row>
    <row r="1422" spans="1:10" ht="15" customHeight="1" x14ac:dyDescent="0.2">
      <c r="A1422" s="4">
        <v>1421</v>
      </c>
      <c r="B1422" s="4">
        <v>1256</v>
      </c>
      <c r="C1422" s="4" t="s">
        <v>607</v>
      </c>
      <c r="D1422" s="4" t="s">
        <v>925</v>
      </c>
      <c r="E1422" s="4">
        <v>5</v>
      </c>
      <c r="F1422" s="4" t="s">
        <v>917</v>
      </c>
      <c r="G1422" s="4"/>
      <c r="H1422" s="4"/>
      <c r="I1422" s="4"/>
      <c r="J1422" s="4"/>
    </row>
    <row r="1423" spans="1:10" ht="15" customHeight="1" x14ac:dyDescent="0.2">
      <c r="A1423" s="4">
        <v>1422</v>
      </c>
      <c r="B1423" s="4">
        <v>1256</v>
      </c>
      <c r="C1423" s="4" t="s">
        <v>607</v>
      </c>
      <c r="D1423" s="4" t="s">
        <v>926</v>
      </c>
      <c r="E1423" s="4">
        <v>10</v>
      </c>
      <c r="F1423" s="4" t="s">
        <v>917</v>
      </c>
      <c r="G1423" s="4"/>
      <c r="H1423" s="4"/>
      <c r="I1423" s="4"/>
      <c r="J1423" s="4"/>
    </row>
    <row r="1424" spans="1:10" ht="27.75" customHeight="1" x14ac:dyDescent="0.2">
      <c r="A1424" s="4">
        <v>1423</v>
      </c>
      <c r="B1424" s="4">
        <v>1256</v>
      </c>
      <c r="C1424" s="4" t="s">
        <v>607</v>
      </c>
      <c r="D1424" s="4" t="s">
        <v>927</v>
      </c>
      <c r="E1424" s="4">
        <v>15</v>
      </c>
      <c r="F1424" s="4" t="s">
        <v>917</v>
      </c>
      <c r="G1424" s="4"/>
      <c r="H1424" s="4"/>
      <c r="I1424" s="4"/>
      <c r="J1424" s="4"/>
    </row>
    <row r="1425" spans="1:10" ht="15" customHeight="1" x14ac:dyDescent="0.2">
      <c r="A1425" s="4">
        <v>1424</v>
      </c>
      <c r="B1425" s="4">
        <v>1256</v>
      </c>
      <c r="C1425" s="4" t="s">
        <v>607</v>
      </c>
      <c r="D1425" s="4" t="s">
        <v>928</v>
      </c>
      <c r="E1425" s="4">
        <v>20</v>
      </c>
      <c r="F1425" s="4" t="s">
        <v>917</v>
      </c>
      <c r="G1425" s="4"/>
      <c r="H1425" s="4"/>
      <c r="I1425" s="4"/>
      <c r="J1425" s="4"/>
    </row>
    <row r="1426" spans="1:10" ht="15" customHeight="1" x14ac:dyDescent="0.2">
      <c r="A1426" s="4">
        <v>1425</v>
      </c>
      <c r="B1426" s="4">
        <v>1257</v>
      </c>
      <c r="C1426" s="4" t="s">
        <v>608</v>
      </c>
      <c r="D1426" s="4" t="s">
        <v>925</v>
      </c>
      <c r="E1426" s="4">
        <v>5</v>
      </c>
      <c r="F1426" s="4" t="s">
        <v>917</v>
      </c>
      <c r="G1426" s="4"/>
      <c r="H1426" s="4"/>
      <c r="I1426" s="4"/>
      <c r="J1426" s="4"/>
    </row>
    <row r="1427" spans="1:10" ht="15" customHeight="1" x14ac:dyDescent="0.2">
      <c r="A1427" s="4">
        <v>1426</v>
      </c>
      <c r="B1427" s="4">
        <v>1257</v>
      </c>
      <c r="C1427" s="4" t="s">
        <v>608</v>
      </c>
      <c r="D1427" s="4" t="s">
        <v>926</v>
      </c>
      <c r="E1427" s="4">
        <v>10</v>
      </c>
      <c r="F1427" s="4" t="s">
        <v>917</v>
      </c>
      <c r="G1427" s="4"/>
      <c r="H1427" s="4"/>
      <c r="I1427" s="4"/>
      <c r="J1427" s="4"/>
    </row>
    <row r="1428" spans="1:10" ht="27.75" customHeight="1" x14ac:dyDescent="0.2">
      <c r="A1428" s="4">
        <v>1427</v>
      </c>
      <c r="B1428" s="4">
        <v>1257</v>
      </c>
      <c r="C1428" s="4" t="s">
        <v>608</v>
      </c>
      <c r="D1428" s="4" t="s">
        <v>927</v>
      </c>
      <c r="E1428" s="4">
        <v>15</v>
      </c>
      <c r="F1428" s="4" t="s">
        <v>917</v>
      </c>
      <c r="G1428" s="4"/>
      <c r="H1428" s="4"/>
      <c r="I1428" s="4"/>
      <c r="J1428" s="4"/>
    </row>
    <row r="1429" spans="1:10" ht="15" customHeight="1" x14ac:dyDescent="0.2">
      <c r="A1429" s="4">
        <v>1428</v>
      </c>
      <c r="B1429" s="4">
        <v>1257</v>
      </c>
      <c r="C1429" s="4" t="s">
        <v>608</v>
      </c>
      <c r="D1429" s="4" t="s">
        <v>928</v>
      </c>
      <c r="E1429" s="4">
        <v>20</v>
      </c>
      <c r="F1429" s="4" t="s">
        <v>917</v>
      </c>
      <c r="G1429" s="4"/>
      <c r="H1429" s="4"/>
      <c r="I1429" s="4"/>
      <c r="J1429" s="4"/>
    </row>
    <row r="1430" spans="1:10" ht="15" customHeight="1" x14ac:dyDescent="0.2">
      <c r="A1430" s="4">
        <v>1429</v>
      </c>
      <c r="B1430" s="4">
        <v>1258</v>
      </c>
      <c r="C1430" s="4" t="s">
        <v>609</v>
      </c>
      <c r="D1430" s="4" t="s">
        <v>929</v>
      </c>
      <c r="E1430" s="4">
        <v>15</v>
      </c>
      <c r="F1430" s="4" t="s">
        <v>917</v>
      </c>
      <c r="G1430" s="4"/>
      <c r="H1430" s="4"/>
      <c r="I1430" s="4"/>
      <c r="J1430" s="4"/>
    </row>
    <row r="1431" spans="1:10" ht="15" customHeight="1" x14ac:dyDescent="0.2">
      <c r="A1431" s="4">
        <v>1430</v>
      </c>
      <c r="B1431" s="4">
        <v>1258</v>
      </c>
      <c r="C1431" s="4" t="s">
        <v>609</v>
      </c>
      <c r="D1431" s="4" t="s">
        <v>918</v>
      </c>
      <c r="E1431" s="4">
        <v>25</v>
      </c>
      <c r="F1431" s="4" t="s">
        <v>917</v>
      </c>
      <c r="G1431" s="4"/>
      <c r="H1431" s="4"/>
      <c r="I1431" s="4"/>
      <c r="J1431" s="4"/>
    </row>
    <row r="1432" spans="1:10" ht="15" customHeight="1" x14ac:dyDescent="0.2">
      <c r="A1432" s="4">
        <v>1431</v>
      </c>
      <c r="B1432" s="4">
        <v>1258</v>
      </c>
      <c r="C1432" s="4" t="s">
        <v>609</v>
      </c>
      <c r="D1432" s="4" t="s">
        <v>919</v>
      </c>
      <c r="E1432" s="4">
        <v>40</v>
      </c>
      <c r="F1432" s="4" t="s">
        <v>917</v>
      </c>
      <c r="G1432" s="4"/>
      <c r="H1432" s="4"/>
      <c r="I1432" s="4"/>
      <c r="J1432" s="4"/>
    </row>
    <row r="1433" spans="1:10" ht="15" customHeight="1" x14ac:dyDescent="0.2">
      <c r="A1433" s="4">
        <v>1432</v>
      </c>
      <c r="B1433" s="4">
        <v>1258</v>
      </c>
      <c r="C1433" s="4" t="s">
        <v>609</v>
      </c>
      <c r="D1433" s="4" t="s">
        <v>930</v>
      </c>
      <c r="E1433" s="4">
        <v>50</v>
      </c>
      <c r="F1433" s="4" t="s">
        <v>917</v>
      </c>
      <c r="G1433" s="4"/>
      <c r="H1433" s="4"/>
      <c r="I1433" s="4"/>
      <c r="J1433" s="4"/>
    </row>
    <row r="1434" spans="1:10" ht="15" customHeight="1" x14ac:dyDescent="0.2">
      <c r="A1434" s="4">
        <v>1433</v>
      </c>
      <c r="B1434" s="4">
        <v>1259</v>
      </c>
      <c r="C1434" s="4" t="s">
        <v>612</v>
      </c>
      <c r="D1434" s="4" t="s">
        <v>929</v>
      </c>
      <c r="E1434" s="4">
        <v>15</v>
      </c>
      <c r="F1434" s="4" t="s">
        <v>917</v>
      </c>
      <c r="G1434" s="4"/>
      <c r="H1434" s="4"/>
      <c r="I1434" s="4"/>
      <c r="J1434" s="4"/>
    </row>
    <row r="1435" spans="1:10" ht="15" customHeight="1" x14ac:dyDescent="0.2">
      <c r="A1435" s="4">
        <v>1434</v>
      </c>
      <c r="B1435" s="4">
        <v>1259</v>
      </c>
      <c r="C1435" s="4" t="s">
        <v>612</v>
      </c>
      <c r="D1435" s="4" t="s">
        <v>918</v>
      </c>
      <c r="E1435" s="4">
        <v>25</v>
      </c>
      <c r="F1435" s="4" t="s">
        <v>917</v>
      </c>
      <c r="G1435" s="4"/>
      <c r="H1435" s="4"/>
      <c r="I1435" s="4"/>
      <c r="J1435" s="4"/>
    </row>
    <row r="1436" spans="1:10" ht="15" customHeight="1" x14ac:dyDescent="0.2">
      <c r="A1436" s="4">
        <v>1435</v>
      </c>
      <c r="B1436" s="4">
        <v>1259</v>
      </c>
      <c r="C1436" s="4" t="s">
        <v>612</v>
      </c>
      <c r="D1436" s="4" t="s">
        <v>919</v>
      </c>
      <c r="E1436" s="4">
        <v>40</v>
      </c>
      <c r="F1436" s="4" t="s">
        <v>917</v>
      </c>
      <c r="G1436" s="4"/>
      <c r="H1436" s="4"/>
      <c r="I1436" s="4"/>
      <c r="J1436" s="4"/>
    </row>
    <row r="1437" spans="1:10" ht="15" customHeight="1" x14ac:dyDescent="0.2">
      <c r="A1437" s="4">
        <v>1436</v>
      </c>
      <c r="B1437" s="4">
        <v>1259</v>
      </c>
      <c r="C1437" s="4" t="s">
        <v>612</v>
      </c>
      <c r="D1437" s="4" t="s">
        <v>930</v>
      </c>
      <c r="E1437" s="4">
        <v>50</v>
      </c>
      <c r="F1437" s="4" t="s">
        <v>917</v>
      </c>
      <c r="G1437" s="4"/>
      <c r="H1437" s="4"/>
      <c r="I1437" s="4"/>
      <c r="J1437" s="4"/>
    </row>
    <row r="1438" spans="1:10" ht="15" customHeight="1" x14ac:dyDescent="0.2">
      <c r="A1438" s="4">
        <v>1437</v>
      </c>
      <c r="B1438" s="4">
        <v>1260</v>
      </c>
      <c r="C1438" s="4" t="s">
        <v>613</v>
      </c>
      <c r="D1438" s="4" t="s">
        <v>929</v>
      </c>
      <c r="E1438" s="4">
        <v>15</v>
      </c>
      <c r="F1438" s="4" t="s">
        <v>917</v>
      </c>
      <c r="G1438" s="4"/>
      <c r="H1438" s="4"/>
      <c r="I1438" s="4"/>
      <c r="J1438" s="4"/>
    </row>
    <row r="1439" spans="1:10" ht="15" customHeight="1" x14ac:dyDescent="0.2">
      <c r="A1439" s="4">
        <v>1438</v>
      </c>
      <c r="B1439" s="4">
        <v>1260</v>
      </c>
      <c r="C1439" s="4" t="s">
        <v>613</v>
      </c>
      <c r="D1439" s="4" t="s">
        <v>918</v>
      </c>
      <c r="E1439" s="4">
        <v>25</v>
      </c>
      <c r="F1439" s="4" t="s">
        <v>917</v>
      </c>
      <c r="G1439" s="4"/>
      <c r="H1439" s="4"/>
      <c r="I1439" s="4"/>
      <c r="J1439" s="4"/>
    </row>
    <row r="1440" spans="1:10" ht="15" customHeight="1" x14ac:dyDescent="0.2">
      <c r="A1440" s="4">
        <v>1439</v>
      </c>
      <c r="B1440" s="4">
        <v>1260</v>
      </c>
      <c r="C1440" s="4" t="s">
        <v>613</v>
      </c>
      <c r="D1440" s="4" t="s">
        <v>919</v>
      </c>
      <c r="E1440" s="4">
        <v>40</v>
      </c>
      <c r="F1440" s="4" t="s">
        <v>917</v>
      </c>
      <c r="G1440" s="4"/>
      <c r="H1440" s="4"/>
      <c r="I1440" s="4"/>
      <c r="J1440" s="4"/>
    </row>
    <row r="1441" spans="1:10" ht="15" customHeight="1" x14ac:dyDescent="0.2">
      <c r="A1441" s="4">
        <v>1440</v>
      </c>
      <c r="B1441" s="4">
        <v>1260</v>
      </c>
      <c r="C1441" s="4" t="s">
        <v>613</v>
      </c>
      <c r="D1441" s="4" t="s">
        <v>930</v>
      </c>
      <c r="E1441" s="4">
        <v>50</v>
      </c>
      <c r="F1441" s="4" t="s">
        <v>917</v>
      </c>
      <c r="G1441" s="4"/>
      <c r="H1441" s="4"/>
      <c r="I1441" s="4"/>
      <c r="J1441" s="4"/>
    </row>
    <row r="1442" spans="1:10" ht="15" customHeight="1" x14ac:dyDescent="0.2">
      <c r="A1442" s="4">
        <v>1441</v>
      </c>
      <c r="B1442" s="4">
        <v>1261</v>
      </c>
      <c r="C1442" s="4" t="s">
        <v>614</v>
      </c>
      <c r="D1442" s="4" t="s">
        <v>929</v>
      </c>
      <c r="E1442" s="4">
        <v>15</v>
      </c>
      <c r="F1442" s="4" t="s">
        <v>917</v>
      </c>
      <c r="G1442" s="4"/>
      <c r="H1442" s="4"/>
      <c r="I1442" s="4"/>
      <c r="J1442" s="4"/>
    </row>
    <row r="1443" spans="1:10" ht="15" customHeight="1" x14ac:dyDescent="0.2">
      <c r="A1443" s="4">
        <v>1442</v>
      </c>
      <c r="B1443" s="4">
        <v>1261</v>
      </c>
      <c r="C1443" s="4" t="s">
        <v>614</v>
      </c>
      <c r="D1443" s="4" t="s">
        <v>918</v>
      </c>
      <c r="E1443" s="4">
        <v>25</v>
      </c>
      <c r="F1443" s="4" t="s">
        <v>917</v>
      </c>
      <c r="G1443" s="4"/>
      <c r="H1443" s="4"/>
      <c r="I1443" s="4"/>
      <c r="J1443" s="4"/>
    </row>
    <row r="1444" spans="1:10" ht="15" customHeight="1" x14ac:dyDescent="0.2">
      <c r="A1444" s="4">
        <v>1443</v>
      </c>
      <c r="B1444" s="4">
        <v>1261</v>
      </c>
      <c r="C1444" s="4" t="s">
        <v>614</v>
      </c>
      <c r="D1444" s="4" t="s">
        <v>919</v>
      </c>
      <c r="E1444" s="4">
        <v>40</v>
      </c>
      <c r="F1444" s="4" t="s">
        <v>917</v>
      </c>
      <c r="G1444" s="4"/>
      <c r="H1444" s="4"/>
      <c r="I1444" s="4"/>
      <c r="J1444" s="4"/>
    </row>
    <row r="1445" spans="1:10" ht="15" customHeight="1" x14ac:dyDescent="0.2">
      <c r="A1445" s="4">
        <v>1444</v>
      </c>
      <c r="B1445" s="4">
        <v>1261</v>
      </c>
      <c r="C1445" s="4" t="s">
        <v>614</v>
      </c>
      <c r="D1445" s="4" t="s">
        <v>930</v>
      </c>
      <c r="E1445" s="4">
        <v>50</v>
      </c>
      <c r="F1445" s="4" t="s">
        <v>917</v>
      </c>
      <c r="G1445" s="4"/>
      <c r="H1445" s="4"/>
      <c r="I1445" s="4"/>
      <c r="J1445" s="4"/>
    </row>
    <row r="1446" spans="1:10" ht="15" customHeight="1" x14ac:dyDescent="0.2">
      <c r="A1446" s="4">
        <v>1445</v>
      </c>
      <c r="B1446" s="4">
        <v>1262</v>
      </c>
      <c r="C1446" s="4" t="s">
        <v>615</v>
      </c>
      <c r="D1446" s="4" t="s">
        <v>929</v>
      </c>
      <c r="E1446" s="4">
        <v>15</v>
      </c>
      <c r="F1446" s="4" t="s">
        <v>917</v>
      </c>
      <c r="G1446" s="4"/>
      <c r="H1446" s="4"/>
      <c r="I1446" s="4"/>
      <c r="J1446" s="4"/>
    </row>
    <row r="1447" spans="1:10" ht="15" customHeight="1" x14ac:dyDescent="0.2">
      <c r="A1447" s="4">
        <v>1446</v>
      </c>
      <c r="B1447" s="4">
        <v>1262</v>
      </c>
      <c r="C1447" s="4" t="s">
        <v>615</v>
      </c>
      <c r="D1447" s="4" t="s">
        <v>918</v>
      </c>
      <c r="E1447" s="4">
        <v>25</v>
      </c>
      <c r="F1447" s="4" t="s">
        <v>917</v>
      </c>
      <c r="G1447" s="4"/>
      <c r="H1447" s="4"/>
      <c r="I1447" s="4"/>
      <c r="J1447" s="4"/>
    </row>
    <row r="1448" spans="1:10" ht="15" customHeight="1" x14ac:dyDescent="0.2">
      <c r="A1448" s="4">
        <v>1447</v>
      </c>
      <c r="B1448" s="4">
        <v>1262</v>
      </c>
      <c r="C1448" s="4" t="s">
        <v>615</v>
      </c>
      <c r="D1448" s="4" t="s">
        <v>919</v>
      </c>
      <c r="E1448" s="4">
        <v>40</v>
      </c>
      <c r="F1448" s="4" t="s">
        <v>917</v>
      </c>
      <c r="G1448" s="4"/>
      <c r="H1448" s="4"/>
      <c r="I1448" s="4"/>
      <c r="J1448" s="4"/>
    </row>
    <row r="1449" spans="1:10" ht="15" customHeight="1" x14ac:dyDescent="0.2">
      <c r="A1449" s="4">
        <v>1448</v>
      </c>
      <c r="B1449" s="4">
        <v>1262</v>
      </c>
      <c r="C1449" s="4" t="s">
        <v>615</v>
      </c>
      <c r="D1449" s="4" t="s">
        <v>930</v>
      </c>
      <c r="E1449" s="4">
        <v>50</v>
      </c>
      <c r="F1449" s="4" t="s">
        <v>917</v>
      </c>
      <c r="G1449" s="4"/>
      <c r="H1449" s="4"/>
      <c r="I1449" s="4"/>
      <c r="J1449" s="4"/>
    </row>
    <row r="1450" spans="1:10" ht="15" customHeight="1" x14ac:dyDescent="0.2">
      <c r="A1450" s="4">
        <v>1449</v>
      </c>
      <c r="B1450" s="4">
        <v>1263</v>
      </c>
      <c r="C1450" s="4" t="s">
        <v>616</v>
      </c>
      <c r="D1450" s="4" t="s">
        <v>929</v>
      </c>
      <c r="E1450" s="4">
        <v>15</v>
      </c>
      <c r="F1450" s="4" t="s">
        <v>917</v>
      </c>
      <c r="G1450" s="4"/>
      <c r="H1450" s="4"/>
      <c r="I1450" s="4"/>
      <c r="J1450" s="4"/>
    </row>
    <row r="1451" spans="1:10" ht="15" customHeight="1" x14ac:dyDescent="0.2">
      <c r="A1451" s="4">
        <v>1450</v>
      </c>
      <c r="B1451" s="4">
        <v>1263</v>
      </c>
      <c r="C1451" s="4" t="s">
        <v>616</v>
      </c>
      <c r="D1451" s="4" t="s">
        <v>918</v>
      </c>
      <c r="E1451" s="4">
        <v>25</v>
      </c>
      <c r="F1451" s="4" t="s">
        <v>917</v>
      </c>
      <c r="G1451" s="4"/>
      <c r="H1451" s="4"/>
      <c r="I1451" s="4"/>
      <c r="J1451" s="4"/>
    </row>
    <row r="1452" spans="1:10" ht="15" customHeight="1" x14ac:dyDescent="0.2">
      <c r="A1452" s="4">
        <v>1451</v>
      </c>
      <c r="B1452" s="4">
        <v>1263</v>
      </c>
      <c r="C1452" s="4" t="s">
        <v>616</v>
      </c>
      <c r="D1452" s="4" t="s">
        <v>919</v>
      </c>
      <c r="E1452" s="4">
        <v>40</v>
      </c>
      <c r="F1452" s="4" t="s">
        <v>917</v>
      </c>
      <c r="G1452" s="4"/>
      <c r="H1452" s="4"/>
      <c r="I1452" s="4"/>
      <c r="J1452" s="4"/>
    </row>
    <row r="1453" spans="1:10" ht="15" customHeight="1" x14ac:dyDescent="0.2">
      <c r="A1453" s="4">
        <v>1452</v>
      </c>
      <c r="B1453" s="4">
        <v>1263</v>
      </c>
      <c r="C1453" s="4" t="s">
        <v>616</v>
      </c>
      <c r="D1453" s="4" t="s">
        <v>930</v>
      </c>
      <c r="E1453" s="4">
        <v>50</v>
      </c>
      <c r="F1453" s="4" t="s">
        <v>917</v>
      </c>
      <c r="G1453" s="4"/>
      <c r="H1453" s="4"/>
      <c r="I1453" s="4"/>
      <c r="J1453" s="4"/>
    </row>
    <row r="1454" spans="1:10" ht="15" customHeight="1" x14ac:dyDescent="0.2">
      <c r="A1454" s="4">
        <v>1453</v>
      </c>
      <c r="B1454" s="4">
        <v>1264</v>
      </c>
      <c r="C1454" s="4" t="s">
        <v>617</v>
      </c>
      <c r="D1454" s="4" t="s">
        <v>929</v>
      </c>
      <c r="E1454" s="4">
        <v>15</v>
      </c>
      <c r="F1454" s="4" t="s">
        <v>917</v>
      </c>
      <c r="G1454" s="4"/>
      <c r="H1454" s="4"/>
      <c r="I1454" s="4"/>
      <c r="J1454" s="4"/>
    </row>
    <row r="1455" spans="1:10" ht="15" customHeight="1" x14ac:dyDescent="0.2">
      <c r="A1455" s="4">
        <v>1454</v>
      </c>
      <c r="B1455" s="4">
        <v>1264</v>
      </c>
      <c r="C1455" s="4" t="s">
        <v>617</v>
      </c>
      <c r="D1455" s="4" t="s">
        <v>918</v>
      </c>
      <c r="E1455" s="4">
        <v>25</v>
      </c>
      <c r="F1455" s="4" t="s">
        <v>917</v>
      </c>
      <c r="G1455" s="4"/>
      <c r="H1455" s="4"/>
      <c r="I1455" s="4"/>
      <c r="J1455" s="4"/>
    </row>
    <row r="1456" spans="1:10" ht="15" customHeight="1" x14ac:dyDescent="0.2">
      <c r="A1456" s="4">
        <v>1455</v>
      </c>
      <c r="B1456" s="4">
        <v>1264</v>
      </c>
      <c r="C1456" s="4" t="s">
        <v>617</v>
      </c>
      <c r="D1456" s="4" t="s">
        <v>919</v>
      </c>
      <c r="E1456" s="4">
        <v>40</v>
      </c>
      <c r="F1456" s="4" t="s">
        <v>917</v>
      </c>
      <c r="G1456" s="4"/>
      <c r="H1456" s="4"/>
      <c r="I1456" s="4"/>
      <c r="J1456" s="4"/>
    </row>
    <row r="1457" spans="1:10" ht="15" customHeight="1" x14ac:dyDescent="0.2">
      <c r="A1457" s="4">
        <v>1456</v>
      </c>
      <c r="B1457" s="4">
        <v>1264</v>
      </c>
      <c r="C1457" s="4" t="s">
        <v>617</v>
      </c>
      <c r="D1457" s="4" t="s">
        <v>930</v>
      </c>
      <c r="E1457" s="4">
        <v>50</v>
      </c>
      <c r="F1457" s="4" t="s">
        <v>917</v>
      </c>
      <c r="G1457" s="4"/>
      <c r="H1457" s="4"/>
      <c r="I1457" s="4"/>
      <c r="J1457" s="4"/>
    </row>
    <row r="1458" spans="1:10" ht="15" customHeight="1" x14ac:dyDescent="0.2">
      <c r="A1458" s="4">
        <v>1457</v>
      </c>
      <c r="B1458" s="4">
        <v>1265</v>
      </c>
      <c r="C1458" s="4" t="s">
        <v>618</v>
      </c>
      <c r="D1458" s="4" t="s">
        <v>929</v>
      </c>
      <c r="E1458" s="4">
        <v>15</v>
      </c>
      <c r="F1458" s="4" t="s">
        <v>917</v>
      </c>
      <c r="G1458" s="4"/>
      <c r="H1458" s="4"/>
      <c r="I1458" s="4"/>
      <c r="J1458" s="4"/>
    </row>
    <row r="1459" spans="1:10" ht="15" customHeight="1" x14ac:dyDescent="0.2">
      <c r="A1459" s="4">
        <v>1458</v>
      </c>
      <c r="B1459" s="4">
        <v>1265</v>
      </c>
      <c r="C1459" s="4" t="s">
        <v>618</v>
      </c>
      <c r="D1459" s="4" t="s">
        <v>918</v>
      </c>
      <c r="E1459" s="4">
        <v>25</v>
      </c>
      <c r="F1459" s="4" t="s">
        <v>917</v>
      </c>
      <c r="G1459" s="4"/>
      <c r="H1459" s="4"/>
      <c r="I1459" s="4"/>
      <c r="J1459" s="4"/>
    </row>
    <row r="1460" spans="1:10" ht="15" customHeight="1" x14ac:dyDescent="0.2">
      <c r="A1460" s="4">
        <v>1459</v>
      </c>
      <c r="B1460" s="4">
        <v>1265</v>
      </c>
      <c r="C1460" s="4" t="s">
        <v>618</v>
      </c>
      <c r="D1460" s="4" t="s">
        <v>919</v>
      </c>
      <c r="E1460" s="4">
        <v>40</v>
      </c>
      <c r="F1460" s="4" t="s">
        <v>917</v>
      </c>
      <c r="G1460" s="4"/>
      <c r="H1460" s="4"/>
      <c r="I1460" s="4"/>
      <c r="J1460" s="4"/>
    </row>
    <row r="1461" spans="1:10" ht="15" customHeight="1" x14ac:dyDescent="0.2">
      <c r="A1461" s="4">
        <v>1460</v>
      </c>
      <c r="B1461" s="4">
        <v>1265</v>
      </c>
      <c r="C1461" s="4" t="s">
        <v>618</v>
      </c>
      <c r="D1461" s="4" t="s">
        <v>930</v>
      </c>
      <c r="E1461" s="4">
        <v>50</v>
      </c>
      <c r="F1461" s="4" t="s">
        <v>917</v>
      </c>
      <c r="G1461" s="4"/>
      <c r="H1461" s="4"/>
      <c r="I1461" s="4"/>
      <c r="J1461" s="4"/>
    </row>
    <row r="1462" spans="1:10" ht="15" customHeight="1" x14ac:dyDescent="0.2">
      <c r="A1462" s="4">
        <v>1461</v>
      </c>
      <c r="B1462" s="4">
        <v>1266</v>
      </c>
      <c r="C1462" s="4" t="s">
        <v>619</v>
      </c>
      <c r="D1462" s="4" t="s">
        <v>929</v>
      </c>
      <c r="E1462" s="4">
        <v>15</v>
      </c>
      <c r="F1462" s="4" t="s">
        <v>917</v>
      </c>
      <c r="G1462" s="4"/>
      <c r="H1462" s="4"/>
      <c r="I1462" s="4"/>
      <c r="J1462" s="4"/>
    </row>
    <row r="1463" spans="1:10" ht="15" customHeight="1" x14ac:dyDescent="0.2">
      <c r="A1463" s="4">
        <v>1462</v>
      </c>
      <c r="B1463" s="4">
        <v>1266</v>
      </c>
      <c r="C1463" s="4" t="s">
        <v>619</v>
      </c>
      <c r="D1463" s="4" t="s">
        <v>918</v>
      </c>
      <c r="E1463" s="4">
        <v>25</v>
      </c>
      <c r="F1463" s="4" t="s">
        <v>917</v>
      </c>
      <c r="G1463" s="4"/>
      <c r="H1463" s="4"/>
      <c r="I1463" s="4"/>
      <c r="J1463" s="4"/>
    </row>
    <row r="1464" spans="1:10" ht="15" customHeight="1" x14ac:dyDescent="0.2">
      <c r="A1464" s="4">
        <v>1463</v>
      </c>
      <c r="B1464" s="4">
        <v>1266</v>
      </c>
      <c r="C1464" s="4" t="s">
        <v>619</v>
      </c>
      <c r="D1464" s="4" t="s">
        <v>919</v>
      </c>
      <c r="E1464" s="4">
        <v>40</v>
      </c>
      <c r="F1464" s="4" t="s">
        <v>917</v>
      </c>
      <c r="G1464" s="4"/>
      <c r="H1464" s="4"/>
      <c r="I1464" s="4"/>
      <c r="J1464" s="4"/>
    </row>
    <row r="1465" spans="1:10" ht="15" customHeight="1" x14ac:dyDescent="0.2">
      <c r="A1465" s="4">
        <v>1464</v>
      </c>
      <c r="B1465" s="4">
        <v>1266</v>
      </c>
      <c r="C1465" s="4" t="s">
        <v>619</v>
      </c>
      <c r="D1465" s="4" t="s">
        <v>930</v>
      </c>
      <c r="E1465" s="4">
        <v>50</v>
      </c>
      <c r="F1465" s="4" t="s">
        <v>917</v>
      </c>
      <c r="G1465" s="4"/>
      <c r="H1465" s="4"/>
      <c r="I1465" s="4"/>
      <c r="J1465" s="4"/>
    </row>
    <row r="1466" spans="1:10" ht="15" customHeight="1" x14ac:dyDescent="0.2">
      <c r="A1466" s="4">
        <v>1465</v>
      </c>
      <c r="B1466" s="4">
        <v>1267</v>
      </c>
      <c r="C1466" s="4" t="s">
        <v>620</v>
      </c>
      <c r="D1466" s="4" t="s">
        <v>929</v>
      </c>
      <c r="E1466" s="4">
        <v>15</v>
      </c>
      <c r="F1466" s="4" t="s">
        <v>917</v>
      </c>
      <c r="G1466" s="4"/>
      <c r="H1466" s="4"/>
      <c r="I1466" s="4"/>
      <c r="J1466" s="4"/>
    </row>
    <row r="1467" spans="1:10" ht="15" customHeight="1" x14ac:dyDescent="0.2">
      <c r="A1467" s="4">
        <v>1466</v>
      </c>
      <c r="B1467" s="4">
        <v>1267</v>
      </c>
      <c r="C1467" s="4" t="s">
        <v>620</v>
      </c>
      <c r="D1467" s="4" t="s">
        <v>918</v>
      </c>
      <c r="E1467" s="4">
        <v>25</v>
      </c>
      <c r="F1467" s="4" t="s">
        <v>917</v>
      </c>
      <c r="G1467" s="4"/>
      <c r="H1467" s="4"/>
      <c r="I1467" s="4"/>
      <c r="J1467" s="4"/>
    </row>
    <row r="1468" spans="1:10" ht="15" customHeight="1" x14ac:dyDescent="0.2">
      <c r="A1468" s="4">
        <v>1467</v>
      </c>
      <c r="B1468" s="4">
        <v>1267</v>
      </c>
      <c r="C1468" s="4" t="s">
        <v>620</v>
      </c>
      <c r="D1468" s="4" t="s">
        <v>919</v>
      </c>
      <c r="E1468" s="4">
        <v>40</v>
      </c>
      <c r="F1468" s="4" t="s">
        <v>917</v>
      </c>
      <c r="G1468" s="4"/>
      <c r="H1468" s="4"/>
      <c r="I1468" s="4"/>
      <c r="J1468" s="4"/>
    </row>
    <row r="1469" spans="1:10" ht="15" customHeight="1" x14ac:dyDescent="0.2">
      <c r="A1469" s="4">
        <v>1468</v>
      </c>
      <c r="B1469" s="4">
        <v>1267</v>
      </c>
      <c r="C1469" s="4" t="s">
        <v>620</v>
      </c>
      <c r="D1469" s="4" t="s">
        <v>930</v>
      </c>
      <c r="E1469" s="4">
        <v>50</v>
      </c>
      <c r="F1469" s="4" t="s">
        <v>917</v>
      </c>
      <c r="G1469" s="4"/>
      <c r="H1469" s="4"/>
      <c r="I1469" s="4"/>
      <c r="J1469" s="4"/>
    </row>
    <row r="1470" spans="1:10" ht="15" customHeight="1" x14ac:dyDescent="0.2">
      <c r="A1470" s="4">
        <v>1469</v>
      </c>
      <c r="B1470" s="4">
        <v>1268</v>
      </c>
      <c r="C1470" s="4" t="s">
        <v>621</v>
      </c>
      <c r="D1470" s="4" t="s">
        <v>929</v>
      </c>
      <c r="E1470" s="4">
        <v>15</v>
      </c>
      <c r="F1470" s="4" t="s">
        <v>917</v>
      </c>
      <c r="G1470" s="4"/>
      <c r="H1470" s="4"/>
      <c r="I1470" s="4"/>
      <c r="J1470" s="4"/>
    </row>
    <row r="1471" spans="1:10" ht="15" customHeight="1" x14ac:dyDescent="0.2">
      <c r="A1471" s="4">
        <v>1470</v>
      </c>
      <c r="B1471" s="4">
        <v>1268</v>
      </c>
      <c r="C1471" s="4" t="s">
        <v>621</v>
      </c>
      <c r="D1471" s="4" t="s">
        <v>918</v>
      </c>
      <c r="E1471" s="4">
        <v>25</v>
      </c>
      <c r="F1471" s="4" t="s">
        <v>917</v>
      </c>
      <c r="G1471" s="4"/>
      <c r="H1471" s="4"/>
      <c r="I1471" s="4"/>
      <c r="J1471" s="4"/>
    </row>
    <row r="1472" spans="1:10" ht="15" customHeight="1" x14ac:dyDescent="0.2">
      <c r="A1472" s="4">
        <v>1471</v>
      </c>
      <c r="B1472" s="4">
        <v>1268</v>
      </c>
      <c r="C1472" s="4" t="s">
        <v>621</v>
      </c>
      <c r="D1472" s="4" t="s">
        <v>919</v>
      </c>
      <c r="E1472" s="4">
        <v>40</v>
      </c>
      <c r="F1472" s="4" t="s">
        <v>917</v>
      </c>
      <c r="G1472" s="4"/>
      <c r="H1472" s="4"/>
      <c r="I1472" s="4"/>
      <c r="J1472" s="4"/>
    </row>
    <row r="1473" spans="1:10" ht="15" customHeight="1" x14ac:dyDescent="0.2">
      <c r="A1473" s="4">
        <v>1472</v>
      </c>
      <c r="B1473" s="4">
        <v>1268</v>
      </c>
      <c r="C1473" s="4" t="s">
        <v>621</v>
      </c>
      <c r="D1473" s="4" t="s">
        <v>930</v>
      </c>
      <c r="E1473" s="4">
        <v>50</v>
      </c>
      <c r="F1473" s="4" t="s">
        <v>917</v>
      </c>
      <c r="G1473" s="4"/>
      <c r="H1473" s="4"/>
      <c r="I1473" s="4"/>
      <c r="J1473" s="4"/>
    </row>
    <row r="1474" spans="1:10" ht="15" customHeight="1" x14ac:dyDescent="0.2">
      <c r="A1474" s="4">
        <v>1473</v>
      </c>
      <c r="B1474" s="4">
        <v>1269</v>
      </c>
      <c r="C1474" s="4" t="s">
        <v>622</v>
      </c>
      <c r="D1474" s="4" t="s">
        <v>929</v>
      </c>
      <c r="E1474" s="4">
        <v>15</v>
      </c>
      <c r="F1474" s="4" t="s">
        <v>917</v>
      </c>
      <c r="G1474" s="4"/>
      <c r="H1474" s="4"/>
      <c r="I1474" s="4"/>
      <c r="J1474" s="4"/>
    </row>
    <row r="1475" spans="1:10" ht="15" customHeight="1" x14ac:dyDescent="0.2">
      <c r="A1475" s="4">
        <v>1474</v>
      </c>
      <c r="B1475" s="4">
        <v>1269</v>
      </c>
      <c r="C1475" s="4" t="s">
        <v>622</v>
      </c>
      <c r="D1475" s="4" t="s">
        <v>918</v>
      </c>
      <c r="E1475" s="4">
        <v>25</v>
      </c>
      <c r="F1475" s="4" t="s">
        <v>917</v>
      </c>
      <c r="G1475" s="4"/>
      <c r="H1475" s="4"/>
      <c r="I1475" s="4"/>
      <c r="J1475" s="4"/>
    </row>
    <row r="1476" spans="1:10" ht="15" customHeight="1" x14ac:dyDescent="0.2">
      <c r="A1476" s="4">
        <v>1475</v>
      </c>
      <c r="B1476" s="4">
        <v>1269</v>
      </c>
      <c r="C1476" s="4" t="s">
        <v>622</v>
      </c>
      <c r="D1476" s="4" t="s">
        <v>919</v>
      </c>
      <c r="E1476" s="4">
        <v>40</v>
      </c>
      <c r="F1476" s="4" t="s">
        <v>917</v>
      </c>
      <c r="G1476" s="4"/>
      <c r="H1476" s="4"/>
      <c r="I1476" s="4"/>
      <c r="J1476" s="4"/>
    </row>
    <row r="1477" spans="1:10" ht="15" customHeight="1" x14ac:dyDescent="0.2">
      <c r="A1477" s="4">
        <v>1476</v>
      </c>
      <c r="B1477" s="4">
        <v>1269</v>
      </c>
      <c r="C1477" s="4" t="s">
        <v>622</v>
      </c>
      <c r="D1477" s="4" t="s">
        <v>930</v>
      </c>
      <c r="E1477" s="4">
        <v>50</v>
      </c>
      <c r="F1477" s="4" t="s">
        <v>917</v>
      </c>
      <c r="G1477" s="4"/>
      <c r="H1477" s="4"/>
      <c r="I1477" s="4"/>
      <c r="J1477" s="4"/>
    </row>
    <row r="1478" spans="1:10" ht="15" customHeight="1" x14ac:dyDescent="0.2">
      <c r="A1478" s="4">
        <v>1477</v>
      </c>
      <c r="B1478" s="4">
        <v>1270</v>
      </c>
      <c r="C1478" s="4" t="s">
        <v>623</v>
      </c>
      <c r="D1478" s="4" t="s">
        <v>929</v>
      </c>
      <c r="E1478" s="4">
        <v>15</v>
      </c>
      <c r="F1478" s="4" t="s">
        <v>917</v>
      </c>
      <c r="G1478" s="4"/>
      <c r="H1478" s="4"/>
      <c r="I1478" s="4"/>
      <c r="J1478" s="4"/>
    </row>
    <row r="1479" spans="1:10" ht="15" customHeight="1" x14ac:dyDescent="0.2">
      <c r="A1479" s="4">
        <v>1478</v>
      </c>
      <c r="B1479" s="4">
        <v>1270</v>
      </c>
      <c r="C1479" s="4" t="s">
        <v>623</v>
      </c>
      <c r="D1479" s="4" t="s">
        <v>918</v>
      </c>
      <c r="E1479" s="4">
        <v>25</v>
      </c>
      <c r="F1479" s="4" t="s">
        <v>917</v>
      </c>
      <c r="G1479" s="4"/>
      <c r="H1479" s="4"/>
      <c r="I1479" s="4"/>
      <c r="J1479" s="4"/>
    </row>
    <row r="1480" spans="1:10" ht="15" customHeight="1" x14ac:dyDescent="0.2">
      <c r="A1480" s="4">
        <v>1479</v>
      </c>
      <c r="B1480" s="4">
        <v>1270</v>
      </c>
      <c r="C1480" s="4" t="s">
        <v>623</v>
      </c>
      <c r="D1480" s="4" t="s">
        <v>919</v>
      </c>
      <c r="E1480" s="4">
        <v>40</v>
      </c>
      <c r="F1480" s="4" t="s">
        <v>917</v>
      </c>
      <c r="G1480" s="4"/>
      <c r="H1480" s="4"/>
      <c r="I1480" s="4"/>
      <c r="J1480" s="4"/>
    </row>
    <row r="1481" spans="1:10" ht="15" customHeight="1" x14ac:dyDescent="0.2">
      <c r="A1481" s="4">
        <v>1480</v>
      </c>
      <c r="B1481" s="4">
        <v>1270</v>
      </c>
      <c r="C1481" s="4" t="s">
        <v>623</v>
      </c>
      <c r="D1481" s="4" t="s">
        <v>930</v>
      </c>
      <c r="E1481" s="4">
        <v>50</v>
      </c>
      <c r="F1481" s="4" t="s">
        <v>917</v>
      </c>
      <c r="G1481" s="4"/>
      <c r="H1481" s="4"/>
      <c r="I1481" s="4"/>
      <c r="J1481" s="4"/>
    </row>
    <row r="1482" spans="1:10" ht="15" customHeight="1" x14ac:dyDescent="0.2">
      <c r="A1482" s="4">
        <v>1481</v>
      </c>
      <c r="B1482" s="4">
        <v>1271</v>
      </c>
      <c r="C1482" s="4" t="s">
        <v>624</v>
      </c>
      <c r="D1482" s="4" t="s">
        <v>929</v>
      </c>
      <c r="E1482" s="4">
        <v>15</v>
      </c>
      <c r="F1482" s="4" t="s">
        <v>917</v>
      </c>
      <c r="G1482" s="4"/>
      <c r="H1482" s="4"/>
      <c r="I1482" s="4"/>
      <c r="J1482" s="4"/>
    </row>
    <row r="1483" spans="1:10" ht="15" customHeight="1" x14ac:dyDescent="0.2">
      <c r="A1483" s="4">
        <v>1482</v>
      </c>
      <c r="B1483" s="4">
        <v>1271</v>
      </c>
      <c r="C1483" s="4" t="s">
        <v>624</v>
      </c>
      <c r="D1483" s="4" t="s">
        <v>918</v>
      </c>
      <c r="E1483" s="4">
        <v>25</v>
      </c>
      <c r="F1483" s="4" t="s">
        <v>917</v>
      </c>
      <c r="G1483" s="4"/>
      <c r="H1483" s="4"/>
      <c r="I1483" s="4"/>
      <c r="J1483" s="4"/>
    </row>
    <row r="1484" spans="1:10" ht="15" customHeight="1" x14ac:dyDescent="0.2">
      <c r="A1484" s="4">
        <v>1483</v>
      </c>
      <c r="B1484" s="4">
        <v>1271</v>
      </c>
      <c r="C1484" s="4" t="s">
        <v>624</v>
      </c>
      <c r="D1484" s="4" t="s">
        <v>919</v>
      </c>
      <c r="E1484" s="4">
        <v>40</v>
      </c>
      <c r="F1484" s="4" t="s">
        <v>917</v>
      </c>
      <c r="G1484" s="4"/>
      <c r="H1484" s="4"/>
      <c r="I1484" s="4"/>
      <c r="J1484" s="4"/>
    </row>
    <row r="1485" spans="1:10" ht="15" customHeight="1" x14ac:dyDescent="0.2">
      <c r="A1485" s="4">
        <v>1484</v>
      </c>
      <c r="B1485" s="4">
        <v>1271</v>
      </c>
      <c r="C1485" s="4" t="s">
        <v>624</v>
      </c>
      <c r="D1485" s="4" t="s">
        <v>930</v>
      </c>
      <c r="E1485" s="4">
        <v>50</v>
      </c>
      <c r="F1485" s="4" t="s">
        <v>917</v>
      </c>
      <c r="G1485" s="4"/>
      <c r="H1485" s="4"/>
      <c r="I1485" s="4"/>
      <c r="J1485" s="4"/>
    </row>
    <row r="1486" spans="1:10" ht="15" customHeight="1" x14ac:dyDescent="0.2">
      <c r="A1486" s="4">
        <v>1485</v>
      </c>
      <c r="B1486" s="4">
        <v>1272</v>
      </c>
      <c r="C1486" s="4" t="s">
        <v>625</v>
      </c>
      <c r="D1486" s="4" t="s">
        <v>929</v>
      </c>
      <c r="E1486" s="4">
        <v>15</v>
      </c>
      <c r="F1486" s="4" t="s">
        <v>917</v>
      </c>
      <c r="G1486" s="4"/>
      <c r="H1486" s="4"/>
      <c r="I1486" s="4"/>
      <c r="J1486" s="4"/>
    </row>
    <row r="1487" spans="1:10" ht="15" customHeight="1" x14ac:dyDescent="0.2">
      <c r="A1487" s="4">
        <v>1486</v>
      </c>
      <c r="B1487" s="4">
        <v>1272</v>
      </c>
      <c r="C1487" s="4" t="s">
        <v>625</v>
      </c>
      <c r="D1487" s="4" t="s">
        <v>918</v>
      </c>
      <c r="E1487" s="4">
        <v>25</v>
      </c>
      <c r="F1487" s="4" t="s">
        <v>917</v>
      </c>
      <c r="G1487" s="4"/>
      <c r="H1487" s="4"/>
      <c r="I1487" s="4"/>
      <c r="J1487" s="4"/>
    </row>
    <row r="1488" spans="1:10" ht="15" customHeight="1" x14ac:dyDescent="0.2">
      <c r="A1488" s="4">
        <v>1487</v>
      </c>
      <c r="B1488" s="4">
        <v>1272</v>
      </c>
      <c r="C1488" s="4" t="s">
        <v>625</v>
      </c>
      <c r="D1488" s="4" t="s">
        <v>919</v>
      </c>
      <c r="E1488" s="4">
        <v>40</v>
      </c>
      <c r="F1488" s="4" t="s">
        <v>917</v>
      </c>
      <c r="G1488" s="4"/>
      <c r="H1488" s="4"/>
      <c r="I1488" s="4"/>
      <c r="J1488" s="4"/>
    </row>
    <row r="1489" spans="1:10" ht="15" customHeight="1" x14ac:dyDescent="0.2">
      <c r="A1489" s="4">
        <v>1488</v>
      </c>
      <c r="B1489" s="4">
        <v>1272</v>
      </c>
      <c r="C1489" s="4" t="s">
        <v>625</v>
      </c>
      <c r="D1489" s="4" t="s">
        <v>930</v>
      </c>
      <c r="E1489" s="4">
        <v>50</v>
      </c>
      <c r="F1489" s="4" t="s">
        <v>917</v>
      </c>
      <c r="G1489" s="4"/>
      <c r="H1489" s="4"/>
      <c r="I1489" s="4"/>
      <c r="J1489" s="4"/>
    </row>
    <row r="1490" spans="1:10" ht="15" customHeight="1" x14ac:dyDescent="0.2">
      <c r="A1490" s="4">
        <v>1489</v>
      </c>
      <c r="B1490" s="4">
        <v>1273</v>
      </c>
      <c r="C1490" s="4" t="s">
        <v>626</v>
      </c>
      <c r="D1490" s="4" t="s">
        <v>929</v>
      </c>
      <c r="E1490" s="4">
        <v>15</v>
      </c>
      <c r="F1490" s="4" t="s">
        <v>917</v>
      </c>
      <c r="G1490" s="4"/>
      <c r="H1490" s="4"/>
      <c r="I1490" s="4"/>
      <c r="J1490" s="4"/>
    </row>
    <row r="1491" spans="1:10" ht="15" customHeight="1" x14ac:dyDescent="0.2">
      <c r="A1491" s="4">
        <v>1490</v>
      </c>
      <c r="B1491" s="4">
        <v>1273</v>
      </c>
      <c r="C1491" s="4" t="s">
        <v>626</v>
      </c>
      <c r="D1491" s="4" t="s">
        <v>918</v>
      </c>
      <c r="E1491" s="4">
        <v>25</v>
      </c>
      <c r="F1491" s="4" t="s">
        <v>917</v>
      </c>
      <c r="G1491" s="4"/>
      <c r="H1491" s="4"/>
      <c r="I1491" s="4"/>
      <c r="J1491" s="4"/>
    </row>
    <row r="1492" spans="1:10" ht="15" customHeight="1" x14ac:dyDescent="0.2">
      <c r="A1492" s="4">
        <v>1491</v>
      </c>
      <c r="B1492" s="4">
        <v>1273</v>
      </c>
      <c r="C1492" s="4" t="s">
        <v>626</v>
      </c>
      <c r="D1492" s="4" t="s">
        <v>919</v>
      </c>
      <c r="E1492" s="4">
        <v>40</v>
      </c>
      <c r="F1492" s="4" t="s">
        <v>917</v>
      </c>
      <c r="G1492" s="4"/>
      <c r="H1492" s="4"/>
      <c r="I1492" s="4"/>
      <c r="J1492" s="4"/>
    </row>
    <row r="1493" spans="1:10" ht="15" customHeight="1" x14ac:dyDescent="0.2">
      <c r="A1493" s="4">
        <v>1492</v>
      </c>
      <c r="B1493" s="4">
        <v>1273</v>
      </c>
      <c r="C1493" s="4" t="s">
        <v>626</v>
      </c>
      <c r="D1493" s="4" t="s">
        <v>930</v>
      </c>
      <c r="E1493" s="4">
        <v>50</v>
      </c>
      <c r="F1493" s="4" t="s">
        <v>917</v>
      </c>
      <c r="G1493" s="4"/>
      <c r="H1493" s="4"/>
      <c r="I1493" s="4"/>
      <c r="J1493" s="4"/>
    </row>
    <row r="1494" spans="1:10" ht="15" customHeight="1" x14ac:dyDescent="0.2">
      <c r="A1494" s="4">
        <v>1493</v>
      </c>
      <c r="B1494" s="4">
        <v>1274</v>
      </c>
      <c r="C1494" s="4" t="s">
        <v>628</v>
      </c>
      <c r="D1494" s="4" t="s">
        <v>929</v>
      </c>
      <c r="E1494" s="4">
        <v>15</v>
      </c>
      <c r="F1494" s="4" t="s">
        <v>917</v>
      </c>
      <c r="G1494" s="4"/>
      <c r="H1494" s="4"/>
      <c r="I1494" s="4"/>
      <c r="J1494" s="4"/>
    </row>
    <row r="1495" spans="1:10" ht="15" customHeight="1" x14ac:dyDescent="0.2">
      <c r="A1495" s="4">
        <v>1494</v>
      </c>
      <c r="B1495" s="4">
        <v>1274</v>
      </c>
      <c r="C1495" s="4" t="s">
        <v>628</v>
      </c>
      <c r="D1495" s="4" t="s">
        <v>918</v>
      </c>
      <c r="E1495" s="4">
        <v>25</v>
      </c>
      <c r="F1495" s="4" t="s">
        <v>917</v>
      </c>
      <c r="G1495" s="4"/>
      <c r="H1495" s="4"/>
      <c r="I1495" s="4"/>
      <c r="J1495" s="4"/>
    </row>
    <row r="1496" spans="1:10" ht="15" customHeight="1" x14ac:dyDescent="0.2">
      <c r="A1496" s="4">
        <v>1495</v>
      </c>
      <c r="B1496" s="4">
        <v>1274</v>
      </c>
      <c r="C1496" s="4" t="s">
        <v>628</v>
      </c>
      <c r="D1496" s="4" t="s">
        <v>919</v>
      </c>
      <c r="E1496" s="4">
        <v>40</v>
      </c>
      <c r="F1496" s="4" t="s">
        <v>917</v>
      </c>
      <c r="G1496" s="4"/>
      <c r="H1496" s="4"/>
      <c r="I1496" s="4"/>
      <c r="J1496" s="4"/>
    </row>
    <row r="1497" spans="1:10" ht="15" customHeight="1" x14ac:dyDescent="0.2">
      <c r="A1497" s="4">
        <v>1496</v>
      </c>
      <c r="B1497" s="4">
        <v>1274</v>
      </c>
      <c r="C1497" s="4" t="s">
        <v>628</v>
      </c>
      <c r="D1497" s="4" t="s">
        <v>930</v>
      </c>
      <c r="E1497" s="4">
        <v>50</v>
      </c>
      <c r="F1497" s="4" t="s">
        <v>917</v>
      </c>
      <c r="G1497" s="4"/>
      <c r="H1497" s="4"/>
      <c r="I1497" s="4"/>
      <c r="J1497" s="4"/>
    </row>
    <row r="1498" spans="1:10" ht="15" customHeight="1" x14ac:dyDescent="0.2">
      <c r="A1498" s="4">
        <v>1497</v>
      </c>
      <c r="B1498" s="4">
        <v>1275</v>
      </c>
      <c r="C1498" s="4" t="s">
        <v>629</v>
      </c>
      <c r="D1498" s="4" t="s">
        <v>929</v>
      </c>
      <c r="E1498" s="4">
        <v>15</v>
      </c>
      <c r="F1498" s="4" t="s">
        <v>917</v>
      </c>
      <c r="G1498" s="4"/>
      <c r="H1498" s="4"/>
      <c r="I1498" s="4"/>
      <c r="J1498" s="4"/>
    </row>
    <row r="1499" spans="1:10" ht="15" customHeight="1" x14ac:dyDescent="0.2">
      <c r="A1499" s="4">
        <v>1498</v>
      </c>
      <c r="B1499" s="4">
        <v>1275</v>
      </c>
      <c r="C1499" s="4" t="s">
        <v>629</v>
      </c>
      <c r="D1499" s="4" t="s">
        <v>918</v>
      </c>
      <c r="E1499" s="4">
        <v>25</v>
      </c>
      <c r="F1499" s="4" t="s">
        <v>917</v>
      </c>
      <c r="G1499" s="4"/>
      <c r="H1499" s="4"/>
      <c r="I1499" s="4"/>
      <c r="J1499" s="4"/>
    </row>
    <row r="1500" spans="1:10" ht="15" customHeight="1" x14ac:dyDescent="0.2">
      <c r="A1500" s="4">
        <v>1499</v>
      </c>
      <c r="B1500" s="4">
        <v>1275</v>
      </c>
      <c r="C1500" s="4" t="s">
        <v>629</v>
      </c>
      <c r="D1500" s="4" t="s">
        <v>919</v>
      </c>
      <c r="E1500" s="4">
        <v>40</v>
      </c>
      <c r="F1500" s="4" t="s">
        <v>917</v>
      </c>
      <c r="G1500" s="4"/>
      <c r="H1500" s="4"/>
      <c r="I1500" s="4"/>
      <c r="J1500" s="4"/>
    </row>
    <row r="1501" spans="1:10" ht="15" customHeight="1" x14ac:dyDescent="0.2">
      <c r="A1501" s="4">
        <v>1500</v>
      </c>
      <c r="B1501" s="4">
        <v>1275</v>
      </c>
      <c r="C1501" s="4" t="s">
        <v>629</v>
      </c>
      <c r="D1501" s="4" t="s">
        <v>930</v>
      </c>
      <c r="E1501" s="4">
        <v>50</v>
      </c>
      <c r="F1501" s="4" t="s">
        <v>917</v>
      </c>
      <c r="G1501" s="4"/>
      <c r="H1501" s="4"/>
      <c r="I1501" s="4"/>
      <c r="J1501" s="4"/>
    </row>
    <row r="1502" spans="1:10" ht="15" customHeight="1" x14ac:dyDescent="0.2">
      <c r="A1502" s="4">
        <v>1501</v>
      </c>
      <c r="B1502" s="4">
        <v>1276</v>
      </c>
      <c r="C1502" s="4" t="s">
        <v>630</v>
      </c>
      <c r="D1502" s="4" t="s">
        <v>929</v>
      </c>
      <c r="E1502" s="4">
        <v>15</v>
      </c>
      <c r="F1502" s="4" t="s">
        <v>917</v>
      </c>
      <c r="G1502" s="4"/>
      <c r="H1502" s="4"/>
      <c r="I1502" s="4"/>
      <c r="J1502" s="4"/>
    </row>
    <row r="1503" spans="1:10" ht="15" customHeight="1" x14ac:dyDescent="0.2">
      <c r="A1503" s="4">
        <v>1502</v>
      </c>
      <c r="B1503" s="4">
        <v>1276</v>
      </c>
      <c r="C1503" s="4" t="s">
        <v>630</v>
      </c>
      <c r="D1503" s="4" t="s">
        <v>918</v>
      </c>
      <c r="E1503" s="4">
        <v>25</v>
      </c>
      <c r="F1503" s="4" t="s">
        <v>917</v>
      </c>
      <c r="G1503" s="4"/>
      <c r="H1503" s="4"/>
      <c r="I1503" s="4"/>
      <c r="J1503" s="4"/>
    </row>
    <row r="1504" spans="1:10" ht="15" customHeight="1" x14ac:dyDescent="0.2">
      <c r="A1504" s="4">
        <v>1503</v>
      </c>
      <c r="B1504" s="4">
        <v>1276</v>
      </c>
      <c r="C1504" s="4" t="s">
        <v>630</v>
      </c>
      <c r="D1504" s="4" t="s">
        <v>919</v>
      </c>
      <c r="E1504" s="4">
        <v>40</v>
      </c>
      <c r="F1504" s="4" t="s">
        <v>917</v>
      </c>
      <c r="G1504" s="4"/>
      <c r="H1504" s="4"/>
      <c r="I1504" s="4"/>
      <c r="J1504" s="4"/>
    </row>
    <row r="1505" spans="1:10" ht="15" customHeight="1" x14ac:dyDescent="0.2">
      <c r="A1505" s="4">
        <v>1504</v>
      </c>
      <c r="B1505" s="4">
        <v>1276</v>
      </c>
      <c r="C1505" s="4" t="s">
        <v>630</v>
      </c>
      <c r="D1505" s="4" t="s">
        <v>930</v>
      </c>
      <c r="E1505" s="4">
        <v>50</v>
      </c>
      <c r="F1505" s="4" t="s">
        <v>917</v>
      </c>
      <c r="G1505" s="4"/>
      <c r="H1505" s="4"/>
      <c r="I1505" s="4"/>
      <c r="J1505" s="4"/>
    </row>
    <row r="1506" spans="1:10" ht="15" customHeight="1" x14ac:dyDescent="0.2">
      <c r="A1506" s="4">
        <v>1505</v>
      </c>
      <c r="B1506" s="4">
        <v>1277</v>
      </c>
      <c r="C1506" s="4" t="s">
        <v>632</v>
      </c>
      <c r="D1506" s="4" t="s">
        <v>929</v>
      </c>
      <c r="E1506" s="4">
        <v>15</v>
      </c>
      <c r="F1506" s="4" t="s">
        <v>917</v>
      </c>
      <c r="G1506" s="4"/>
      <c r="H1506" s="4"/>
      <c r="I1506" s="4"/>
      <c r="J1506" s="4"/>
    </row>
    <row r="1507" spans="1:10" ht="15" customHeight="1" x14ac:dyDescent="0.2">
      <c r="A1507" s="4">
        <v>1506</v>
      </c>
      <c r="B1507" s="4">
        <v>1277</v>
      </c>
      <c r="C1507" s="4" t="s">
        <v>632</v>
      </c>
      <c r="D1507" s="4" t="s">
        <v>918</v>
      </c>
      <c r="E1507" s="4">
        <v>25</v>
      </c>
      <c r="F1507" s="4" t="s">
        <v>917</v>
      </c>
      <c r="G1507" s="4"/>
      <c r="H1507" s="4"/>
      <c r="I1507" s="4"/>
      <c r="J1507" s="4"/>
    </row>
    <row r="1508" spans="1:10" ht="15" customHeight="1" x14ac:dyDescent="0.2">
      <c r="A1508" s="4">
        <v>1507</v>
      </c>
      <c r="B1508" s="4">
        <v>1277</v>
      </c>
      <c r="C1508" s="4" t="s">
        <v>632</v>
      </c>
      <c r="D1508" s="4" t="s">
        <v>919</v>
      </c>
      <c r="E1508" s="4">
        <v>40</v>
      </c>
      <c r="F1508" s="4" t="s">
        <v>917</v>
      </c>
      <c r="G1508" s="4"/>
      <c r="H1508" s="4"/>
      <c r="I1508" s="4"/>
      <c r="J1508" s="4"/>
    </row>
    <row r="1509" spans="1:10" ht="15" customHeight="1" x14ac:dyDescent="0.2">
      <c r="A1509" s="4">
        <v>1508</v>
      </c>
      <c r="B1509" s="4">
        <v>1277</v>
      </c>
      <c r="C1509" s="4" t="s">
        <v>632</v>
      </c>
      <c r="D1509" s="4" t="s">
        <v>930</v>
      </c>
      <c r="E1509" s="4">
        <v>50</v>
      </c>
      <c r="F1509" s="4" t="s">
        <v>917</v>
      </c>
      <c r="G1509" s="4"/>
      <c r="H1509" s="4"/>
      <c r="I1509" s="4"/>
      <c r="J1509" s="4"/>
    </row>
    <row r="1510" spans="1:10" ht="15" customHeight="1" x14ac:dyDescent="0.2">
      <c r="A1510" s="4">
        <v>1509</v>
      </c>
      <c r="B1510" s="4">
        <v>1278</v>
      </c>
      <c r="C1510" s="4" t="s">
        <v>633</v>
      </c>
      <c r="D1510" s="4" t="s">
        <v>929</v>
      </c>
      <c r="E1510" s="4">
        <v>15</v>
      </c>
      <c r="F1510" s="4" t="s">
        <v>917</v>
      </c>
      <c r="G1510" s="4"/>
      <c r="H1510" s="4"/>
      <c r="I1510" s="4"/>
      <c r="J1510" s="4"/>
    </row>
    <row r="1511" spans="1:10" ht="15" customHeight="1" x14ac:dyDescent="0.2">
      <c r="A1511" s="4">
        <v>1510</v>
      </c>
      <c r="B1511" s="4">
        <v>1278</v>
      </c>
      <c r="C1511" s="4" t="s">
        <v>633</v>
      </c>
      <c r="D1511" s="4" t="s">
        <v>918</v>
      </c>
      <c r="E1511" s="4">
        <v>25</v>
      </c>
      <c r="F1511" s="4" t="s">
        <v>917</v>
      </c>
      <c r="G1511" s="4"/>
      <c r="H1511" s="4"/>
      <c r="I1511" s="4"/>
      <c r="J1511" s="4"/>
    </row>
    <row r="1512" spans="1:10" ht="15" customHeight="1" x14ac:dyDescent="0.2">
      <c r="A1512" s="4">
        <v>1511</v>
      </c>
      <c r="B1512" s="4">
        <v>1278</v>
      </c>
      <c r="C1512" s="4" t="s">
        <v>633</v>
      </c>
      <c r="D1512" s="4" t="s">
        <v>919</v>
      </c>
      <c r="E1512" s="4">
        <v>40</v>
      </c>
      <c r="F1512" s="4" t="s">
        <v>917</v>
      </c>
      <c r="G1512" s="4"/>
      <c r="H1512" s="4"/>
      <c r="I1512" s="4"/>
      <c r="J1512" s="4"/>
    </row>
    <row r="1513" spans="1:10" ht="15" customHeight="1" x14ac:dyDescent="0.2">
      <c r="A1513" s="4">
        <v>1512</v>
      </c>
      <c r="B1513" s="4">
        <v>1278</v>
      </c>
      <c r="C1513" s="4" t="s">
        <v>633</v>
      </c>
      <c r="D1513" s="4" t="s">
        <v>930</v>
      </c>
      <c r="E1513" s="4">
        <v>50</v>
      </c>
      <c r="F1513" s="4" t="s">
        <v>917</v>
      </c>
      <c r="G1513" s="4"/>
      <c r="H1513" s="4"/>
      <c r="I1513" s="4"/>
      <c r="J1513" s="4"/>
    </row>
    <row r="1514" spans="1:10" ht="15" customHeight="1" x14ac:dyDescent="0.2">
      <c r="A1514" s="4">
        <v>1513</v>
      </c>
      <c r="B1514" s="4">
        <v>1279</v>
      </c>
      <c r="C1514" s="4" t="s">
        <v>634</v>
      </c>
      <c r="D1514" s="4" t="s">
        <v>929</v>
      </c>
      <c r="E1514" s="4">
        <v>15</v>
      </c>
      <c r="F1514" s="4" t="s">
        <v>917</v>
      </c>
      <c r="G1514" s="4"/>
      <c r="H1514" s="4"/>
      <c r="I1514" s="4"/>
      <c r="J1514" s="4"/>
    </row>
    <row r="1515" spans="1:10" ht="15" customHeight="1" x14ac:dyDescent="0.2">
      <c r="A1515" s="4">
        <v>1514</v>
      </c>
      <c r="B1515" s="4">
        <v>1279</v>
      </c>
      <c r="C1515" s="4" t="s">
        <v>634</v>
      </c>
      <c r="D1515" s="4" t="s">
        <v>918</v>
      </c>
      <c r="E1515" s="4">
        <v>25</v>
      </c>
      <c r="F1515" s="4" t="s">
        <v>917</v>
      </c>
      <c r="G1515" s="4"/>
      <c r="H1515" s="4"/>
      <c r="I1515" s="4"/>
      <c r="J1515" s="4"/>
    </row>
    <row r="1516" spans="1:10" ht="15" customHeight="1" x14ac:dyDescent="0.2">
      <c r="A1516" s="4">
        <v>1515</v>
      </c>
      <c r="B1516" s="4">
        <v>1279</v>
      </c>
      <c r="C1516" s="4" t="s">
        <v>634</v>
      </c>
      <c r="D1516" s="4" t="s">
        <v>919</v>
      </c>
      <c r="E1516" s="4">
        <v>40</v>
      </c>
      <c r="F1516" s="4" t="s">
        <v>917</v>
      </c>
      <c r="G1516" s="4"/>
      <c r="H1516" s="4"/>
      <c r="I1516" s="4"/>
      <c r="J1516" s="4"/>
    </row>
    <row r="1517" spans="1:10" ht="15" customHeight="1" x14ac:dyDescent="0.2">
      <c r="A1517" s="4">
        <v>1516</v>
      </c>
      <c r="B1517" s="4">
        <v>1279</v>
      </c>
      <c r="C1517" s="4" t="s">
        <v>634</v>
      </c>
      <c r="D1517" s="4" t="s">
        <v>930</v>
      </c>
      <c r="E1517" s="4">
        <v>50</v>
      </c>
      <c r="F1517" s="4" t="s">
        <v>917</v>
      </c>
      <c r="G1517" s="4"/>
      <c r="H1517" s="4"/>
      <c r="I1517" s="4"/>
      <c r="J1517" s="4"/>
    </row>
    <row r="1518" spans="1:10" ht="15" customHeight="1" x14ac:dyDescent="0.2">
      <c r="A1518" s="4">
        <v>1517</v>
      </c>
      <c r="B1518" s="4">
        <v>1280</v>
      </c>
      <c r="C1518" s="4" t="s">
        <v>635</v>
      </c>
      <c r="D1518" s="4" t="s">
        <v>929</v>
      </c>
      <c r="E1518" s="4">
        <v>15</v>
      </c>
      <c r="F1518" s="4" t="s">
        <v>917</v>
      </c>
      <c r="G1518" s="4"/>
      <c r="H1518" s="4"/>
      <c r="I1518" s="4"/>
      <c r="J1518" s="4"/>
    </row>
    <row r="1519" spans="1:10" ht="15" customHeight="1" x14ac:dyDescent="0.2">
      <c r="A1519" s="4">
        <v>1518</v>
      </c>
      <c r="B1519" s="4">
        <v>1280</v>
      </c>
      <c r="C1519" s="4" t="s">
        <v>635</v>
      </c>
      <c r="D1519" s="4" t="s">
        <v>918</v>
      </c>
      <c r="E1519" s="4">
        <v>25</v>
      </c>
      <c r="F1519" s="4" t="s">
        <v>917</v>
      </c>
      <c r="G1519" s="4"/>
      <c r="H1519" s="4"/>
      <c r="I1519" s="4"/>
      <c r="J1519" s="4"/>
    </row>
    <row r="1520" spans="1:10" ht="15" customHeight="1" x14ac:dyDescent="0.2">
      <c r="A1520" s="4">
        <v>1519</v>
      </c>
      <c r="B1520" s="4">
        <v>1280</v>
      </c>
      <c r="C1520" s="4" t="s">
        <v>635</v>
      </c>
      <c r="D1520" s="4" t="s">
        <v>919</v>
      </c>
      <c r="E1520" s="4">
        <v>40</v>
      </c>
      <c r="F1520" s="4" t="s">
        <v>917</v>
      </c>
      <c r="G1520" s="4"/>
      <c r="H1520" s="4"/>
      <c r="I1520" s="4"/>
      <c r="J1520" s="4"/>
    </row>
    <row r="1521" spans="1:10" ht="15" customHeight="1" x14ac:dyDescent="0.2">
      <c r="A1521" s="4">
        <v>1520</v>
      </c>
      <c r="B1521" s="4">
        <v>1280</v>
      </c>
      <c r="C1521" s="4" t="s">
        <v>635</v>
      </c>
      <c r="D1521" s="4" t="s">
        <v>930</v>
      </c>
      <c r="E1521" s="4">
        <v>50</v>
      </c>
      <c r="F1521" s="4" t="s">
        <v>917</v>
      </c>
      <c r="G1521" s="4"/>
      <c r="H1521" s="4"/>
      <c r="I1521" s="4"/>
      <c r="J1521" s="4"/>
    </row>
    <row r="1522" spans="1:10" ht="15" customHeight="1" x14ac:dyDescent="0.2">
      <c r="A1522" s="4">
        <v>1521</v>
      </c>
      <c r="B1522" s="4">
        <v>1281</v>
      </c>
      <c r="C1522" s="4" t="s">
        <v>636</v>
      </c>
      <c r="D1522" s="4" t="s">
        <v>929</v>
      </c>
      <c r="E1522" s="4">
        <v>15</v>
      </c>
      <c r="F1522" s="4" t="s">
        <v>917</v>
      </c>
      <c r="G1522" s="4"/>
      <c r="H1522" s="4"/>
      <c r="I1522" s="4"/>
      <c r="J1522" s="4"/>
    </row>
    <row r="1523" spans="1:10" ht="15" customHeight="1" x14ac:dyDescent="0.2">
      <c r="A1523" s="4">
        <v>1522</v>
      </c>
      <c r="B1523" s="4">
        <v>1281</v>
      </c>
      <c r="C1523" s="4" t="s">
        <v>636</v>
      </c>
      <c r="D1523" s="4" t="s">
        <v>918</v>
      </c>
      <c r="E1523" s="4">
        <v>25</v>
      </c>
      <c r="F1523" s="4" t="s">
        <v>917</v>
      </c>
      <c r="G1523" s="4"/>
      <c r="H1523" s="4"/>
      <c r="I1523" s="4"/>
      <c r="J1523" s="4"/>
    </row>
    <row r="1524" spans="1:10" ht="15" customHeight="1" x14ac:dyDescent="0.2">
      <c r="A1524" s="4">
        <v>1523</v>
      </c>
      <c r="B1524" s="4">
        <v>1281</v>
      </c>
      <c r="C1524" s="4" t="s">
        <v>636</v>
      </c>
      <c r="D1524" s="4" t="s">
        <v>919</v>
      </c>
      <c r="E1524" s="4">
        <v>40</v>
      </c>
      <c r="F1524" s="4" t="s">
        <v>917</v>
      </c>
      <c r="G1524" s="4"/>
      <c r="H1524" s="4"/>
      <c r="I1524" s="4"/>
      <c r="J1524" s="4"/>
    </row>
    <row r="1525" spans="1:10" ht="15" customHeight="1" x14ac:dyDescent="0.2">
      <c r="A1525" s="4">
        <v>1524</v>
      </c>
      <c r="B1525" s="4">
        <v>1281</v>
      </c>
      <c r="C1525" s="4" t="s">
        <v>636</v>
      </c>
      <c r="D1525" s="4" t="s">
        <v>930</v>
      </c>
      <c r="E1525" s="4">
        <v>50</v>
      </c>
      <c r="F1525" s="4" t="s">
        <v>917</v>
      </c>
      <c r="G1525" s="4"/>
      <c r="H1525" s="4"/>
      <c r="I1525" s="4"/>
      <c r="J1525" s="4"/>
    </row>
    <row r="1526" spans="1:10" ht="15" customHeight="1" x14ac:dyDescent="0.2">
      <c r="A1526" s="4">
        <v>1525</v>
      </c>
      <c r="B1526" s="4">
        <v>1282</v>
      </c>
      <c r="C1526" s="4" t="s">
        <v>637</v>
      </c>
      <c r="D1526" s="4" t="s">
        <v>929</v>
      </c>
      <c r="E1526" s="4">
        <v>15</v>
      </c>
      <c r="F1526" s="4" t="s">
        <v>917</v>
      </c>
      <c r="G1526" s="4"/>
      <c r="H1526" s="4"/>
      <c r="I1526" s="4"/>
      <c r="J1526" s="4"/>
    </row>
    <row r="1527" spans="1:10" ht="15" customHeight="1" x14ac:dyDescent="0.2">
      <c r="A1527" s="4">
        <v>1526</v>
      </c>
      <c r="B1527" s="4">
        <v>1282</v>
      </c>
      <c r="C1527" s="4" t="s">
        <v>637</v>
      </c>
      <c r="D1527" s="4" t="s">
        <v>918</v>
      </c>
      <c r="E1527" s="4">
        <v>25</v>
      </c>
      <c r="F1527" s="4" t="s">
        <v>917</v>
      </c>
      <c r="G1527" s="4"/>
      <c r="H1527" s="4"/>
      <c r="I1527" s="4"/>
      <c r="J1527" s="4"/>
    </row>
    <row r="1528" spans="1:10" ht="15" customHeight="1" x14ac:dyDescent="0.2">
      <c r="A1528" s="4">
        <v>1527</v>
      </c>
      <c r="B1528" s="4">
        <v>1282</v>
      </c>
      <c r="C1528" s="4" t="s">
        <v>637</v>
      </c>
      <c r="D1528" s="4" t="s">
        <v>919</v>
      </c>
      <c r="E1528" s="4">
        <v>40</v>
      </c>
      <c r="F1528" s="4" t="s">
        <v>917</v>
      </c>
      <c r="G1528" s="4"/>
      <c r="H1528" s="4"/>
      <c r="I1528" s="4"/>
      <c r="J1528" s="4"/>
    </row>
    <row r="1529" spans="1:10" ht="15" customHeight="1" x14ac:dyDescent="0.2">
      <c r="A1529" s="4">
        <v>1528</v>
      </c>
      <c r="B1529" s="4">
        <v>1282</v>
      </c>
      <c r="C1529" s="4" t="s">
        <v>637</v>
      </c>
      <c r="D1529" s="4" t="s">
        <v>930</v>
      </c>
      <c r="E1529" s="4">
        <v>50</v>
      </c>
      <c r="F1529" s="4" t="s">
        <v>917</v>
      </c>
      <c r="G1529" s="4"/>
      <c r="H1529" s="4"/>
      <c r="I1529" s="4"/>
      <c r="J1529" s="4"/>
    </row>
    <row r="1530" spans="1:10" ht="15" customHeight="1" x14ac:dyDescent="0.2">
      <c r="A1530" s="4">
        <v>1529</v>
      </c>
      <c r="B1530" s="4">
        <v>1283</v>
      </c>
      <c r="C1530" s="4" t="s">
        <v>638</v>
      </c>
      <c r="D1530" s="4" t="s">
        <v>929</v>
      </c>
      <c r="E1530" s="4">
        <v>15</v>
      </c>
      <c r="F1530" s="4" t="s">
        <v>917</v>
      </c>
      <c r="G1530" s="4"/>
      <c r="H1530" s="4"/>
      <c r="I1530" s="4"/>
      <c r="J1530" s="4"/>
    </row>
    <row r="1531" spans="1:10" ht="15" customHeight="1" x14ac:dyDescent="0.2">
      <c r="A1531" s="4">
        <v>1530</v>
      </c>
      <c r="B1531" s="4">
        <v>1283</v>
      </c>
      <c r="C1531" s="4" t="s">
        <v>638</v>
      </c>
      <c r="D1531" s="4" t="s">
        <v>918</v>
      </c>
      <c r="E1531" s="4">
        <v>25</v>
      </c>
      <c r="F1531" s="4" t="s">
        <v>917</v>
      </c>
      <c r="G1531" s="4"/>
      <c r="H1531" s="4"/>
      <c r="I1531" s="4"/>
      <c r="J1531" s="4"/>
    </row>
    <row r="1532" spans="1:10" ht="15" customHeight="1" x14ac:dyDescent="0.2">
      <c r="A1532" s="4">
        <v>1531</v>
      </c>
      <c r="B1532" s="4">
        <v>1283</v>
      </c>
      <c r="C1532" s="4" t="s">
        <v>638</v>
      </c>
      <c r="D1532" s="4" t="s">
        <v>919</v>
      </c>
      <c r="E1532" s="4">
        <v>40</v>
      </c>
      <c r="F1532" s="4" t="s">
        <v>917</v>
      </c>
      <c r="G1532" s="4"/>
      <c r="H1532" s="4"/>
      <c r="I1532" s="4"/>
      <c r="J1532" s="4"/>
    </row>
    <row r="1533" spans="1:10" ht="15" customHeight="1" x14ac:dyDescent="0.2">
      <c r="A1533" s="4">
        <v>1532</v>
      </c>
      <c r="B1533" s="4">
        <v>1283</v>
      </c>
      <c r="C1533" s="4" t="s">
        <v>638</v>
      </c>
      <c r="D1533" s="4" t="s">
        <v>930</v>
      </c>
      <c r="E1533" s="4">
        <v>50</v>
      </c>
      <c r="F1533" s="4" t="s">
        <v>917</v>
      </c>
      <c r="G1533" s="4"/>
      <c r="H1533" s="4"/>
      <c r="I1533" s="4"/>
      <c r="J1533" s="4"/>
    </row>
    <row r="1534" spans="1:10" ht="15" customHeight="1" x14ac:dyDescent="0.2">
      <c r="A1534" s="4">
        <v>1533</v>
      </c>
      <c r="B1534" s="4">
        <v>1284</v>
      </c>
      <c r="C1534" s="4" t="s">
        <v>639</v>
      </c>
      <c r="D1534" s="4" t="s">
        <v>929</v>
      </c>
      <c r="E1534" s="4">
        <v>15</v>
      </c>
      <c r="F1534" s="4" t="s">
        <v>917</v>
      </c>
      <c r="G1534" s="4"/>
      <c r="H1534" s="4"/>
      <c r="I1534" s="4"/>
      <c r="J1534" s="4"/>
    </row>
    <row r="1535" spans="1:10" ht="15" customHeight="1" x14ac:dyDescent="0.2">
      <c r="A1535" s="4">
        <v>1534</v>
      </c>
      <c r="B1535" s="4">
        <v>1284</v>
      </c>
      <c r="C1535" s="4" t="s">
        <v>639</v>
      </c>
      <c r="D1535" s="4" t="s">
        <v>918</v>
      </c>
      <c r="E1535" s="4">
        <v>25</v>
      </c>
      <c r="F1535" s="4" t="s">
        <v>917</v>
      </c>
      <c r="G1535" s="4"/>
      <c r="H1535" s="4"/>
      <c r="I1535" s="4"/>
      <c r="J1535" s="4"/>
    </row>
    <row r="1536" spans="1:10" ht="15" customHeight="1" x14ac:dyDescent="0.2">
      <c r="A1536" s="4">
        <v>1535</v>
      </c>
      <c r="B1536" s="4">
        <v>1284</v>
      </c>
      <c r="C1536" s="4" t="s">
        <v>639</v>
      </c>
      <c r="D1536" s="4" t="s">
        <v>919</v>
      </c>
      <c r="E1536" s="4">
        <v>40</v>
      </c>
      <c r="F1536" s="4" t="s">
        <v>917</v>
      </c>
      <c r="G1536" s="4"/>
      <c r="H1536" s="4"/>
      <c r="I1536" s="4"/>
      <c r="J1536" s="4"/>
    </row>
    <row r="1537" spans="1:10" ht="15" customHeight="1" x14ac:dyDescent="0.2">
      <c r="A1537" s="4">
        <v>1536</v>
      </c>
      <c r="B1537" s="4">
        <v>1284</v>
      </c>
      <c r="C1537" s="4" t="s">
        <v>639</v>
      </c>
      <c r="D1537" s="4" t="s">
        <v>930</v>
      </c>
      <c r="E1537" s="4">
        <v>50</v>
      </c>
      <c r="F1537" s="4" t="s">
        <v>917</v>
      </c>
      <c r="G1537" s="4"/>
      <c r="H1537" s="4"/>
      <c r="I1537" s="4"/>
      <c r="J1537" s="4"/>
    </row>
    <row r="1538" spans="1:10" ht="15" customHeight="1" x14ac:dyDescent="0.2">
      <c r="A1538" s="4">
        <v>1537</v>
      </c>
      <c r="B1538" s="4">
        <v>1285</v>
      </c>
      <c r="C1538" s="4" t="s">
        <v>640</v>
      </c>
      <c r="D1538" s="4" t="s">
        <v>929</v>
      </c>
      <c r="E1538" s="4">
        <v>15</v>
      </c>
      <c r="F1538" s="4" t="s">
        <v>917</v>
      </c>
      <c r="G1538" s="4"/>
      <c r="H1538" s="4"/>
      <c r="I1538" s="4"/>
      <c r="J1538" s="4"/>
    </row>
    <row r="1539" spans="1:10" ht="15" customHeight="1" x14ac:dyDescent="0.2">
      <c r="A1539" s="4">
        <v>1538</v>
      </c>
      <c r="B1539" s="4">
        <v>1285</v>
      </c>
      <c r="C1539" s="4" t="s">
        <v>640</v>
      </c>
      <c r="D1539" s="4" t="s">
        <v>918</v>
      </c>
      <c r="E1539" s="4">
        <v>25</v>
      </c>
      <c r="F1539" s="4" t="s">
        <v>917</v>
      </c>
      <c r="G1539" s="4"/>
      <c r="H1539" s="4"/>
      <c r="I1539" s="4"/>
      <c r="J1539" s="4"/>
    </row>
    <row r="1540" spans="1:10" ht="15" customHeight="1" x14ac:dyDescent="0.2">
      <c r="A1540" s="4">
        <v>1539</v>
      </c>
      <c r="B1540" s="4">
        <v>1285</v>
      </c>
      <c r="C1540" s="4" t="s">
        <v>640</v>
      </c>
      <c r="D1540" s="4" t="s">
        <v>919</v>
      </c>
      <c r="E1540" s="4">
        <v>40</v>
      </c>
      <c r="F1540" s="4" t="s">
        <v>917</v>
      </c>
      <c r="G1540" s="4"/>
      <c r="H1540" s="4"/>
      <c r="I1540" s="4"/>
      <c r="J1540" s="4"/>
    </row>
    <row r="1541" spans="1:10" ht="15" customHeight="1" x14ac:dyDescent="0.2">
      <c r="A1541" s="4">
        <v>1540</v>
      </c>
      <c r="B1541" s="4">
        <v>1285</v>
      </c>
      <c r="C1541" s="4" t="s">
        <v>640</v>
      </c>
      <c r="D1541" s="4" t="s">
        <v>930</v>
      </c>
      <c r="E1541" s="4">
        <v>50</v>
      </c>
      <c r="F1541" s="4" t="s">
        <v>917</v>
      </c>
      <c r="G1541" s="4"/>
      <c r="H1541" s="4"/>
      <c r="I1541" s="4"/>
      <c r="J1541" s="4"/>
    </row>
    <row r="1542" spans="1:10" ht="15" customHeight="1" x14ac:dyDescent="0.2">
      <c r="A1542" s="4">
        <v>1541</v>
      </c>
      <c r="B1542" s="4">
        <v>1286</v>
      </c>
      <c r="C1542" s="4" t="s">
        <v>641</v>
      </c>
      <c r="D1542" s="4" t="s">
        <v>929</v>
      </c>
      <c r="E1542" s="4">
        <v>15</v>
      </c>
      <c r="F1542" s="4" t="s">
        <v>917</v>
      </c>
      <c r="G1542" s="4"/>
      <c r="H1542" s="4"/>
      <c r="I1542" s="4"/>
      <c r="J1542" s="4"/>
    </row>
    <row r="1543" spans="1:10" ht="15" customHeight="1" x14ac:dyDescent="0.2">
      <c r="A1543" s="4">
        <v>1542</v>
      </c>
      <c r="B1543" s="4">
        <v>1286</v>
      </c>
      <c r="C1543" s="4" t="s">
        <v>641</v>
      </c>
      <c r="D1543" s="4" t="s">
        <v>918</v>
      </c>
      <c r="E1543" s="4">
        <v>25</v>
      </c>
      <c r="F1543" s="4" t="s">
        <v>917</v>
      </c>
      <c r="G1543" s="4"/>
      <c r="H1543" s="4"/>
      <c r="I1543" s="4"/>
      <c r="J1543" s="4"/>
    </row>
    <row r="1544" spans="1:10" ht="15" customHeight="1" x14ac:dyDescent="0.2">
      <c r="A1544" s="4">
        <v>1543</v>
      </c>
      <c r="B1544" s="4">
        <v>1286</v>
      </c>
      <c r="C1544" s="4" t="s">
        <v>641</v>
      </c>
      <c r="D1544" s="4" t="s">
        <v>919</v>
      </c>
      <c r="E1544" s="4">
        <v>40</v>
      </c>
      <c r="F1544" s="4" t="s">
        <v>917</v>
      </c>
      <c r="G1544" s="4"/>
      <c r="H1544" s="4"/>
      <c r="I1544" s="4"/>
      <c r="J1544" s="4"/>
    </row>
    <row r="1545" spans="1:10" ht="15" customHeight="1" x14ac:dyDescent="0.2">
      <c r="A1545" s="4">
        <v>1544</v>
      </c>
      <c r="B1545" s="4">
        <v>1286</v>
      </c>
      <c r="C1545" s="4" t="s">
        <v>641</v>
      </c>
      <c r="D1545" s="4" t="s">
        <v>930</v>
      </c>
      <c r="E1545" s="4">
        <v>50</v>
      </c>
      <c r="F1545" s="4" t="s">
        <v>917</v>
      </c>
      <c r="G1545" s="4"/>
      <c r="H1545" s="4"/>
      <c r="I1545" s="4"/>
      <c r="J1545" s="4"/>
    </row>
    <row r="1546" spans="1:10" ht="15" customHeight="1" x14ac:dyDescent="0.2">
      <c r="A1546" s="4">
        <v>1545</v>
      </c>
      <c r="B1546" s="4">
        <v>1287</v>
      </c>
      <c r="C1546" s="4" t="s">
        <v>642</v>
      </c>
      <c r="D1546" s="4" t="s">
        <v>929</v>
      </c>
      <c r="E1546" s="4">
        <v>15</v>
      </c>
      <c r="F1546" s="4" t="s">
        <v>917</v>
      </c>
      <c r="G1546" s="4"/>
      <c r="H1546" s="4"/>
      <c r="I1546" s="4"/>
      <c r="J1546" s="4"/>
    </row>
    <row r="1547" spans="1:10" ht="15" customHeight="1" x14ac:dyDescent="0.2">
      <c r="A1547" s="4">
        <v>1546</v>
      </c>
      <c r="B1547" s="4">
        <v>1287</v>
      </c>
      <c r="C1547" s="4" t="s">
        <v>642</v>
      </c>
      <c r="D1547" s="4" t="s">
        <v>918</v>
      </c>
      <c r="E1547" s="4">
        <v>25</v>
      </c>
      <c r="F1547" s="4" t="s">
        <v>917</v>
      </c>
      <c r="G1547" s="4"/>
      <c r="H1547" s="4"/>
      <c r="I1547" s="4"/>
      <c r="J1547" s="4"/>
    </row>
    <row r="1548" spans="1:10" ht="15" customHeight="1" x14ac:dyDescent="0.2">
      <c r="A1548" s="4">
        <v>1547</v>
      </c>
      <c r="B1548" s="4">
        <v>1287</v>
      </c>
      <c r="C1548" s="4" t="s">
        <v>642</v>
      </c>
      <c r="D1548" s="4" t="s">
        <v>919</v>
      </c>
      <c r="E1548" s="4">
        <v>40</v>
      </c>
      <c r="F1548" s="4" t="s">
        <v>917</v>
      </c>
      <c r="G1548" s="4"/>
      <c r="H1548" s="4"/>
      <c r="I1548" s="4"/>
      <c r="J1548" s="4"/>
    </row>
    <row r="1549" spans="1:10" ht="15" customHeight="1" x14ac:dyDescent="0.2">
      <c r="A1549" s="4">
        <v>1548</v>
      </c>
      <c r="B1549" s="4">
        <v>1287</v>
      </c>
      <c r="C1549" s="4" t="s">
        <v>642</v>
      </c>
      <c r="D1549" s="4" t="s">
        <v>930</v>
      </c>
      <c r="E1549" s="4">
        <v>50</v>
      </c>
      <c r="F1549" s="4" t="s">
        <v>917</v>
      </c>
      <c r="G1549" s="4"/>
      <c r="H1549" s="4"/>
      <c r="I1549" s="4"/>
      <c r="J1549" s="4"/>
    </row>
    <row r="1550" spans="1:10" ht="15" customHeight="1" x14ac:dyDescent="0.2">
      <c r="A1550" s="4">
        <v>1549</v>
      </c>
      <c r="B1550" s="4">
        <v>1288</v>
      </c>
      <c r="C1550" s="4" t="s">
        <v>643</v>
      </c>
      <c r="D1550" s="4" t="s">
        <v>929</v>
      </c>
      <c r="E1550" s="4">
        <v>15</v>
      </c>
      <c r="F1550" s="4" t="s">
        <v>917</v>
      </c>
      <c r="G1550" s="4"/>
      <c r="H1550" s="4"/>
      <c r="I1550" s="4"/>
      <c r="J1550" s="4"/>
    </row>
    <row r="1551" spans="1:10" ht="15" customHeight="1" x14ac:dyDescent="0.2">
      <c r="A1551" s="4">
        <v>1550</v>
      </c>
      <c r="B1551" s="4">
        <v>1288</v>
      </c>
      <c r="C1551" s="4" t="s">
        <v>643</v>
      </c>
      <c r="D1551" s="4" t="s">
        <v>918</v>
      </c>
      <c r="E1551" s="4">
        <v>25</v>
      </c>
      <c r="F1551" s="4" t="s">
        <v>917</v>
      </c>
      <c r="G1551" s="4"/>
      <c r="H1551" s="4"/>
      <c r="I1551" s="4"/>
      <c r="J1551" s="4"/>
    </row>
    <row r="1552" spans="1:10" ht="15" customHeight="1" x14ac:dyDescent="0.2">
      <c r="A1552" s="4">
        <v>1551</v>
      </c>
      <c r="B1552" s="4">
        <v>1288</v>
      </c>
      <c r="C1552" s="4" t="s">
        <v>643</v>
      </c>
      <c r="D1552" s="4" t="s">
        <v>919</v>
      </c>
      <c r="E1552" s="4">
        <v>40</v>
      </c>
      <c r="F1552" s="4" t="s">
        <v>917</v>
      </c>
      <c r="G1552" s="4"/>
      <c r="H1552" s="4"/>
      <c r="I1552" s="4"/>
      <c r="J1552" s="4"/>
    </row>
    <row r="1553" spans="1:10" ht="15" customHeight="1" x14ac:dyDescent="0.2">
      <c r="A1553" s="4">
        <v>1552</v>
      </c>
      <c r="B1553" s="4">
        <v>1288</v>
      </c>
      <c r="C1553" s="4" t="s">
        <v>643</v>
      </c>
      <c r="D1553" s="4" t="s">
        <v>930</v>
      </c>
      <c r="E1553" s="4">
        <v>50</v>
      </c>
      <c r="F1553" s="4" t="s">
        <v>917</v>
      </c>
      <c r="G1553" s="4"/>
      <c r="H1553" s="4"/>
      <c r="I1553" s="4"/>
      <c r="J1553" s="4"/>
    </row>
    <row r="1554" spans="1:10" ht="15" customHeight="1" x14ac:dyDescent="0.2">
      <c r="A1554" s="4">
        <v>1553</v>
      </c>
      <c r="B1554" s="4">
        <v>1289</v>
      </c>
      <c r="C1554" s="4" t="s">
        <v>644</v>
      </c>
      <c r="D1554" s="4" t="s">
        <v>929</v>
      </c>
      <c r="E1554" s="4">
        <v>15</v>
      </c>
      <c r="F1554" s="4" t="s">
        <v>917</v>
      </c>
      <c r="G1554" s="4"/>
      <c r="H1554" s="4"/>
      <c r="I1554" s="4"/>
      <c r="J1554" s="4"/>
    </row>
    <row r="1555" spans="1:10" ht="15" customHeight="1" x14ac:dyDescent="0.2">
      <c r="A1555" s="4">
        <v>1554</v>
      </c>
      <c r="B1555" s="4">
        <v>1289</v>
      </c>
      <c r="C1555" s="4" t="s">
        <v>644</v>
      </c>
      <c r="D1555" s="4" t="s">
        <v>918</v>
      </c>
      <c r="E1555" s="4">
        <v>25</v>
      </c>
      <c r="F1555" s="4" t="s">
        <v>917</v>
      </c>
      <c r="G1555" s="4"/>
      <c r="H1555" s="4"/>
      <c r="I1555" s="4"/>
      <c r="J1555" s="4"/>
    </row>
    <row r="1556" spans="1:10" ht="15" customHeight="1" x14ac:dyDescent="0.2">
      <c r="A1556" s="4">
        <v>1555</v>
      </c>
      <c r="B1556" s="4">
        <v>1289</v>
      </c>
      <c r="C1556" s="4" t="s">
        <v>644</v>
      </c>
      <c r="D1556" s="4" t="s">
        <v>919</v>
      </c>
      <c r="E1556" s="4">
        <v>40</v>
      </c>
      <c r="F1556" s="4" t="s">
        <v>917</v>
      </c>
      <c r="G1556" s="4"/>
      <c r="H1556" s="4"/>
      <c r="I1556" s="4"/>
      <c r="J1556" s="4"/>
    </row>
    <row r="1557" spans="1:10" ht="15" customHeight="1" x14ac:dyDescent="0.2">
      <c r="A1557" s="4">
        <v>1556</v>
      </c>
      <c r="B1557" s="4">
        <v>1289</v>
      </c>
      <c r="C1557" s="4" t="s">
        <v>644</v>
      </c>
      <c r="D1557" s="4" t="s">
        <v>930</v>
      </c>
      <c r="E1557" s="4">
        <v>50</v>
      </c>
      <c r="F1557" s="4" t="s">
        <v>917</v>
      </c>
      <c r="G1557" s="4"/>
      <c r="H1557" s="4"/>
      <c r="I1557" s="4"/>
      <c r="J1557" s="4"/>
    </row>
    <row r="1558" spans="1:10" ht="15" customHeight="1" x14ac:dyDescent="0.2">
      <c r="A1558" s="4">
        <v>1557</v>
      </c>
      <c r="B1558" s="4">
        <v>1290</v>
      </c>
      <c r="C1558" s="4" t="s">
        <v>645</v>
      </c>
      <c r="D1558" s="4" t="s">
        <v>929</v>
      </c>
      <c r="E1558" s="4">
        <v>15</v>
      </c>
      <c r="F1558" s="4" t="s">
        <v>917</v>
      </c>
      <c r="G1558" s="4"/>
      <c r="H1558" s="4"/>
      <c r="I1558" s="4"/>
      <c r="J1558" s="4"/>
    </row>
    <row r="1559" spans="1:10" ht="15" customHeight="1" x14ac:dyDescent="0.2">
      <c r="A1559" s="4">
        <v>1558</v>
      </c>
      <c r="B1559" s="4">
        <v>1290</v>
      </c>
      <c r="C1559" s="4" t="s">
        <v>645</v>
      </c>
      <c r="D1559" s="4" t="s">
        <v>918</v>
      </c>
      <c r="E1559" s="4">
        <v>25</v>
      </c>
      <c r="F1559" s="4" t="s">
        <v>917</v>
      </c>
      <c r="G1559" s="4"/>
      <c r="H1559" s="4"/>
      <c r="I1559" s="4"/>
      <c r="J1559" s="4"/>
    </row>
    <row r="1560" spans="1:10" ht="15" customHeight="1" x14ac:dyDescent="0.2">
      <c r="A1560" s="4">
        <v>1559</v>
      </c>
      <c r="B1560" s="4">
        <v>1290</v>
      </c>
      <c r="C1560" s="4" t="s">
        <v>645</v>
      </c>
      <c r="D1560" s="4" t="s">
        <v>919</v>
      </c>
      <c r="E1560" s="4">
        <v>40</v>
      </c>
      <c r="F1560" s="4" t="s">
        <v>917</v>
      </c>
      <c r="G1560" s="4"/>
      <c r="H1560" s="4"/>
      <c r="I1560" s="4"/>
      <c r="J1560" s="4"/>
    </row>
    <row r="1561" spans="1:10" ht="15" customHeight="1" x14ac:dyDescent="0.2">
      <c r="A1561" s="4">
        <v>1560</v>
      </c>
      <c r="B1561" s="4">
        <v>1290</v>
      </c>
      <c r="C1561" s="4" t="s">
        <v>645</v>
      </c>
      <c r="D1561" s="4" t="s">
        <v>930</v>
      </c>
      <c r="E1561" s="4">
        <v>50</v>
      </c>
      <c r="F1561" s="4" t="s">
        <v>917</v>
      </c>
      <c r="G1561" s="4"/>
      <c r="H1561" s="4"/>
      <c r="I1561" s="4"/>
      <c r="J1561" s="4"/>
    </row>
    <row r="1562" spans="1:10" ht="15" customHeight="1" x14ac:dyDescent="0.2">
      <c r="A1562" s="4">
        <v>1561</v>
      </c>
      <c r="B1562" s="4">
        <v>1291</v>
      </c>
      <c r="C1562" s="4" t="s">
        <v>646</v>
      </c>
      <c r="D1562" s="4" t="s">
        <v>929</v>
      </c>
      <c r="E1562" s="4">
        <v>15</v>
      </c>
      <c r="F1562" s="4" t="s">
        <v>917</v>
      </c>
      <c r="G1562" s="4"/>
      <c r="H1562" s="4"/>
      <c r="I1562" s="4"/>
      <c r="J1562" s="4"/>
    </row>
    <row r="1563" spans="1:10" ht="15" customHeight="1" x14ac:dyDescent="0.2">
      <c r="A1563" s="4">
        <v>1562</v>
      </c>
      <c r="B1563" s="4">
        <v>1291</v>
      </c>
      <c r="C1563" s="4" t="s">
        <v>646</v>
      </c>
      <c r="D1563" s="4" t="s">
        <v>918</v>
      </c>
      <c r="E1563" s="4">
        <v>25</v>
      </c>
      <c r="F1563" s="4" t="s">
        <v>917</v>
      </c>
      <c r="G1563" s="4"/>
      <c r="H1563" s="4"/>
      <c r="I1563" s="4"/>
      <c r="J1563" s="4"/>
    </row>
    <row r="1564" spans="1:10" ht="15" customHeight="1" x14ac:dyDescent="0.2">
      <c r="A1564" s="4">
        <v>1563</v>
      </c>
      <c r="B1564" s="4">
        <v>1291</v>
      </c>
      <c r="C1564" s="4" t="s">
        <v>646</v>
      </c>
      <c r="D1564" s="4" t="s">
        <v>919</v>
      </c>
      <c r="E1564" s="4">
        <v>40</v>
      </c>
      <c r="F1564" s="4" t="s">
        <v>917</v>
      </c>
      <c r="G1564" s="4"/>
      <c r="H1564" s="4"/>
      <c r="I1564" s="4"/>
      <c r="J1564" s="4"/>
    </row>
    <row r="1565" spans="1:10" ht="15" customHeight="1" x14ac:dyDescent="0.2">
      <c r="A1565" s="4">
        <v>1564</v>
      </c>
      <c r="B1565" s="4">
        <v>1291</v>
      </c>
      <c r="C1565" s="4" t="s">
        <v>646</v>
      </c>
      <c r="D1565" s="4" t="s">
        <v>930</v>
      </c>
      <c r="E1565" s="4">
        <v>50</v>
      </c>
      <c r="F1565" s="4" t="s">
        <v>917</v>
      </c>
      <c r="G1565" s="4"/>
      <c r="H1565" s="4"/>
      <c r="I1565" s="4"/>
      <c r="J1565" s="4"/>
    </row>
    <row r="1566" spans="1:10" ht="15" customHeight="1" x14ac:dyDescent="0.2">
      <c r="A1566" s="4">
        <v>1565</v>
      </c>
      <c r="B1566" s="4">
        <v>1292</v>
      </c>
      <c r="C1566" s="4" t="s">
        <v>647</v>
      </c>
      <c r="D1566" s="4" t="s">
        <v>929</v>
      </c>
      <c r="E1566" s="4">
        <v>15</v>
      </c>
      <c r="F1566" s="4" t="s">
        <v>917</v>
      </c>
      <c r="G1566" s="4"/>
      <c r="H1566" s="4"/>
      <c r="I1566" s="4"/>
      <c r="J1566" s="4"/>
    </row>
    <row r="1567" spans="1:10" ht="15" customHeight="1" x14ac:dyDescent="0.2">
      <c r="A1567" s="4">
        <v>1566</v>
      </c>
      <c r="B1567" s="4">
        <v>1292</v>
      </c>
      <c r="C1567" s="4" t="s">
        <v>647</v>
      </c>
      <c r="D1567" s="4" t="s">
        <v>918</v>
      </c>
      <c r="E1567" s="4">
        <v>25</v>
      </c>
      <c r="F1567" s="4" t="s">
        <v>917</v>
      </c>
      <c r="G1567" s="4"/>
      <c r="H1567" s="4"/>
      <c r="I1567" s="4"/>
      <c r="J1567" s="4"/>
    </row>
    <row r="1568" spans="1:10" ht="15" customHeight="1" x14ac:dyDescent="0.2">
      <c r="A1568" s="4">
        <v>1567</v>
      </c>
      <c r="B1568" s="4">
        <v>1292</v>
      </c>
      <c r="C1568" s="4" t="s">
        <v>647</v>
      </c>
      <c r="D1568" s="4" t="s">
        <v>919</v>
      </c>
      <c r="E1568" s="4">
        <v>40</v>
      </c>
      <c r="F1568" s="4" t="s">
        <v>917</v>
      </c>
      <c r="G1568" s="4"/>
      <c r="H1568" s="4"/>
      <c r="I1568" s="4"/>
      <c r="J1568" s="4"/>
    </row>
    <row r="1569" spans="1:10" ht="15" customHeight="1" x14ac:dyDescent="0.2">
      <c r="A1569" s="4">
        <v>1568</v>
      </c>
      <c r="B1569" s="4">
        <v>1292</v>
      </c>
      <c r="C1569" s="4" t="s">
        <v>647</v>
      </c>
      <c r="D1569" s="4" t="s">
        <v>930</v>
      </c>
      <c r="E1569" s="4">
        <v>50</v>
      </c>
      <c r="F1569" s="4" t="s">
        <v>917</v>
      </c>
      <c r="G1569" s="4"/>
      <c r="H1569" s="4"/>
      <c r="I1569" s="4"/>
      <c r="J1569" s="4"/>
    </row>
    <row r="1570" spans="1:10" ht="15" customHeight="1" x14ac:dyDescent="0.2">
      <c r="A1570" s="4">
        <v>1569</v>
      </c>
      <c r="B1570" s="4">
        <v>1293</v>
      </c>
      <c r="C1570" s="4" t="s">
        <v>648</v>
      </c>
      <c r="D1570" s="4" t="s">
        <v>929</v>
      </c>
      <c r="E1570" s="4">
        <v>15</v>
      </c>
      <c r="F1570" s="4" t="s">
        <v>917</v>
      </c>
      <c r="G1570" s="4"/>
      <c r="H1570" s="4"/>
      <c r="I1570" s="4"/>
      <c r="J1570" s="4"/>
    </row>
    <row r="1571" spans="1:10" ht="15" customHeight="1" x14ac:dyDescent="0.2">
      <c r="A1571" s="4">
        <v>1570</v>
      </c>
      <c r="B1571" s="4">
        <v>1293</v>
      </c>
      <c r="C1571" s="4" t="s">
        <v>648</v>
      </c>
      <c r="D1571" s="4" t="s">
        <v>918</v>
      </c>
      <c r="E1571" s="4">
        <v>25</v>
      </c>
      <c r="F1571" s="4" t="s">
        <v>917</v>
      </c>
      <c r="G1571" s="4"/>
      <c r="H1571" s="4"/>
      <c r="I1571" s="4"/>
      <c r="J1571" s="4"/>
    </row>
    <row r="1572" spans="1:10" ht="15" customHeight="1" x14ac:dyDescent="0.2">
      <c r="A1572" s="4">
        <v>1571</v>
      </c>
      <c r="B1572" s="4">
        <v>1293</v>
      </c>
      <c r="C1572" s="4" t="s">
        <v>648</v>
      </c>
      <c r="D1572" s="4" t="s">
        <v>919</v>
      </c>
      <c r="E1572" s="4">
        <v>40</v>
      </c>
      <c r="F1572" s="4" t="s">
        <v>917</v>
      </c>
      <c r="G1572" s="4"/>
      <c r="H1572" s="4"/>
      <c r="I1572" s="4"/>
      <c r="J1572" s="4"/>
    </row>
    <row r="1573" spans="1:10" ht="15" customHeight="1" x14ac:dyDescent="0.2">
      <c r="A1573" s="4">
        <v>1572</v>
      </c>
      <c r="B1573" s="4">
        <v>1293</v>
      </c>
      <c r="C1573" s="4" t="s">
        <v>648</v>
      </c>
      <c r="D1573" s="4" t="s">
        <v>930</v>
      </c>
      <c r="E1573" s="4">
        <v>50</v>
      </c>
      <c r="F1573" s="4" t="s">
        <v>917</v>
      </c>
      <c r="G1573" s="4"/>
      <c r="H1573" s="4"/>
      <c r="I1573" s="4"/>
      <c r="J1573" s="4"/>
    </row>
    <row r="1574" spans="1:10" ht="15" customHeight="1" x14ac:dyDescent="0.2">
      <c r="A1574" s="4">
        <v>1573</v>
      </c>
      <c r="B1574" s="4">
        <v>1294</v>
      </c>
      <c r="C1574" s="4" t="s">
        <v>649</v>
      </c>
      <c r="D1574" s="4" t="s">
        <v>931</v>
      </c>
      <c r="E1574" s="4">
        <v>1</v>
      </c>
      <c r="F1574" s="4" t="s">
        <v>917</v>
      </c>
      <c r="G1574" s="4"/>
      <c r="H1574" s="4"/>
      <c r="I1574" s="4"/>
      <c r="J1574" s="4"/>
    </row>
    <row r="1575" spans="1:10" ht="15" customHeight="1" x14ac:dyDescent="0.2">
      <c r="A1575" s="4">
        <v>1574</v>
      </c>
      <c r="B1575" s="4">
        <v>1294</v>
      </c>
      <c r="C1575" s="4" t="s">
        <v>649</v>
      </c>
      <c r="D1575" s="4" t="s">
        <v>932</v>
      </c>
      <c r="E1575" s="4">
        <v>2</v>
      </c>
      <c r="F1575" s="4" t="s">
        <v>917</v>
      </c>
      <c r="G1575" s="4"/>
      <c r="H1575" s="4"/>
      <c r="I1575" s="4"/>
      <c r="J1575" s="4"/>
    </row>
    <row r="1576" spans="1:10" ht="27.75" customHeight="1" x14ac:dyDescent="0.2">
      <c r="A1576" s="4">
        <v>1575</v>
      </c>
      <c r="B1576" s="4">
        <v>1294</v>
      </c>
      <c r="C1576" s="4" t="s">
        <v>649</v>
      </c>
      <c r="D1576" s="4" t="s">
        <v>933</v>
      </c>
      <c r="E1576" s="4">
        <v>3</v>
      </c>
      <c r="F1576" s="4" t="s">
        <v>917</v>
      </c>
      <c r="G1576" s="4"/>
      <c r="H1576" s="4"/>
      <c r="I1576" s="4"/>
      <c r="J1576" s="4"/>
    </row>
    <row r="1577" spans="1:10" ht="15" customHeight="1" x14ac:dyDescent="0.2">
      <c r="A1577" s="4">
        <v>1576</v>
      </c>
      <c r="B1577" s="4">
        <v>1294</v>
      </c>
      <c r="C1577" s="4" t="s">
        <v>649</v>
      </c>
      <c r="D1577" s="4" t="s">
        <v>926</v>
      </c>
      <c r="E1577" s="4">
        <v>8</v>
      </c>
      <c r="F1577" s="4" t="s">
        <v>917</v>
      </c>
      <c r="G1577" s="4"/>
      <c r="H1577" s="4"/>
      <c r="I1577" s="4"/>
      <c r="J1577" s="4"/>
    </row>
    <row r="1578" spans="1:10" ht="15" customHeight="1" x14ac:dyDescent="0.2">
      <c r="A1578" s="4">
        <v>1577</v>
      </c>
      <c r="B1578" s="4">
        <v>1295</v>
      </c>
      <c r="C1578" s="4" t="s">
        <v>651</v>
      </c>
      <c r="D1578" s="4" t="s">
        <v>931</v>
      </c>
      <c r="E1578" s="4">
        <v>1</v>
      </c>
      <c r="F1578" s="4" t="s">
        <v>917</v>
      </c>
      <c r="G1578" s="4"/>
      <c r="H1578" s="4"/>
      <c r="I1578" s="4"/>
      <c r="J1578" s="4"/>
    </row>
    <row r="1579" spans="1:10" ht="15" customHeight="1" x14ac:dyDescent="0.2">
      <c r="A1579" s="4">
        <v>1578</v>
      </c>
      <c r="B1579" s="4">
        <v>1295</v>
      </c>
      <c r="C1579" s="4" t="s">
        <v>651</v>
      </c>
      <c r="D1579" s="4" t="s">
        <v>932</v>
      </c>
      <c r="E1579" s="4">
        <v>2</v>
      </c>
      <c r="F1579" s="4" t="s">
        <v>917</v>
      </c>
      <c r="G1579" s="4"/>
      <c r="H1579" s="4"/>
      <c r="I1579" s="4"/>
      <c r="J1579" s="4"/>
    </row>
    <row r="1580" spans="1:10" ht="27.75" customHeight="1" x14ac:dyDescent="0.2">
      <c r="A1580" s="4">
        <v>1579</v>
      </c>
      <c r="B1580" s="4">
        <v>1295</v>
      </c>
      <c r="C1580" s="4" t="s">
        <v>651</v>
      </c>
      <c r="D1580" s="4" t="s">
        <v>933</v>
      </c>
      <c r="E1580" s="4">
        <v>3</v>
      </c>
      <c r="F1580" s="4" t="s">
        <v>917</v>
      </c>
      <c r="G1580" s="4"/>
      <c r="H1580" s="4"/>
      <c r="I1580" s="4"/>
      <c r="J1580" s="4"/>
    </row>
    <row r="1581" spans="1:10" ht="15" customHeight="1" x14ac:dyDescent="0.2">
      <c r="A1581" s="4">
        <v>1580</v>
      </c>
      <c r="B1581" s="4">
        <v>1295</v>
      </c>
      <c r="C1581" s="4" t="s">
        <v>651</v>
      </c>
      <c r="D1581" s="4" t="s">
        <v>926</v>
      </c>
      <c r="E1581" s="4">
        <v>8</v>
      </c>
      <c r="F1581" s="4" t="s">
        <v>917</v>
      </c>
      <c r="G1581" s="4"/>
      <c r="H1581" s="4"/>
      <c r="I1581" s="4"/>
      <c r="J1581" s="4"/>
    </row>
    <row r="1582" spans="1:10" ht="15" customHeight="1" x14ac:dyDescent="0.2">
      <c r="A1582" s="4">
        <v>1581</v>
      </c>
      <c r="B1582" s="4">
        <v>1296</v>
      </c>
      <c r="C1582" s="4" t="s">
        <v>652</v>
      </c>
      <c r="D1582" s="4" t="s">
        <v>931</v>
      </c>
      <c r="E1582" s="4">
        <v>1</v>
      </c>
      <c r="F1582" s="4" t="s">
        <v>917</v>
      </c>
      <c r="G1582" s="4"/>
      <c r="H1582" s="4"/>
      <c r="I1582" s="4"/>
      <c r="J1582" s="4"/>
    </row>
    <row r="1583" spans="1:10" ht="15" customHeight="1" x14ac:dyDescent="0.2">
      <c r="A1583" s="4">
        <v>1582</v>
      </c>
      <c r="B1583" s="4">
        <v>1296</v>
      </c>
      <c r="C1583" s="4" t="s">
        <v>652</v>
      </c>
      <c r="D1583" s="4" t="s">
        <v>932</v>
      </c>
      <c r="E1583" s="4">
        <v>2</v>
      </c>
      <c r="F1583" s="4" t="s">
        <v>917</v>
      </c>
      <c r="G1583" s="4"/>
      <c r="H1583" s="4"/>
      <c r="I1583" s="4"/>
      <c r="J1583" s="4"/>
    </row>
    <row r="1584" spans="1:10" ht="27.75" customHeight="1" x14ac:dyDescent="0.2">
      <c r="A1584" s="4">
        <v>1583</v>
      </c>
      <c r="B1584" s="4">
        <v>1296</v>
      </c>
      <c r="C1584" s="4" t="s">
        <v>652</v>
      </c>
      <c r="D1584" s="4" t="s">
        <v>933</v>
      </c>
      <c r="E1584" s="4">
        <v>3</v>
      </c>
      <c r="F1584" s="4" t="s">
        <v>917</v>
      </c>
      <c r="G1584" s="4"/>
      <c r="H1584" s="4"/>
      <c r="I1584" s="4"/>
      <c r="J1584" s="4"/>
    </row>
    <row r="1585" spans="1:10" ht="15" customHeight="1" x14ac:dyDescent="0.2">
      <c r="A1585" s="4">
        <v>1584</v>
      </c>
      <c r="B1585" s="4">
        <v>1296</v>
      </c>
      <c r="C1585" s="4" t="s">
        <v>652</v>
      </c>
      <c r="D1585" s="4" t="s">
        <v>926</v>
      </c>
      <c r="E1585" s="4">
        <v>8</v>
      </c>
      <c r="F1585" s="4" t="s">
        <v>917</v>
      </c>
      <c r="G1585" s="4"/>
      <c r="H1585" s="4"/>
      <c r="I1585" s="4"/>
      <c r="J1585" s="4"/>
    </row>
    <row r="1586" spans="1:10" ht="15" customHeight="1" x14ac:dyDescent="0.2">
      <c r="A1586" s="4">
        <v>1585</v>
      </c>
      <c r="B1586" s="4">
        <v>1297</v>
      </c>
      <c r="C1586" s="4" t="s">
        <v>653</v>
      </c>
      <c r="D1586" s="4" t="s">
        <v>931</v>
      </c>
      <c r="E1586" s="4">
        <v>1</v>
      </c>
      <c r="F1586" s="4" t="s">
        <v>917</v>
      </c>
      <c r="G1586" s="4"/>
      <c r="H1586" s="4"/>
      <c r="I1586" s="4"/>
      <c r="J1586" s="4"/>
    </row>
    <row r="1587" spans="1:10" ht="15" customHeight="1" x14ac:dyDescent="0.2">
      <c r="A1587" s="4">
        <v>1586</v>
      </c>
      <c r="B1587" s="4">
        <v>1297</v>
      </c>
      <c r="C1587" s="4" t="s">
        <v>653</v>
      </c>
      <c r="D1587" s="4" t="s">
        <v>932</v>
      </c>
      <c r="E1587" s="4">
        <v>2</v>
      </c>
      <c r="F1587" s="4" t="s">
        <v>917</v>
      </c>
      <c r="G1587" s="4"/>
      <c r="H1587" s="4"/>
      <c r="I1587" s="4"/>
      <c r="J1587" s="4"/>
    </row>
    <row r="1588" spans="1:10" ht="27.75" customHeight="1" x14ac:dyDescent="0.2">
      <c r="A1588" s="4">
        <v>1587</v>
      </c>
      <c r="B1588" s="4">
        <v>1297</v>
      </c>
      <c r="C1588" s="4" t="s">
        <v>653</v>
      </c>
      <c r="D1588" s="4" t="s">
        <v>933</v>
      </c>
      <c r="E1588" s="4">
        <v>3</v>
      </c>
      <c r="F1588" s="4" t="s">
        <v>917</v>
      </c>
      <c r="G1588" s="4"/>
      <c r="H1588" s="4"/>
      <c r="I1588" s="4"/>
      <c r="J1588" s="4"/>
    </row>
    <row r="1589" spans="1:10" ht="15" customHeight="1" x14ac:dyDescent="0.2">
      <c r="A1589" s="4">
        <v>1588</v>
      </c>
      <c r="B1589" s="4">
        <v>1297</v>
      </c>
      <c r="C1589" s="4" t="s">
        <v>653</v>
      </c>
      <c r="D1589" s="4" t="s">
        <v>926</v>
      </c>
      <c r="E1589" s="4">
        <v>8</v>
      </c>
      <c r="F1589" s="4" t="s">
        <v>917</v>
      </c>
      <c r="G1589" s="4"/>
      <c r="H1589" s="4"/>
      <c r="I1589" s="4"/>
      <c r="J1589" s="4"/>
    </row>
    <row r="1590" spans="1:10" ht="15" customHeight="1" x14ac:dyDescent="0.2">
      <c r="A1590" s="4">
        <v>1589</v>
      </c>
      <c r="B1590" s="4">
        <v>1298</v>
      </c>
      <c r="C1590" s="4" t="s">
        <v>654</v>
      </c>
      <c r="D1590" s="4" t="s">
        <v>931</v>
      </c>
      <c r="E1590" s="4">
        <v>1</v>
      </c>
      <c r="F1590" s="4" t="s">
        <v>917</v>
      </c>
      <c r="G1590" s="4"/>
      <c r="H1590" s="4"/>
      <c r="I1590" s="4"/>
      <c r="J1590" s="4"/>
    </row>
    <row r="1591" spans="1:10" ht="15" customHeight="1" x14ac:dyDescent="0.2">
      <c r="A1591" s="4">
        <v>1590</v>
      </c>
      <c r="B1591" s="4">
        <v>1298</v>
      </c>
      <c r="C1591" s="4" t="s">
        <v>654</v>
      </c>
      <c r="D1591" s="4" t="s">
        <v>932</v>
      </c>
      <c r="E1591" s="4">
        <v>2</v>
      </c>
      <c r="F1591" s="4" t="s">
        <v>917</v>
      </c>
      <c r="G1591" s="4"/>
      <c r="H1591" s="4"/>
      <c r="I1591" s="4"/>
      <c r="J1591" s="4"/>
    </row>
    <row r="1592" spans="1:10" ht="27.75" customHeight="1" x14ac:dyDescent="0.2">
      <c r="A1592" s="4">
        <v>1591</v>
      </c>
      <c r="B1592" s="4">
        <v>1298</v>
      </c>
      <c r="C1592" s="4" t="s">
        <v>654</v>
      </c>
      <c r="D1592" s="4" t="s">
        <v>933</v>
      </c>
      <c r="E1592" s="4">
        <v>3</v>
      </c>
      <c r="F1592" s="4" t="s">
        <v>917</v>
      </c>
      <c r="G1592" s="4"/>
      <c r="H1592" s="4"/>
      <c r="I1592" s="4"/>
      <c r="J1592" s="4"/>
    </row>
    <row r="1593" spans="1:10" ht="15" customHeight="1" x14ac:dyDescent="0.2">
      <c r="A1593" s="4">
        <v>1592</v>
      </c>
      <c r="B1593" s="4">
        <v>1298</v>
      </c>
      <c r="C1593" s="4" t="s">
        <v>654</v>
      </c>
      <c r="D1593" s="4" t="s">
        <v>926</v>
      </c>
      <c r="E1593" s="4">
        <v>8</v>
      </c>
      <c r="F1593" s="4" t="s">
        <v>917</v>
      </c>
      <c r="G1593" s="4"/>
      <c r="H1593" s="4"/>
      <c r="I1593" s="4"/>
      <c r="J1593" s="4"/>
    </row>
    <row r="1594" spans="1:10" ht="15" customHeight="1" x14ac:dyDescent="0.2">
      <c r="A1594" s="4">
        <v>1593</v>
      </c>
      <c r="B1594" s="4">
        <v>1299</v>
      </c>
      <c r="C1594" s="4" t="s">
        <v>655</v>
      </c>
      <c r="D1594" s="4" t="s">
        <v>931</v>
      </c>
      <c r="E1594" s="4">
        <v>1</v>
      </c>
      <c r="F1594" s="4" t="s">
        <v>917</v>
      </c>
      <c r="G1594" s="4"/>
      <c r="H1594" s="4"/>
      <c r="I1594" s="4"/>
      <c r="J1594" s="4"/>
    </row>
    <row r="1595" spans="1:10" ht="15" customHeight="1" x14ac:dyDescent="0.2">
      <c r="A1595" s="4">
        <v>1594</v>
      </c>
      <c r="B1595" s="4">
        <v>1299</v>
      </c>
      <c r="C1595" s="4" t="s">
        <v>655</v>
      </c>
      <c r="D1595" s="4" t="s">
        <v>932</v>
      </c>
      <c r="E1595" s="4">
        <v>2</v>
      </c>
      <c r="F1595" s="4" t="s">
        <v>917</v>
      </c>
      <c r="G1595" s="4"/>
      <c r="H1595" s="4"/>
      <c r="I1595" s="4"/>
      <c r="J1595" s="4"/>
    </row>
    <row r="1596" spans="1:10" ht="27.75" customHeight="1" x14ac:dyDescent="0.2">
      <c r="A1596" s="4">
        <v>1595</v>
      </c>
      <c r="B1596" s="4">
        <v>1299</v>
      </c>
      <c r="C1596" s="4" t="s">
        <v>655</v>
      </c>
      <c r="D1596" s="4" t="s">
        <v>933</v>
      </c>
      <c r="E1596" s="4">
        <v>3</v>
      </c>
      <c r="F1596" s="4" t="s">
        <v>917</v>
      </c>
      <c r="G1596" s="4"/>
      <c r="H1596" s="4"/>
      <c r="I1596" s="4"/>
      <c r="J1596" s="4"/>
    </row>
    <row r="1597" spans="1:10" ht="15" customHeight="1" x14ac:dyDescent="0.2">
      <c r="A1597" s="4">
        <v>1596</v>
      </c>
      <c r="B1597" s="4">
        <v>1299</v>
      </c>
      <c r="C1597" s="4" t="s">
        <v>655</v>
      </c>
      <c r="D1597" s="4" t="s">
        <v>926</v>
      </c>
      <c r="E1597" s="4">
        <v>8</v>
      </c>
      <c r="F1597" s="4" t="s">
        <v>917</v>
      </c>
      <c r="G1597" s="4"/>
      <c r="H1597" s="4"/>
      <c r="I1597" s="4"/>
      <c r="J1597" s="4"/>
    </row>
    <row r="1598" spans="1:10" ht="15" customHeight="1" x14ac:dyDescent="0.2">
      <c r="A1598" s="4">
        <v>1597</v>
      </c>
      <c r="B1598" s="4">
        <v>1300</v>
      </c>
      <c r="C1598" s="4" t="s">
        <v>656</v>
      </c>
      <c r="D1598" s="4" t="s">
        <v>931</v>
      </c>
      <c r="E1598" s="4">
        <v>1</v>
      </c>
      <c r="F1598" s="4" t="s">
        <v>917</v>
      </c>
      <c r="G1598" s="4"/>
      <c r="H1598" s="4"/>
      <c r="I1598" s="4"/>
      <c r="J1598" s="4"/>
    </row>
    <row r="1599" spans="1:10" ht="15" customHeight="1" x14ac:dyDescent="0.2">
      <c r="A1599" s="4">
        <v>1598</v>
      </c>
      <c r="B1599" s="4">
        <v>1300</v>
      </c>
      <c r="C1599" s="4" t="s">
        <v>656</v>
      </c>
      <c r="D1599" s="4" t="s">
        <v>932</v>
      </c>
      <c r="E1599" s="4">
        <v>2</v>
      </c>
      <c r="F1599" s="4" t="s">
        <v>917</v>
      </c>
      <c r="G1599" s="4"/>
      <c r="H1599" s="4"/>
      <c r="I1599" s="4"/>
      <c r="J1599" s="4"/>
    </row>
    <row r="1600" spans="1:10" ht="27.75" customHeight="1" x14ac:dyDescent="0.2">
      <c r="A1600" s="4">
        <v>1599</v>
      </c>
      <c r="B1600" s="4">
        <v>1300</v>
      </c>
      <c r="C1600" s="4" t="s">
        <v>656</v>
      </c>
      <c r="D1600" s="4" t="s">
        <v>933</v>
      </c>
      <c r="E1600" s="4">
        <v>3</v>
      </c>
      <c r="F1600" s="4" t="s">
        <v>917</v>
      </c>
      <c r="G1600" s="4"/>
      <c r="H1600" s="4"/>
      <c r="I1600" s="4"/>
      <c r="J1600" s="4"/>
    </row>
    <row r="1601" spans="1:10" ht="15" customHeight="1" x14ac:dyDescent="0.2">
      <c r="A1601" s="4">
        <v>1600</v>
      </c>
      <c r="B1601" s="4">
        <v>1300</v>
      </c>
      <c r="C1601" s="4" t="s">
        <v>656</v>
      </c>
      <c r="D1601" s="4" t="s">
        <v>926</v>
      </c>
      <c r="E1601" s="4">
        <v>8</v>
      </c>
      <c r="F1601" s="4" t="s">
        <v>917</v>
      </c>
      <c r="G1601" s="4"/>
      <c r="H1601" s="4"/>
      <c r="I1601" s="4"/>
      <c r="J1601" s="4"/>
    </row>
    <row r="1602" spans="1:10" ht="15" customHeight="1" x14ac:dyDescent="0.2">
      <c r="A1602" s="4">
        <v>1601</v>
      </c>
      <c r="B1602" s="4">
        <v>1301</v>
      </c>
      <c r="C1602" s="4" t="s">
        <v>657</v>
      </c>
      <c r="D1602" s="4" t="s">
        <v>931</v>
      </c>
      <c r="E1602" s="4">
        <v>1</v>
      </c>
      <c r="F1602" s="4" t="s">
        <v>917</v>
      </c>
      <c r="G1602" s="4"/>
      <c r="H1602" s="4"/>
      <c r="I1602" s="4"/>
      <c r="J1602" s="4"/>
    </row>
    <row r="1603" spans="1:10" ht="15" customHeight="1" x14ac:dyDescent="0.2">
      <c r="A1603" s="4">
        <v>1602</v>
      </c>
      <c r="B1603" s="4">
        <v>1301</v>
      </c>
      <c r="C1603" s="4" t="s">
        <v>657</v>
      </c>
      <c r="D1603" s="4" t="s">
        <v>932</v>
      </c>
      <c r="E1603" s="4">
        <v>2</v>
      </c>
      <c r="F1603" s="4" t="s">
        <v>917</v>
      </c>
      <c r="G1603" s="4"/>
      <c r="H1603" s="4"/>
      <c r="I1603" s="4"/>
      <c r="J1603" s="4"/>
    </row>
    <row r="1604" spans="1:10" ht="27.75" customHeight="1" x14ac:dyDescent="0.2">
      <c r="A1604" s="4">
        <v>1603</v>
      </c>
      <c r="B1604" s="4">
        <v>1301</v>
      </c>
      <c r="C1604" s="4" t="s">
        <v>657</v>
      </c>
      <c r="D1604" s="4" t="s">
        <v>933</v>
      </c>
      <c r="E1604" s="4">
        <v>3</v>
      </c>
      <c r="F1604" s="4" t="s">
        <v>917</v>
      </c>
      <c r="G1604" s="4"/>
      <c r="H1604" s="4"/>
      <c r="I1604" s="4"/>
      <c r="J1604" s="4"/>
    </row>
    <row r="1605" spans="1:10" ht="15" customHeight="1" x14ac:dyDescent="0.2">
      <c r="A1605" s="4">
        <v>1604</v>
      </c>
      <c r="B1605" s="4">
        <v>1301</v>
      </c>
      <c r="C1605" s="4" t="s">
        <v>657</v>
      </c>
      <c r="D1605" s="4" t="s">
        <v>926</v>
      </c>
      <c r="E1605" s="4">
        <v>8</v>
      </c>
      <c r="F1605" s="4" t="s">
        <v>917</v>
      </c>
      <c r="G1605" s="4"/>
      <c r="H1605" s="4"/>
      <c r="I1605" s="4"/>
      <c r="J1605" s="4"/>
    </row>
    <row r="1606" spans="1:10" ht="15" customHeight="1" x14ac:dyDescent="0.2">
      <c r="A1606" s="4">
        <v>1605</v>
      </c>
      <c r="B1606" s="4">
        <v>1302</v>
      </c>
      <c r="C1606" s="4" t="s">
        <v>658</v>
      </c>
      <c r="D1606" s="4" t="s">
        <v>931</v>
      </c>
      <c r="E1606" s="4">
        <v>1</v>
      </c>
      <c r="F1606" s="4" t="s">
        <v>917</v>
      </c>
      <c r="G1606" s="4"/>
      <c r="H1606" s="4"/>
      <c r="I1606" s="4"/>
      <c r="J1606" s="4"/>
    </row>
    <row r="1607" spans="1:10" ht="15" customHeight="1" x14ac:dyDescent="0.2">
      <c r="A1607" s="4">
        <v>1606</v>
      </c>
      <c r="B1607" s="4">
        <v>1302</v>
      </c>
      <c r="C1607" s="4" t="s">
        <v>658</v>
      </c>
      <c r="D1607" s="4" t="s">
        <v>932</v>
      </c>
      <c r="E1607" s="4">
        <v>2</v>
      </c>
      <c r="F1607" s="4" t="s">
        <v>917</v>
      </c>
      <c r="G1607" s="4"/>
      <c r="H1607" s="4"/>
      <c r="I1607" s="4"/>
      <c r="J1607" s="4"/>
    </row>
    <row r="1608" spans="1:10" ht="27.75" customHeight="1" x14ac:dyDescent="0.2">
      <c r="A1608" s="4">
        <v>1607</v>
      </c>
      <c r="B1608" s="4">
        <v>1302</v>
      </c>
      <c r="C1608" s="4" t="s">
        <v>658</v>
      </c>
      <c r="D1608" s="4" t="s">
        <v>933</v>
      </c>
      <c r="E1608" s="4">
        <v>3</v>
      </c>
      <c r="F1608" s="4" t="s">
        <v>917</v>
      </c>
      <c r="G1608" s="4"/>
      <c r="H1608" s="4"/>
      <c r="I1608" s="4"/>
      <c r="J1608" s="4"/>
    </row>
    <row r="1609" spans="1:10" ht="15" customHeight="1" x14ac:dyDescent="0.2">
      <c r="A1609" s="4">
        <v>1608</v>
      </c>
      <c r="B1609" s="4">
        <v>1302</v>
      </c>
      <c r="C1609" s="4" t="s">
        <v>658</v>
      </c>
      <c r="D1609" s="4" t="s">
        <v>926</v>
      </c>
      <c r="E1609" s="4">
        <v>8</v>
      </c>
      <c r="F1609" s="4" t="s">
        <v>917</v>
      </c>
      <c r="G1609" s="4"/>
      <c r="H1609" s="4"/>
      <c r="I1609" s="4"/>
      <c r="J1609" s="4"/>
    </row>
    <row r="1610" spans="1:10" ht="15" customHeight="1" x14ac:dyDescent="0.2">
      <c r="A1610" s="4">
        <v>1609</v>
      </c>
      <c r="B1610" s="4">
        <v>1303</v>
      </c>
      <c r="C1610" s="4" t="s">
        <v>659</v>
      </c>
      <c r="D1610" s="4" t="s">
        <v>931</v>
      </c>
      <c r="E1610" s="4">
        <v>1</v>
      </c>
      <c r="F1610" s="4" t="s">
        <v>917</v>
      </c>
      <c r="G1610" s="4"/>
      <c r="H1610" s="4"/>
      <c r="I1610" s="4"/>
      <c r="J1610" s="4"/>
    </row>
    <row r="1611" spans="1:10" ht="15" customHeight="1" x14ac:dyDescent="0.2">
      <c r="A1611" s="4">
        <v>1610</v>
      </c>
      <c r="B1611" s="4">
        <v>1303</v>
      </c>
      <c r="C1611" s="4" t="s">
        <v>659</v>
      </c>
      <c r="D1611" s="4" t="s">
        <v>932</v>
      </c>
      <c r="E1611" s="4">
        <v>2</v>
      </c>
      <c r="F1611" s="4" t="s">
        <v>917</v>
      </c>
      <c r="G1611" s="4"/>
      <c r="H1611" s="4"/>
      <c r="I1611" s="4"/>
      <c r="J1611" s="4"/>
    </row>
    <row r="1612" spans="1:10" ht="27.75" customHeight="1" x14ac:dyDescent="0.2">
      <c r="A1612" s="4">
        <v>1611</v>
      </c>
      <c r="B1612" s="4">
        <v>1303</v>
      </c>
      <c r="C1612" s="4" t="s">
        <v>659</v>
      </c>
      <c r="D1612" s="4" t="s">
        <v>933</v>
      </c>
      <c r="E1612" s="4">
        <v>3</v>
      </c>
      <c r="F1612" s="4" t="s">
        <v>917</v>
      </c>
      <c r="G1612" s="4"/>
      <c r="H1612" s="4"/>
      <c r="I1612" s="4"/>
      <c r="J1612" s="4"/>
    </row>
    <row r="1613" spans="1:10" ht="15" customHeight="1" x14ac:dyDescent="0.2">
      <c r="A1613" s="4">
        <v>1612</v>
      </c>
      <c r="B1613" s="4">
        <v>1303</v>
      </c>
      <c r="C1613" s="4" t="s">
        <v>659</v>
      </c>
      <c r="D1613" s="4" t="s">
        <v>926</v>
      </c>
      <c r="E1613" s="4">
        <v>8</v>
      </c>
      <c r="F1613" s="4" t="s">
        <v>917</v>
      </c>
      <c r="G1613" s="4"/>
      <c r="H1613" s="4"/>
      <c r="I1613" s="4"/>
      <c r="J1613" s="4"/>
    </row>
    <row r="1614" spans="1:10" ht="15" customHeight="1" x14ac:dyDescent="0.2">
      <c r="A1614" s="4">
        <v>1613</v>
      </c>
      <c r="B1614" s="4">
        <v>1304</v>
      </c>
      <c r="C1614" s="4" t="s">
        <v>660</v>
      </c>
      <c r="D1614" s="4" t="s">
        <v>931</v>
      </c>
      <c r="E1614" s="4">
        <v>1</v>
      </c>
      <c r="F1614" s="4" t="s">
        <v>917</v>
      </c>
      <c r="G1614" s="4"/>
      <c r="H1614" s="4"/>
      <c r="I1614" s="4"/>
      <c r="J1614" s="4"/>
    </row>
    <row r="1615" spans="1:10" ht="15" customHeight="1" x14ac:dyDescent="0.2">
      <c r="A1615" s="4">
        <v>1614</v>
      </c>
      <c r="B1615" s="4">
        <v>1304</v>
      </c>
      <c r="C1615" s="4" t="s">
        <v>660</v>
      </c>
      <c r="D1615" s="4" t="s">
        <v>932</v>
      </c>
      <c r="E1615" s="4">
        <v>2</v>
      </c>
      <c r="F1615" s="4" t="s">
        <v>917</v>
      </c>
      <c r="G1615" s="4"/>
      <c r="H1615" s="4"/>
      <c r="I1615" s="4"/>
      <c r="J1615" s="4"/>
    </row>
    <row r="1616" spans="1:10" ht="27.75" customHeight="1" x14ac:dyDescent="0.2">
      <c r="A1616" s="4">
        <v>1615</v>
      </c>
      <c r="B1616" s="4">
        <v>1304</v>
      </c>
      <c r="C1616" s="4" t="s">
        <v>660</v>
      </c>
      <c r="D1616" s="4" t="s">
        <v>933</v>
      </c>
      <c r="E1616" s="4">
        <v>3</v>
      </c>
      <c r="F1616" s="4" t="s">
        <v>917</v>
      </c>
      <c r="G1616" s="4"/>
      <c r="H1616" s="4"/>
      <c r="I1616" s="4"/>
      <c r="J1616" s="4"/>
    </row>
    <row r="1617" spans="1:10" ht="15" customHeight="1" x14ac:dyDescent="0.2">
      <c r="A1617" s="4">
        <v>1616</v>
      </c>
      <c r="B1617" s="4">
        <v>1304</v>
      </c>
      <c r="C1617" s="4" t="s">
        <v>660</v>
      </c>
      <c r="D1617" s="4" t="s">
        <v>926</v>
      </c>
      <c r="E1617" s="4">
        <v>8</v>
      </c>
      <c r="F1617" s="4" t="s">
        <v>917</v>
      </c>
      <c r="G1617" s="4"/>
      <c r="H1617" s="4"/>
      <c r="I1617" s="4"/>
      <c r="J1617" s="4"/>
    </row>
    <row r="1618" spans="1:10" ht="15" customHeight="1" x14ac:dyDescent="0.2">
      <c r="A1618" s="4">
        <v>1617</v>
      </c>
      <c r="B1618" s="4">
        <v>1305</v>
      </c>
      <c r="C1618" s="4" t="s">
        <v>661</v>
      </c>
      <c r="D1618" s="4" t="s">
        <v>931</v>
      </c>
      <c r="E1618" s="4">
        <v>1</v>
      </c>
      <c r="F1618" s="4" t="s">
        <v>917</v>
      </c>
      <c r="G1618" s="4"/>
      <c r="H1618" s="4"/>
      <c r="I1618" s="4"/>
      <c r="J1618" s="4"/>
    </row>
    <row r="1619" spans="1:10" ht="15" customHeight="1" x14ac:dyDescent="0.2">
      <c r="A1619" s="4">
        <v>1618</v>
      </c>
      <c r="B1619" s="4">
        <v>1305</v>
      </c>
      <c r="C1619" s="4" t="s">
        <v>661</v>
      </c>
      <c r="D1619" s="4" t="s">
        <v>932</v>
      </c>
      <c r="E1619" s="4">
        <v>2</v>
      </c>
      <c r="F1619" s="4" t="s">
        <v>917</v>
      </c>
      <c r="G1619" s="4"/>
      <c r="H1619" s="4"/>
      <c r="I1619" s="4"/>
      <c r="J1619" s="4"/>
    </row>
    <row r="1620" spans="1:10" ht="27.75" customHeight="1" x14ac:dyDescent="0.2">
      <c r="A1620" s="4">
        <v>1619</v>
      </c>
      <c r="B1620" s="4">
        <v>1305</v>
      </c>
      <c r="C1620" s="4" t="s">
        <v>661</v>
      </c>
      <c r="D1620" s="4" t="s">
        <v>933</v>
      </c>
      <c r="E1620" s="4">
        <v>3</v>
      </c>
      <c r="F1620" s="4" t="s">
        <v>917</v>
      </c>
      <c r="G1620" s="4"/>
      <c r="H1620" s="4"/>
      <c r="I1620" s="4"/>
      <c r="J1620" s="4"/>
    </row>
    <row r="1621" spans="1:10" ht="15" customHeight="1" x14ac:dyDescent="0.2">
      <c r="A1621" s="4">
        <v>1620</v>
      </c>
      <c r="B1621" s="4">
        <v>1305</v>
      </c>
      <c r="C1621" s="4" t="s">
        <v>661</v>
      </c>
      <c r="D1621" s="4" t="s">
        <v>926</v>
      </c>
      <c r="E1621" s="4">
        <v>8</v>
      </c>
      <c r="F1621" s="4" t="s">
        <v>917</v>
      </c>
      <c r="G1621" s="4"/>
      <c r="H1621" s="4"/>
      <c r="I1621" s="4"/>
      <c r="J1621" s="4"/>
    </row>
    <row r="1622" spans="1:10" ht="15" customHeight="1" x14ac:dyDescent="0.2">
      <c r="A1622" s="4">
        <v>1621</v>
      </c>
      <c r="B1622" s="4">
        <v>1306</v>
      </c>
      <c r="C1622" s="4" t="s">
        <v>662</v>
      </c>
      <c r="D1622" s="4" t="s">
        <v>931</v>
      </c>
      <c r="E1622" s="4">
        <v>1</v>
      </c>
      <c r="F1622" s="4" t="s">
        <v>917</v>
      </c>
      <c r="G1622" s="4"/>
      <c r="H1622" s="4"/>
      <c r="I1622" s="4"/>
      <c r="J1622" s="4"/>
    </row>
    <row r="1623" spans="1:10" ht="15" customHeight="1" x14ac:dyDescent="0.2">
      <c r="A1623" s="4">
        <v>1622</v>
      </c>
      <c r="B1623" s="4">
        <v>1306</v>
      </c>
      <c r="C1623" s="4" t="s">
        <v>662</v>
      </c>
      <c r="D1623" s="4" t="s">
        <v>932</v>
      </c>
      <c r="E1623" s="4">
        <v>2</v>
      </c>
      <c r="F1623" s="4" t="s">
        <v>917</v>
      </c>
      <c r="G1623" s="4"/>
      <c r="H1623" s="4"/>
      <c r="I1623" s="4"/>
      <c r="J1623" s="4"/>
    </row>
    <row r="1624" spans="1:10" ht="27.75" customHeight="1" x14ac:dyDescent="0.2">
      <c r="A1624" s="4">
        <v>1623</v>
      </c>
      <c r="B1624" s="4">
        <v>1306</v>
      </c>
      <c r="C1624" s="4" t="s">
        <v>662</v>
      </c>
      <c r="D1624" s="4" t="s">
        <v>933</v>
      </c>
      <c r="E1624" s="4">
        <v>3</v>
      </c>
      <c r="F1624" s="4" t="s">
        <v>917</v>
      </c>
      <c r="G1624" s="4"/>
      <c r="H1624" s="4"/>
      <c r="I1624" s="4"/>
      <c r="J1624" s="4"/>
    </row>
    <row r="1625" spans="1:10" ht="15" customHeight="1" x14ac:dyDescent="0.2">
      <c r="A1625" s="4">
        <v>1624</v>
      </c>
      <c r="B1625" s="4">
        <v>1306</v>
      </c>
      <c r="C1625" s="4" t="s">
        <v>662</v>
      </c>
      <c r="D1625" s="4" t="s">
        <v>926</v>
      </c>
      <c r="E1625" s="4">
        <v>8</v>
      </c>
      <c r="F1625" s="4" t="s">
        <v>917</v>
      </c>
      <c r="G1625" s="4"/>
      <c r="H1625" s="4"/>
      <c r="I1625" s="4"/>
      <c r="J1625" s="4"/>
    </row>
    <row r="1626" spans="1:10" ht="15" customHeight="1" x14ac:dyDescent="0.2">
      <c r="A1626" s="4">
        <v>1625</v>
      </c>
      <c r="B1626" s="4">
        <v>1307</v>
      </c>
      <c r="C1626" s="4" t="s">
        <v>663</v>
      </c>
      <c r="D1626" s="4" t="s">
        <v>931</v>
      </c>
      <c r="E1626" s="4">
        <v>1</v>
      </c>
      <c r="F1626" s="4" t="s">
        <v>917</v>
      </c>
      <c r="G1626" s="4"/>
      <c r="H1626" s="4"/>
      <c r="I1626" s="4"/>
      <c r="J1626" s="4"/>
    </row>
    <row r="1627" spans="1:10" ht="15" customHeight="1" x14ac:dyDescent="0.2">
      <c r="A1627" s="4">
        <v>1626</v>
      </c>
      <c r="B1627" s="4">
        <v>1307</v>
      </c>
      <c r="C1627" s="4" t="s">
        <v>663</v>
      </c>
      <c r="D1627" s="4" t="s">
        <v>932</v>
      </c>
      <c r="E1627" s="4">
        <v>2</v>
      </c>
      <c r="F1627" s="4" t="s">
        <v>917</v>
      </c>
      <c r="G1627" s="4"/>
      <c r="H1627" s="4"/>
      <c r="I1627" s="4"/>
      <c r="J1627" s="4"/>
    </row>
    <row r="1628" spans="1:10" ht="27.75" customHeight="1" x14ac:dyDescent="0.2">
      <c r="A1628" s="4">
        <v>1627</v>
      </c>
      <c r="B1628" s="4">
        <v>1307</v>
      </c>
      <c r="C1628" s="4" t="s">
        <v>663</v>
      </c>
      <c r="D1628" s="4" t="s">
        <v>933</v>
      </c>
      <c r="E1628" s="4">
        <v>3</v>
      </c>
      <c r="F1628" s="4" t="s">
        <v>917</v>
      </c>
      <c r="G1628" s="4"/>
      <c r="H1628" s="4"/>
      <c r="I1628" s="4"/>
      <c r="J1628" s="4"/>
    </row>
    <row r="1629" spans="1:10" ht="15" customHeight="1" x14ac:dyDescent="0.2">
      <c r="A1629" s="4">
        <v>1628</v>
      </c>
      <c r="B1629" s="4">
        <v>1307</v>
      </c>
      <c r="C1629" s="4" t="s">
        <v>663</v>
      </c>
      <c r="D1629" s="4" t="s">
        <v>926</v>
      </c>
      <c r="E1629" s="4">
        <v>8</v>
      </c>
      <c r="F1629" s="4" t="s">
        <v>917</v>
      </c>
      <c r="G1629" s="4"/>
      <c r="H1629" s="4"/>
      <c r="I1629" s="4"/>
      <c r="J1629" s="4"/>
    </row>
    <row r="1630" spans="1:10" ht="15" customHeight="1" x14ac:dyDescent="0.2">
      <c r="A1630" s="4">
        <v>1629</v>
      </c>
      <c r="B1630" s="4">
        <v>1308</v>
      </c>
      <c r="C1630" s="4" t="s">
        <v>664</v>
      </c>
      <c r="D1630" s="4" t="s">
        <v>931</v>
      </c>
      <c r="E1630" s="4">
        <v>1</v>
      </c>
      <c r="F1630" s="4" t="s">
        <v>917</v>
      </c>
      <c r="G1630" s="4"/>
      <c r="H1630" s="4"/>
      <c r="I1630" s="4"/>
      <c r="J1630" s="4"/>
    </row>
    <row r="1631" spans="1:10" ht="15" customHeight="1" x14ac:dyDescent="0.2">
      <c r="A1631" s="4">
        <v>1630</v>
      </c>
      <c r="B1631" s="4">
        <v>1308</v>
      </c>
      <c r="C1631" s="4" t="s">
        <v>664</v>
      </c>
      <c r="D1631" s="4" t="s">
        <v>932</v>
      </c>
      <c r="E1631" s="4">
        <v>2</v>
      </c>
      <c r="F1631" s="4" t="s">
        <v>917</v>
      </c>
      <c r="G1631" s="4"/>
      <c r="H1631" s="4"/>
      <c r="I1631" s="4"/>
      <c r="J1631" s="4"/>
    </row>
    <row r="1632" spans="1:10" ht="27.75" customHeight="1" x14ac:dyDescent="0.2">
      <c r="A1632" s="4">
        <v>1631</v>
      </c>
      <c r="B1632" s="4">
        <v>1308</v>
      </c>
      <c r="C1632" s="4" t="s">
        <v>664</v>
      </c>
      <c r="D1632" s="4" t="s">
        <v>933</v>
      </c>
      <c r="E1632" s="4">
        <v>3</v>
      </c>
      <c r="F1632" s="4" t="s">
        <v>917</v>
      </c>
      <c r="G1632" s="4"/>
      <c r="H1632" s="4"/>
      <c r="I1632" s="4"/>
      <c r="J1632" s="4"/>
    </row>
    <row r="1633" spans="1:10" ht="15" customHeight="1" x14ac:dyDescent="0.2">
      <c r="A1633" s="4">
        <v>1632</v>
      </c>
      <c r="B1633" s="4">
        <v>1308</v>
      </c>
      <c r="C1633" s="4" t="s">
        <v>664</v>
      </c>
      <c r="D1633" s="4" t="s">
        <v>926</v>
      </c>
      <c r="E1633" s="4">
        <v>8</v>
      </c>
      <c r="F1633" s="4" t="s">
        <v>917</v>
      </c>
      <c r="G1633" s="4"/>
      <c r="H1633" s="4"/>
      <c r="I1633" s="4"/>
      <c r="J1633" s="4"/>
    </row>
    <row r="1634" spans="1:10" ht="15" customHeight="1" x14ac:dyDescent="0.2">
      <c r="A1634" s="4">
        <v>1633</v>
      </c>
      <c r="B1634" s="4">
        <v>1309</v>
      </c>
      <c r="C1634" s="4" t="s">
        <v>665</v>
      </c>
      <c r="D1634" s="4" t="s">
        <v>931</v>
      </c>
      <c r="E1634" s="4">
        <v>1</v>
      </c>
      <c r="F1634" s="4" t="s">
        <v>917</v>
      </c>
      <c r="G1634" s="4"/>
      <c r="H1634" s="4"/>
      <c r="I1634" s="4"/>
      <c r="J1634" s="4"/>
    </row>
    <row r="1635" spans="1:10" ht="15" customHeight="1" x14ac:dyDescent="0.2">
      <c r="A1635" s="4">
        <v>1634</v>
      </c>
      <c r="B1635" s="4">
        <v>1309</v>
      </c>
      <c r="C1635" s="4" t="s">
        <v>665</v>
      </c>
      <c r="D1635" s="4" t="s">
        <v>932</v>
      </c>
      <c r="E1635" s="4">
        <v>2</v>
      </c>
      <c r="F1635" s="4" t="s">
        <v>917</v>
      </c>
      <c r="G1635" s="4"/>
      <c r="H1635" s="4"/>
      <c r="I1635" s="4"/>
      <c r="J1635" s="4"/>
    </row>
    <row r="1636" spans="1:10" ht="27.75" customHeight="1" x14ac:dyDescent="0.2">
      <c r="A1636" s="4">
        <v>1635</v>
      </c>
      <c r="B1636" s="4">
        <v>1309</v>
      </c>
      <c r="C1636" s="4" t="s">
        <v>665</v>
      </c>
      <c r="D1636" s="4" t="s">
        <v>933</v>
      </c>
      <c r="E1636" s="4">
        <v>3</v>
      </c>
      <c r="F1636" s="4" t="s">
        <v>917</v>
      </c>
      <c r="G1636" s="4"/>
      <c r="H1636" s="4"/>
      <c r="I1636" s="4"/>
      <c r="J1636" s="4"/>
    </row>
    <row r="1637" spans="1:10" ht="15" customHeight="1" x14ac:dyDescent="0.2">
      <c r="A1637" s="4">
        <v>1636</v>
      </c>
      <c r="B1637" s="4">
        <v>1309</v>
      </c>
      <c r="C1637" s="4" t="s">
        <v>665</v>
      </c>
      <c r="D1637" s="4" t="s">
        <v>926</v>
      </c>
      <c r="E1637" s="4">
        <v>8</v>
      </c>
      <c r="F1637" s="4" t="s">
        <v>917</v>
      </c>
      <c r="G1637" s="4"/>
      <c r="H1637" s="4"/>
      <c r="I1637" s="4"/>
      <c r="J1637" s="4"/>
    </row>
    <row r="1638" spans="1:10" ht="15" customHeight="1" x14ac:dyDescent="0.2">
      <c r="A1638" s="4">
        <v>1637</v>
      </c>
      <c r="B1638" s="4">
        <v>1310</v>
      </c>
      <c r="C1638" s="4" t="s">
        <v>666</v>
      </c>
      <c r="D1638" s="4" t="s">
        <v>931</v>
      </c>
      <c r="E1638" s="4">
        <v>1</v>
      </c>
      <c r="F1638" s="4" t="s">
        <v>917</v>
      </c>
      <c r="G1638" s="4"/>
      <c r="H1638" s="4"/>
      <c r="I1638" s="4"/>
      <c r="J1638" s="4"/>
    </row>
    <row r="1639" spans="1:10" ht="15" customHeight="1" x14ac:dyDescent="0.2">
      <c r="A1639" s="4">
        <v>1638</v>
      </c>
      <c r="B1639" s="4">
        <v>1310</v>
      </c>
      <c r="C1639" s="4" t="s">
        <v>666</v>
      </c>
      <c r="D1639" s="4" t="s">
        <v>932</v>
      </c>
      <c r="E1639" s="4">
        <v>2</v>
      </c>
      <c r="F1639" s="4" t="s">
        <v>917</v>
      </c>
      <c r="G1639" s="4"/>
      <c r="H1639" s="4"/>
      <c r="I1639" s="4"/>
      <c r="J1639" s="4"/>
    </row>
    <row r="1640" spans="1:10" ht="27.75" customHeight="1" x14ac:dyDescent="0.2">
      <c r="A1640" s="4">
        <v>1639</v>
      </c>
      <c r="B1640" s="4">
        <v>1310</v>
      </c>
      <c r="C1640" s="4" t="s">
        <v>666</v>
      </c>
      <c r="D1640" s="4" t="s">
        <v>933</v>
      </c>
      <c r="E1640" s="4">
        <v>3</v>
      </c>
      <c r="F1640" s="4" t="s">
        <v>917</v>
      </c>
      <c r="G1640" s="4"/>
      <c r="H1640" s="4"/>
      <c r="I1640" s="4"/>
      <c r="J1640" s="4"/>
    </row>
    <row r="1641" spans="1:10" ht="15" customHeight="1" x14ac:dyDescent="0.2">
      <c r="A1641" s="4">
        <v>1640</v>
      </c>
      <c r="B1641" s="4">
        <v>1310</v>
      </c>
      <c r="C1641" s="4" t="s">
        <v>666</v>
      </c>
      <c r="D1641" s="4" t="s">
        <v>926</v>
      </c>
      <c r="E1641" s="4">
        <v>8</v>
      </c>
      <c r="F1641" s="4" t="s">
        <v>917</v>
      </c>
      <c r="G1641" s="4"/>
      <c r="H1641" s="4"/>
      <c r="I1641" s="4"/>
      <c r="J1641" s="4"/>
    </row>
    <row r="1642" spans="1:10" ht="15" customHeight="1" x14ac:dyDescent="0.2">
      <c r="A1642" s="4">
        <v>1641</v>
      </c>
      <c r="B1642" s="4">
        <v>1311</v>
      </c>
      <c r="C1642" s="4" t="s">
        <v>667</v>
      </c>
      <c r="D1642" s="4" t="s">
        <v>931</v>
      </c>
      <c r="E1642" s="4">
        <v>1</v>
      </c>
      <c r="F1642" s="4" t="s">
        <v>917</v>
      </c>
      <c r="G1642" s="4"/>
      <c r="H1642" s="4"/>
      <c r="I1642" s="4"/>
      <c r="J1642" s="4"/>
    </row>
    <row r="1643" spans="1:10" ht="15" customHeight="1" x14ac:dyDescent="0.2">
      <c r="A1643" s="4">
        <v>1642</v>
      </c>
      <c r="B1643" s="4">
        <v>1311</v>
      </c>
      <c r="C1643" s="4" t="s">
        <v>667</v>
      </c>
      <c r="D1643" s="4" t="s">
        <v>932</v>
      </c>
      <c r="E1643" s="4">
        <v>2</v>
      </c>
      <c r="F1643" s="4" t="s">
        <v>917</v>
      </c>
      <c r="G1643" s="4"/>
      <c r="H1643" s="4"/>
      <c r="I1643" s="4"/>
      <c r="J1643" s="4"/>
    </row>
    <row r="1644" spans="1:10" ht="27.75" customHeight="1" x14ac:dyDescent="0.2">
      <c r="A1644" s="4">
        <v>1643</v>
      </c>
      <c r="B1644" s="4">
        <v>1311</v>
      </c>
      <c r="C1644" s="4" t="s">
        <v>667</v>
      </c>
      <c r="D1644" s="4" t="s">
        <v>933</v>
      </c>
      <c r="E1644" s="4">
        <v>3</v>
      </c>
      <c r="F1644" s="4" t="s">
        <v>917</v>
      </c>
      <c r="G1644" s="4"/>
      <c r="H1644" s="4"/>
      <c r="I1644" s="4"/>
      <c r="J1644" s="4"/>
    </row>
    <row r="1645" spans="1:10" ht="15" customHeight="1" x14ac:dyDescent="0.2">
      <c r="A1645" s="4">
        <v>1644</v>
      </c>
      <c r="B1645" s="4">
        <v>1311</v>
      </c>
      <c r="C1645" s="4" t="s">
        <v>667</v>
      </c>
      <c r="D1645" s="4" t="s">
        <v>926</v>
      </c>
      <c r="E1645" s="4">
        <v>8</v>
      </c>
      <c r="F1645" s="4" t="s">
        <v>917</v>
      </c>
      <c r="G1645" s="4"/>
      <c r="H1645" s="4"/>
      <c r="I1645" s="4"/>
      <c r="J1645" s="4"/>
    </row>
    <row r="1646" spans="1:10" ht="15" customHeight="1" x14ac:dyDescent="0.2">
      <c r="A1646" s="4">
        <v>1645</v>
      </c>
      <c r="B1646" s="4">
        <v>1312</v>
      </c>
      <c r="C1646" s="4" t="s">
        <v>668</v>
      </c>
      <c r="D1646" s="4" t="s">
        <v>931</v>
      </c>
      <c r="E1646" s="4">
        <v>1</v>
      </c>
      <c r="F1646" s="4" t="s">
        <v>917</v>
      </c>
      <c r="G1646" s="4"/>
      <c r="H1646" s="4"/>
      <c r="I1646" s="4"/>
      <c r="J1646" s="4"/>
    </row>
    <row r="1647" spans="1:10" ht="15" customHeight="1" x14ac:dyDescent="0.2">
      <c r="A1647" s="4">
        <v>1646</v>
      </c>
      <c r="B1647" s="4">
        <v>1312</v>
      </c>
      <c r="C1647" s="4" t="s">
        <v>668</v>
      </c>
      <c r="D1647" s="4" t="s">
        <v>932</v>
      </c>
      <c r="E1647" s="4">
        <v>2</v>
      </c>
      <c r="F1647" s="4" t="s">
        <v>917</v>
      </c>
      <c r="G1647" s="4"/>
      <c r="H1647" s="4"/>
      <c r="I1647" s="4"/>
      <c r="J1647" s="4"/>
    </row>
    <row r="1648" spans="1:10" ht="27.75" customHeight="1" x14ac:dyDescent="0.2">
      <c r="A1648" s="4">
        <v>1647</v>
      </c>
      <c r="B1648" s="4">
        <v>1312</v>
      </c>
      <c r="C1648" s="4" t="s">
        <v>668</v>
      </c>
      <c r="D1648" s="4" t="s">
        <v>933</v>
      </c>
      <c r="E1648" s="4">
        <v>3</v>
      </c>
      <c r="F1648" s="4" t="s">
        <v>917</v>
      </c>
      <c r="G1648" s="4"/>
      <c r="H1648" s="4"/>
      <c r="I1648" s="4"/>
      <c r="J1648" s="4"/>
    </row>
    <row r="1649" spans="1:10" ht="15" customHeight="1" x14ac:dyDescent="0.2">
      <c r="A1649" s="4">
        <v>1648</v>
      </c>
      <c r="B1649" s="4">
        <v>1312</v>
      </c>
      <c r="C1649" s="4" t="s">
        <v>668</v>
      </c>
      <c r="D1649" s="4" t="s">
        <v>926</v>
      </c>
      <c r="E1649" s="4">
        <v>8</v>
      </c>
      <c r="F1649" s="4" t="s">
        <v>917</v>
      </c>
      <c r="G1649" s="4"/>
      <c r="H1649" s="4"/>
      <c r="I1649" s="4"/>
      <c r="J1649" s="4"/>
    </row>
    <row r="1650" spans="1:10" ht="15" customHeight="1" x14ac:dyDescent="0.2">
      <c r="A1650" s="4">
        <v>1649</v>
      </c>
      <c r="B1650" s="4">
        <v>1313</v>
      </c>
      <c r="C1650" s="4" t="s">
        <v>669</v>
      </c>
      <c r="D1650" s="4" t="s">
        <v>931</v>
      </c>
      <c r="E1650" s="4">
        <v>1</v>
      </c>
      <c r="F1650" s="4" t="s">
        <v>917</v>
      </c>
      <c r="G1650" s="4"/>
      <c r="H1650" s="4"/>
      <c r="I1650" s="4"/>
      <c r="J1650" s="4"/>
    </row>
    <row r="1651" spans="1:10" ht="15" customHeight="1" x14ac:dyDescent="0.2">
      <c r="A1651" s="4">
        <v>1650</v>
      </c>
      <c r="B1651" s="4">
        <v>1313</v>
      </c>
      <c r="C1651" s="4" t="s">
        <v>669</v>
      </c>
      <c r="D1651" s="4" t="s">
        <v>932</v>
      </c>
      <c r="E1651" s="4">
        <v>2</v>
      </c>
      <c r="F1651" s="4" t="s">
        <v>917</v>
      </c>
      <c r="G1651" s="4"/>
      <c r="H1651" s="4"/>
      <c r="I1651" s="4"/>
      <c r="J1651" s="4"/>
    </row>
    <row r="1652" spans="1:10" ht="27.75" customHeight="1" x14ac:dyDescent="0.2">
      <c r="A1652" s="4">
        <v>1651</v>
      </c>
      <c r="B1652" s="4">
        <v>1313</v>
      </c>
      <c r="C1652" s="4" t="s">
        <v>669</v>
      </c>
      <c r="D1652" s="4" t="s">
        <v>933</v>
      </c>
      <c r="E1652" s="4">
        <v>3</v>
      </c>
      <c r="F1652" s="4" t="s">
        <v>917</v>
      </c>
      <c r="G1652" s="4"/>
      <c r="H1652" s="4"/>
      <c r="I1652" s="4"/>
      <c r="J1652" s="4"/>
    </row>
    <row r="1653" spans="1:10" ht="15" customHeight="1" x14ac:dyDescent="0.2">
      <c r="A1653" s="4">
        <v>1652</v>
      </c>
      <c r="B1653" s="4">
        <v>1313</v>
      </c>
      <c r="C1653" s="4" t="s">
        <v>669</v>
      </c>
      <c r="D1653" s="4" t="s">
        <v>926</v>
      </c>
      <c r="E1653" s="4">
        <v>8</v>
      </c>
      <c r="F1653" s="4" t="s">
        <v>917</v>
      </c>
      <c r="G1653" s="4"/>
      <c r="H1653" s="4"/>
      <c r="I1653" s="4"/>
      <c r="J1653" s="4"/>
    </row>
    <row r="1654" spans="1:10" ht="15" customHeight="1" x14ac:dyDescent="0.2">
      <c r="A1654" s="4">
        <v>1653</v>
      </c>
      <c r="B1654" s="4">
        <v>1314</v>
      </c>
      <c r="C1654" s="4" t="s">
        <v>670</v>
      </c>
      <c r="D1654" s="4" t="s">
        <v>931</v>
      </c>
      <c r="E1654" s="4">
        <v>1</v>
      </c>
      <c r="F1654" s="4" t="s">
        <v>917</v>
      </c>
      <c r="G1654" s="4"/>
      <c r="H1654" s="4"/>
      <c r="I1654" s="4"/>
      <c r="J1654" s="4"/>
    </row>
    <row r="1655" spans="1:10" ht="15" customHeight="1" x14ac:dyDescent="0.2">
      <c r="A1655" s="4">
        <v>1654</v>
      </c>
      <c r="B1655" s="4">
        <v>1314</v>
      </c>
      <c r="C1655" s="4" t="s">
        <v>670</v>
      </c>
      <c r="D1655" s="4" t="s">
        <v>932</v>
      </c>
      <c r="E1655" s="4">
        <v>2</v>
      </c>
      <c r="F1655" s="4" t="s">
        <v>917</v>
      </c>
      <c r="G1655" s="4"/>
      <c r="H1655" s="4"/>
      <c r="I1655" s="4"/>
      <c r="J1655" s="4"/>
    </row>
    <row r="1656" spans="1:10" ht="27.75" customHeight="1" x14ac:dyDescent="0.2">
      <c r="A1656" s="4">
        <v>1655</v>
      </c>
      <c r="B1656" s="4">
        <v>1314</v>
      </c>
      <c r="C1656" s="4" t="s">
        <v>670</v>
      </c>
      <c r="D1656" s="4" t="s">
        <v>933</v>
      </c>
      <c r="E1656" s="4">
        <v>3</v>
      </c>
      <c r="F1656" s="4" t="s">
        <v>917</v>
      </c>
      <c r="G1656" s="4"/>
      <c r="H1656" s="4"/>
      <c r="I1656" s="4"/>
      <c r="J1656" s="4"/>
    </row>
    <row r="1657" spans="1:10" ht="15" customHeight="1" x14ac:dyDescent="0.2">
      <c r="A1657" s="4">
        <v>1656</v>
      </c>
      <c r="B1657" s="4">
        <v>1314</v>
      </c>
      <c r="C1657" s="4" t="s">
        <v>670</v>
      </c>
      <c r="D1657" s="4" t="s">
        <v>926</v>
      </c>
      <c r="E1657" s="4">
        <v>8</v>
      </c>
      <c r="F1657" s="4" t="s">
        <v>917</v>
      </c>
      <c r="G1657" s="4"/>
      <c r="H1657" s="4"/>
      <c r="I1657" s="4"/>
      <c r="J1657" s="4"/>
    </row>
    <row r="1658" spans="1:10" ht="15" customHeight="1" x14ac:dyDescent="0.2">
      <c r="A1658" s="4">
        <v>1657</v>
      </c>
      <c r="B1658" s="4">
        <v>1315</v>
      </c>
      <c r="C1658" s="4" t="s">
        <v>671</v>
      </c>
      <c r="D1658" s="4" t="s">
        <v>931</v>
      </c>
      <c r="E1658" s="4">
        <v>1</v>
      </c>
      <c r="F1658" s="4" t="s">
        <v>917</v>
      </c>
      <c r="G1658" s="4"/>
      <c r="H1658" s="4"/>
      <c r="I1658" s="4"/>
      <c r="J1658" s="4"/>
    </row>
    <row r="1659" spans="1:10" ht="15" customHeight="1" x14ac:dyDescent="0.2">
      <c r="A1659" s="4">
        <v>1658</v>
      </c>
      <c r="B1659" s="4">
        <v>1315</v>
      </c>
      <c r="C1659" s="4" t="s">
        <v>671</v>
      </c>
      <c r="D1659" s="4" t="s">
        <v>932</v>
      </c>
      <c r="E1659" s="4">
        <v>2</v>
      </c>
      <c r="F1659" s="4" t="s">
        <v>917</v>
      </c>
      <c r="G1659" s="4"/>
      <c r="H1659" s="4"/>
      <c r="I1659" s="4"/>
      <c r="J1659" s="4"/>
    </row>
    <row r="1660" spans="1:10" ht="27.75" customHeight="1" x14ac:dyDescent="0.2">
      <c r="A1660" s="4">
        <v>1659</v>
      </c>
      <c r="B1660" s="4">
        <v>1315</v>
      </c>
      <c r="C1660" s="4" t="s">
        <v>671</v>
      </c>
      <c r="D1660" s="4" t="s">
        <v>933</v>
      </c>
      <c r="E1660" s="4">
        <v>3</v>
      </c>
      <c r="F1660" s="4" t="s">
        <v>917</v>
      </c>
      <c r="G1660" s="4"/>
      <c r="H1660" s="4"/>
      <c r="I1660" s="4"/>
      <c r="J1660" s="4"/>
    </row>
    <row r="1661" spans="1:10" ht="15" customHeight="1" x14ac:dyDescent="0.2">
      <c r="A1661" s="4">
        <v>1660</v>
      </c>
      <c r="B1661" s="4">
        <v>1315</v>
      </c>
      <c r="C1661" s="4" t="s">
        <v>671</v>
      </c>
      <c r="D1661" s="4" t="s">
        <v>926</v>
      </c>
      <c r="E1661" s="4">
        <v>8</v>
      </c>
      <c r="F1661" s="4" t="s">
        <v>917</v>
      </c>
      <c r="G1661" s="4"/>
      <c r="H1661" s="4"/>
      <c r="I1661" s="4"/>
      <c r="J1661" s="4"/>
    </row>
    <row r="1662" spans="1:10" ht="15" customHeight="1" x14ac:dyDescent="0.2">
      <c r="A1662" s="4">
        <v>1661</v>
      </c>
      <c r="B1662" s="4">
        <v>1316</v>
      </c>
      <c r="C1662" s="4" t="s">
        <v>672</v>
      </c>
      <c r="D1662" s="4" t="s">
        <v>931</v>
      </c>
      <c r="E1662" s="4">
        <v>1</v>
      </c>
      <c r="F1662" s="4" t="s">
        <v>917</v>
      </c>
      <c r="G1662" s="4"/>
      <c r="H1662" s="4"/>
      <c r="I1662" s="4"/>
      <c r="J1662" s="4"/>
    </row>
    <row r="1663" spans="1:10" ht="15" customHeight="1" x14ac:dyDescent="0.2">
      <c r="A1663" s="4">
        <v>1662</v>
      </c>
      <c r="B1663" s="4">
        <v>1316</v>
      </c>
      <c r="C1663" s="4" t="s">
        <v>672</v>
      </c>
      <c r="D1663" s="4" t="s">
        <v>932</v>
      </c>
      <c r="E1663" s="4">
        <v>2</v>
      </c>
      <c r="F1663" s="4" t="s">
        <v>917</v>
      </c>
      <c r="G1663" s="4"/>
      <c r="H1663" s="4"/>
      <c r="I1663" s="4"/>
      <c r="J1663" s="4"/>
    </row>
    <row r="1664" spans="1:10" ht="27.75" customHeight="1" x14ac:dyDescent="0.2">
      <c r="A1664" s="4">
        <v>1663</v>
      </c>
      <c r="B1664" s="4">
        <v>1316</v>
      </c>
      <c r="C1664" s="4" t="s">
        <v>672</v>
      </c>
      <c r="D1664" s="4" t="s">
        <v>933</v>
      </c>
      <c r="E1664" s="4">
        <v>3</v>
      </c>
      <c r="F1664" s="4" t="s">
        <v>917</v>
      </c>
      <c r="G1664" s="4"/>
      <c r="H1664" s="4"/>
      <c r="I1664" s="4"/>
      <c r="J1664" s="4"/>
    </row>
    <row r="1665" spans="1:10" ht="15" customHeight="1" x14ac:dyDescent="0.2">
      <c r="A1665" s="4">
        <v>1664</v>
      </c>
      <c r="B1665" s="4">
        <v>1316</v>
      </c>
      <c r="C1665" s="4" t="s">
        <v>672</v>
      </c>
      <c r="D1665" s="4" t="s">
        <v>926</v>
      </c>
      <c r="E1665" s="4">
        <v>8</v>
      </c>
      <c r="F1665" s="4" t="s">
        <v>917</v>
      </c>
      <c r="G1665" s="4"/>
      <c r="H1665" s="4"/>
      <c r="I1665" s="4"/>
      <c r="J1665" s="4"/>
    </row>
    <row r="1666" spans="1:10" ht="15" customHeight="1" x14ac:dyDescent="0.2">
      <c r="A1666" s="4">
        <v>1665</v>
      </c>
      <c r="B1666" s="4">
        <v>1317</v>
      </c>
      <c r="C1666" s="4" t="s">
        <v>673</v>
      </c>
      <c r="D1666" s="4" t="s">
        <v>931</v>
      </c>
      <c r="E1666" s="4">
        <v>1</v>
      </c>
      <c r="F1666" s="4" t="s">
        <v>917</v>
      </c>
      <c r="G1666" s="4"/>
      <c r="H1666" s="4"/>
      <c r="I1666" s="4"/>
      <c r="J1666" s="4"/>
    </row>
    <row r="1667" spans="1:10" ht="15" customHeight="1" x14ac:dyDescent="0.2">
      <c r="A1667" s="4">
        <v>1666</v>
      </c>
      <c r="B1667" s="4">
        <v>1317</v>
      </c>
      <c r="C1667" s="4" t="s">
        <v>673</v>
      </c>
      <c r="D1667" s="4" t="s">
        <v>932</v>
      </c>
      <c r="E1667" s="4">
        <v>2</v>
      </c>
      <c r="F1667" s="4" t="s">
        <v>917</v>
      </c>
      <c r="G1667" s="4"/>
      <c r="H1667" s="4"/>
      <c r="I1667" s="4"/>
      <c r="J1667" s="4"/>
    </row>
    <row r="1668" spans="1:10" ht="27.75" customHeight="1" x14ac:dyDescent="0.2">
      <c r="A1668" s="4">
        <v>1667</v>
      </c>
      <c r="B1668" s="4">
        <v>1317</v>
      </c>
      <c r="C1668" s="4" t="s">
        <v>673</v>
      </c>
      <c r="D1668" s="4" t="s">
        <v>933</v>
      </c>
      <c r="E1668" s="4">
        <v>3</v>
      </c>
      <c r="F1668" s="4" t="s">
        <v>917</v>
      </c>
      <c r="G1668" s="4"/>
      <c r="H1668" s="4"/>
      <c r="I1668" s="4"/>
      <c r="J1668" s="4"/>
    </row>
    <row r="1669" spans="1:10" ht="15" customHeight="1" x14ac:dyDescent="0.2">
      <c r="A1669" s="4">
        <v>1668</v>
      </c>
      <c r="B1669" s="4">
        <v>1317</v>
      </c>
      <c r="C1669" s="4" t="s">
        <v>673</v>
      </c>
      <c r="D1669" s="4" t="s">
        <v>926</v>
      </c>
      <c r="E1669" s="4">
        <v>8</v>
      </c>
      <c r="F1669" s="4" t="s">
        <v>917</v>
      </c>
      <c r="G1669" s="4"/>
      <c r="H1669" s="4"/>
      <c r="I1669" s="4"/>
      <c r="J1669" s="4"/>
    </row>
    <row r="1670" spans="1:10" ht="15" customHeight="1" x14ac:dyDescent="0.2">
      <c r="A1670" s="4">
        <v>1669</v>
      </c>
      <c r="B1670" s="4">
        <v>1318</v>
      </c>
      <c r="C1670" s="4" t="s">
        <v>674</v>
      </c>
      <c r="D1670" s="4" t="s">
        <v>931</v>
      </c>
      <c r="E1670" s="4">
        <v>1</v>
      </c>
      <c r="F1670" s="4" t="s">
        <v>917</v>
      </c>
      <c r="G1670" s="4"/>
      <c r="H1670" s="4"/>
      <c r="I1670" s="4"/>
      <c r="J1670" s="4"/>
    </row>
    <row r="1671" spans="1:10" ht="15" customHeight="1" x14ac:dyDescent="0.2">
      <c r="A1671" s="4">
        <v>1670</v>
      </c>
      <c r="B1671" s="4">
        <v>1318</v>
      </c>
      <c r="C1671" s="4" t="s">
        <v>674</v>
      </c>
      <c r="D1671" s="4" t="s">
        <v>932</v>
      </c>
      <c r="E1671" s="4">
        <v>2</v>
      </c>
      <c r="F1671" s="4" t="s">
        <v>917</v>
      </c>
      <c r="G1671" s="4"/>
      <c r="H1671" s="4"/>
      <c r="I1671" s="4"/>
      <c r="J1671" s="4"/>
    </row>
    <row r="1672" spans="1:10" ht="27.75" customHeight="1" x14ac:dyDescent="0.2">
      <c r="A1672" s="4">
        <v>1671</v>
      </c>
      <c r="B1672" s="4">
        <v>1318</v>
      </c>
      <c r="C1672" s="4" t="s">
        <v>674</v>
      </c>
      <c r="D1672" s="4" t="s">
        <v>933</v>
      </c>
      <c r="E1672" s="4">
        <v>3</v>
      </c>
      <c r="F1672" s="4" t="s">
        <v>917</v>
      </c>
      <c r="G1672" s="4"/>
      <c r="H1672" s="4"/>
      <c r="I1672" s="4"/>
      <c r="J1672" s="4"/>
    </row>
    <row r="1673" spans="1:10" ht="15" customHeight="1" x14ac:dyDescent="0.2">
      <c r="A1673" s="4">
        <v>1672</v>
      </c>
      <c r="B1673" s="4">
        <v>1318</v>
      </c>
      <c r="C1673" s="4" t="s">
        <v>674</v>
      </c>
      <c r="D1673" s="4" t="s">
        <v>926</v>
      </c>
      <c r="E1673" s="4">
        <v>8</v>
      </c>
      <c r="F1673" s="4" t="s">
        <v>917</v>
      </c>
      <c r="G1673" s="4"/>
      <c r="H1673" s="4"/>
      <c r="I1673" s="4"/>
      <c r="J1673" s="4"/>
    </row>
    <row r="1674" spans="1:10" ht="15" customHeight="1" x14ac:dyDescent="0.2">
      <c r="A1674" s="4">
        <v>1673</v>
      </c>
      <c r="B1674" s="4">
        <v>1319</v>
      </c>
      <c r="C1674" s="4" t="s">
        <v>675</v>
      </c>
      <c r="D1674" s="4" t="s">
        <v>931</v>
      </c>
      <c r="E1674" s="4">
        <v>1</v>
      </c>
      <c r="F1674" s="4" t="s">
        <v>917</v>
      </c>
      <c r="G1674" s="4"/>
      <c r="H1674" s="4"/>
      <c r="I1674" s="4"/>
      <c r="J1674" s="4"/>
    </row>
    <row r="1675" spans="1:10" ht="15" customHeight="1" x14ac:dyDescent="0.2">
      <c r="A1675" s="4">
        <v>1674</v>
      </c>
      <c r="B1675" s="4">
        <v>1319</v>
      </c>
      <c r="C1675" s="4" t="s">
        <v>675</v>
      </c>
      <c r="D1675" s="4" t="s">
        <v>932</v>
      </c>
      <c r="E1675" s="4">
        <v>2</v>
      </c>
      <c r="F1675" s="4" t="s">
        <v>917</v>
      </c>
      <c r="G1675" s="4"/>
      <c r="H1675" s="4"/>
      <c r="I1675" s="4"/>
      <c r="J1675" s="4"/>
    </row>
    <row r="1676" spans="1:10" ht="27.75" customHeight="1" x14ac:dyDescent="0.2">
      <c r="A1676" s="4">
        <v>1675</v>
      </c>
      <c r="B1676" s="4">
        <v>1319</v>
      </c>
      <c r="C1676" s="4" t="s">
        <v>675</v>
      </c>
      <c r="D1676" s="4" t="s">
        <v>933</v>
      </c>
      <c r="E1676" s="4">
        <v>3</v>
      </c>
      <c r="F1676" s="4" t="s">
        <v>917</v>
      </c>
      <c r="G1676" s="4"/>
      <c r="H1676" s="4"/>
      <c r="I1676" s="4"/>
      <c r="J1676" s="4"/>
    </row>
    <row r="1677" spans="1:10" ht="15" customHeight="1" x14ac:dyDescent="0.2">
      <c r="A1677" s="4">
        <v>1676</v>
      </c>
      <c r="B1677" s="4">
        <v>1319</v>
      </c>
      <c r="C1677" s="4" t="s">
        <v>675</v>
      </c>
      <c r="D1677" s="4" t="s">
        <v>926</v>
      </c>
      <c r="E1677" s="4">
        <v>8</v>
      </c>
      <c r="F1677" s="4" t="s">
        <v>917</v>
      </c>
      <c r="G1677" s="4"/>
      <c r="H1677" s="4"/>
      <c r="I1677" s="4"/>
      <c r="J1677" s="4"/>
    </row>
    <row r="1678" spans="1:10" ht="15" customHeight="1" x14ac:dyDescent="0.2">
      <c r="A1678" s="4">
        <v>1677</v>
      </c>
      <c r="B1678" s="4">
        <v>1320</v>
      </c>
      <c r="C1678" s="4" t="s">
        <v>676</v>
      </c>
      <c r="D1678" s="4" t="s">
        <v>931</v>
      </c>
      <c r="E1678" s="4">
        <v>1</v>
      </c>
      <c r="F1678" s="4" t="s">
        <v>917</v>
      </c>
      <c r="G1678" s="4"/>
      <c r="H1678" s="4"/>
      <c r="I1678" s="4"/>
      <c r="J1678" s="4"/>
    </row>
    <row r="1679" spans="1:10" ht="15" customHeight="1" x14ac:dyDescent="0.2">
      <c r="A1679" s="4">
        <v>1678</v>
      </c>
      <c r="B1679" s="4">
        <v>1320</v>
      </c>
      <c r="C1679" s="4" t="s">
        <v>676</v>
      </c>
      <c r="D1679" s="4" t="s">
        <v>932</v>
      </c>
      <c r="E1679" s="4">
        <v>2</v>
      </c>
      <c r="F1679" s="4" t="s">
        <v>917</v>
      </c>
      <c r="G1679" s="4"/>
      <c r="H1679" s="4"/>
      <c r="I1679" s="4"/>
      <c r="J1679" s="4"/>
    </row>
    <row r="1680" spans="1:10" ht="27.75" customHeight="1" x14ac:dyDescent="0.2">
      <c r="A1680" s="4">
        <v>1679</v>
      </c>
      <c r="B1680" s="4">
        <v>1320</v>
      </c>
      <c r="C1680" s="4" t="s">
        <v>676</v>
      </c>
      <c r="D1680" s="4" t="s">
        <v>933</v>
      </c>
      <c r="E1680" s="4">
        <v>3</v>
      </c>
      <c r="F1680" s="4" t="s">
        <v>917</v>
      </c>
      <c r="G1680" s="4"/>
      <c r="H1680" s="4"/>
      <c r="I1680" s="4"/>
      <c r="J1680" s="4"/>
    </row>
    <row r="1681" spans="1:10" ht="15" customHeight="1" x14ac:dyDescent="0.2">
      <c r="A1681" s="4">
        <v>1680</v>
      </c>
      <c r="B1681" s="4">
        <v>1320</v>
      </c>
      <c r="C1681" s="4" t="s">
        <v>676</v>
      </c>
      <c r="D1681" s="4" t="s">
        <v>926</v>
      </c>
      <c r="E1681" s="4">
        <v>8</v>
      </c>
      <c r="F1681" s="4" t="s">
        <v>917</v>
      </c>
      <c r="G1681" s="4"/>
      <c r="H1681" s="4"/>
      <c r="I1681" s="4"/>
      <c r="J1681" s="4"/>
    </row>
    <row r="1682" spans="1:10" ht="15" customHeight="1" x14ac:dyDescent="0.2">
      <c r="A1682" s="4">
        <v>1681</v>
      </c>
      <c r="B1682" s="4">
        <v>1321</v>
      </c>
      <c r="C1682" s="4" t="s">
        <v>677</v>
      </c>
      <c r="D1682" s="4" t="s">
        <v>931</v>
      </c>
      <c r="E1682" s="4">
        <v>1</v>
      </c>
      <c r="F1682" s="4" t="s">
        <v>917</v>
      </c>
      <c r="G1682" s="4"/>
      <c r="H1682" s="4"/>
      <c r="I1682" s="4"/>
      <c r="J1682" s="4"/>
    </row>
    <row r="1683" spans="1:10" ht="15" customHeight="1" x14ac:dyDescent="0.2">
      <c r="A1683" s="4">
        <v>1682</v>
      </c>
      <c r="B1683" s="4">
        <v>1321</v>
      </c>
      <c r="C1683" s="4" t="s">
        <v>677</v>
      </c>
      <c r="D1683" s="4" t="s">
        <v>932</v>
      </c>
      <c r="E1683" s="4">
        <v>2</v>
      </c>
      <c r="F1683" s="4" t="s">
        <v>917</v>
      </c>
      <c r="G1683" s="4"/>
      <c r="H1683" s="4"/>
      <c r="I1683" s="4"/>
      <c r="J1683" s="4"/>
    </row>
    <row r="1684" spans="1:10" ht="27.75" customHeight="1" x14ac:dyDescent="0.2">
      <c r="A1684" s="4">
        <v>1683</v>
      </c>
      <c r="B1684" s="4">
        <v>1321</v>
      </c>
      <c r="C1684" s="4" t="s">
        <v>677</v>
      </c>
      <c r="D1684" s="4" t="s">
        <v>933</v>
      </c>
      <c r="E1684" s="4">
        <v>3</v>
      </c>
      <c r="F1684" s="4" t="s">
        <v>917</v>
      </c>
      <c r="G1684" s="4"/>
      <c r="H1684" s="4"/>
      <c r="I1684" s="4"/>
      <c r="J1684" s="4"/>
    </row>
    <row r="1685" spans="1:10" ht="15" customHeight="1" x14ac:dyDescent="0.2">
      <c r="A1685" s="4">
        <v>1684</v>
      </c>
      <c r="B1685" s="4">
        <v>1321</v>
      </c>
      <c r="C1685" s="4" t="s">
        <v>677</v>
      </c>
      <c r="D1685" s="4" t="s">
        <v>926</v>
      </c>
      <c r="E1685" s="4">
        <v>8</v>
      </c>
      <c r="F1685" s="4" t="s">
        <v>917</v>
      </c>
      <c r="G1685" s="4"/>
      <c r="H1685" s="4"/>
      <c r="I1685" s="4"/>
      <c r="J1685" s="4"/>
    </row>
    <row r="1686" spans="1:10" ht="15" customHeight="1" x14ac:dyDescent="0.2">
      <c r="A1686" s="4">
        <v>1685</v>
      </c>
      <c r="B1686" s="4">
        <v>1322</v>
      </c>
      <c r="C1686" s="4" t="s">
        <v>679</v>
      </c>
      <c r="D1686" s="4" t="s">
        <v>931</v>
      </c>
      <c r="E1686" s="4">
        <v>1</v>
      </c>
      <c r="F1686" s="4" t="s">
        <v>917</v>
      </c>
      <c r="G1686" s="4"/>
      <c r="H1686" s="4"/>
      <c r="I1686" s="4"/>
      <c r="J1686" s="4"/>
    </row>
    <row r="1687" spans="1:10" ht="15" customHeight="1" x14ac:dyDescent="0.2">
      <c r="A1687" s="4">
        <v>1686</v>
      </c>
      <c r="B1687" s="4">
        <v>1322</v>
      </c>
      <c r="C1687" s="4" t="s">
        <v>679</v>
      </c>
      <c r="D1687" s="4" t="s">
        <v>932</v>
      </c>
      <c r="E1687" s="4">
        <v>2</v>
      </c>
      <c r="F1687" s="4" t="s">
        <v>917</v>
      </c>
      <c r="G1687" s="4"/>
      <c r="H1687" s="4"/>
      <c r="I1687" s="4"/>
      <c r="J1687" s="4"/>
    </row>
    <row r="1688" spans="1:10" ht="27.75" customHeight="1" x14ac:dyDescent="0.2">
      <c r="A1688" s="4">
        <v>1687</v>
      </c>
      <c r="B1688" s="4">
        <v>1322</v>
      </c>
      <c r="C1688" s="4" t="s">
        <v>679</v>
      </c>
      <c r="D1688" s="4" t="s">
        <v>933</v>
      </c>
      <c r="E1688" s="4">
        <v>3</v>
      </c>
      <c r="F1688" s="4" t="s">
        <v>917</v>
      </c>
      <c r="G1688" s="4"/>
      <c r="H1688" s="4"/>
      <c r="I1688" s="4"/>
      <c r="J1688" s="4"/>
    </row>
    <row r="1689" spans="1:10" ht="15" customHeight="1" x14ac:dyDescent="0.2">
      <c r="A1689" s="4">
        <v>1688</v>
      </c>
      <c r="B1689" s="4">
        <v>1322</v>
      </c>
      <c r="C1689" s="4" t="s">
        <v>679</v>
      </c>
      <c r="D1689" s="4" t="s">
        <v>926</v>
      </c>
      <c r="E1689" s="4">
        <v>8</v>
      </c>
      <c r="F1689" s="4" t="s">
        <v>917</v>
      </c>
      <c r="G1689" s="4"/>
      <c r="H1689" s="4"/>
      <c r="I1689" s="4"/>
      <c r="J1689" s="4"/>
    </row>
    <row r="1690" spans="1:10" ht="15" customHeight="1" x14ac:dyDescent="0.2">
      <c r="A1690" s="4">
        <v>1689</v>
      </c>
      <c r="B1690" s="4">
        <v>1323</v>
      </c>
      <c r="C1690" s="4" t="s">
        <v>680</v>
      </c>
      <c r="D1690" s="4" t="s">
        <v>931</v>
      </c>
      <c r="E1690" s="4">
        <v>1</v>
      </c>
      <c r="F1690" s="4" t="s">
        <v>917</v>
      </c>
      <c r="G1690" s="4"/>
      <c r="H1690" s="4"/>
      <c r="I1690" s="4"/>
      <c r="J1690" s="4"/>
    </row>
    <row r="1691" spans="1:10" ht="15" customHeight="1" x14ac:dyDescent="0.2">
      <c r="A1691" s="4">
        <v>1690</v>
      </c>
      <c r="B1691" s="4">
        <v>1323</v>
      </c>
      <c r="C1691" s="4" t="s">
        <v>680</v>
      </c>
      <c r="D1691" s="4" t="s">
        <v>932</v>
      </c>
      <c r="E1691" s="4">
        <v>2</v>
      </c>
      <c r="F1691" s="4" t="s">
        <v>917</v>
      </c>
      <c r="G1691" s="4"/>
      <c r="H1691" s="4"/>
      <c r="I1691" s="4"/>
      <c r="J1691" s="4"/>
    </row>
    <row r="1692" spans="1:10" ht="27.75" customHeight="1" x14ac:dyDescent="0.2">
      <c r="A1692" s="4">
        <v>1691</v>
      </c>
      <c r="B1692" s="4">
        <v>1323</v>
      </c>
      <c r="C1692" s="4" t="s">
        <v>680</v>
      </c>
      <c r="D1692" s="4" t="s">
        <v>933</v>
      </c>
      <c r="E1692" s="4">
        <v>3</v>
      </c>
      <c r="F1692" s="4" t="s">
        <v>917</v>
      </c>
      <c r="G1692" s="4"/>
      <c r="H1692" s="4"/>
      <c r="I1692" s="4"/>
      <c r="J1692" s="4"/>
    </row>
    <row r="1693" spans="1:10" ht="15" customHeight="1" x14ac:dyDescent="0.2">
      <c r="A1693" s="4">
        <v>1692</v>
      </c>
      <c r="B1693" s="4">
        <v>1323</v>
      </c>
      <c r="C1693" s="4" t="s">
        <v>680</v>
      </c>
      <c r="D1693" s="4" t="s">
        <v>926</v>
      </c>
      <c r="E1693" s="4">
        <v>8</v>
      </c>
      <c r="F1693" s="4" t="s">
        <v>917</v>
      </c>
      <c r="G1693" s="4"/>
      <c r="H1693" s="4"/>
      <c r="I1693" s="4"/>
      <c r="J1693" s="4"/>
    </row>
    <row r="1694" spans="1:10" ht="15" customHeight="1" x14ac:dyDescent="0.2">
      <c r="A1694" s="4">
        <v>1693</v>
      </c>
      <c r="B1694" s="4">
        <v>1324</v>
      </c>
      <c r="C1694" s="4" t="s">
        <v>681</v>
      </c>
      <c r="D1694" s="4" t="s">
        <v>931</v>
      </c>
      <c r="E1694" s="4">
        <v>1</v>
      </c>
      <c r="F1694" s="4" t="s">
        <v>917</v>
      </c>
      <c r="G1694" s="4"/>
      <c r="H1694" s="4"/>
      <c r="I1694" s="4"/>
      <c r="J1694" s="4"/>
    </row>
    <row r="1695" spans="1:10" ht="15" customHeight="1" x14ac:dyDescent="0.2">
      <c r="A1695" s="4">
        <v>1694</v>
      </c>
      <c r="B1695" s="4">
        <v>1324</v>
      </c>
      <c r="C1695" s="4" t="s">
        <v>681</v>
      </c>
      <c r="D1695" s="4" t="s">
        <v>932</v>
      </c>
      <c r="E1695" s="4">
        <v>2</v>
      </c>
      <c r="F1695" s="4" t="s">
        <v>917</v>
      </c>
      <c r="G1695" s="4"/>
      <c r="H1695" s="4"/>
      <c r="I1695" s="4"/>
      <c r="J1695" s="4"/>
    </row>
    <row r="1696" spans="1:10" ht="27.75" customHeight="1" x14ac:dyDescent="0.2">
      <c r="A1696" s="4">
        <v>1695</v>
      </c>
      <c r="B1696" s="4">
        <v>1324</v>
      </c>
      <c r="C1696" s="4" t="s">
        <v>681</v>
      </c>
      <c r="D1696" s="4" t="s">
        <v>933</v>
      </c>
      <c r="E1696" s="4">
        <v>3</v>
      </c>
      <c r="F1696" s="4" t="s">
        <v>917</v>
      </c>
      <c r="G1696" s="4"/>
      <c r="H1696" s="4"/>
      <c r="I1696" s="4"/>
      <c r="J1696" s="4"/>
    </row>
    <row r="1697" spans="1:10" ht="15" customHeight="1" x14ac:dyDescent="0.2">
      <c r="A1697" s="4">
        <v>1696</v>
      </c>
      <c r="B1697" s="4">
        <v>1324</v>
      </c>
      <c r="C1697" s="4" t="s">
        <v>681</v>
      </c>
      <c r="D1697" s="4" t="s">
        <v>926</v>
      </c>
      <c r="E1697" s="4">
        <v>8</v>
      </c>
      <c r="F1697" s="4" t="s">
        <v>917</v>
      </c>
      <c r="G1697" s="4"/>
      <c r="H1697" s="4"/>
      <c r="I1697" s="4"/>
      <c r="J1697" s="4"/>
    </row>
    <row r="1698" spans="1:10" ht="15" customHeight="1" x14ac:dyDescent="0.2">
      <c r="A1698" s="4">
        <v>1697</v>
      </c>
      <c r="B1698" s="4">
        <v>1325</v>
      </c>
      <c r="C1698" s="4" t="s">
        <v>682</v>
      </c>
      <c r="D1698" s="4" t="s">
        <v>931</v>
      </c>
      <c r="E1698" s="4">
        <v>1</v>
      </c>
      <c r="F1698" s="4" t="s">
        <v>917</v>
      </c>
      <c r="G1698" s="4"/>
      <c r="H1698" s="4"/>
      <c r="I1698" s="4"/>
      <c r="J1698" s="4"/>
    </row>
    <row r="1699" spans="1:10" ht="15" customHeight="1" x14ac:dyDescent="0.2">
      <c r="A1699" s="4">
        <v>1698</v>
      </c>
      <c r="B1699" s="4">
        <v>1325</v>
      </c>
      <c r="C1699" s="4" t="s">
        <v>682</v>
      </c>
      <c r="D1699" s="4" t="s">
        <v>932</v>
      </c>
      <c r="E1699" s="4">
        <v>2</v>
      </c>
      <c r="F1699" s="4" t="s">
        <v>917</v>
      </c>
      <c r="G1699" s="4"/>
      <c r="H1699" s="4"/>
      <c r="I1699" s="4"/>
      <c r="J1699" s="4"/>
    </row>
    <row r="1700" spans="1:10" ht="27.75" customHeight="1" x14ac:dyDescent="0.2">
      <c r="A1700" s="4">
        <v>1699</v>
      </c>
      <c r="B1700" s="4">
        <v>1325</v>
      </c>
      <c r="C1700" s="4" t="s">
        <v>682</v>
      </c>
      <c r="D1700" s="4" t="s">
        <v>933</v>
      </c>
      <c r="E1700" s="4">
        <v>3</v>
      </c>
      <c r="F1700" s="4" t="s">
        <v>917</v>
      </c>
      <c r="G1700" s="4"/>
      <c r="H1700" s="4"/>
      <c r="I1700" s="4"/>
      <c r="J1700" s="4"/>
    </row>
    <row r="1701" spans="1:10" ht="15" customHeight="1" x14ac:dyDescent="0.2">
      <c r="A1701" s="4">
        <v>1700</v>
      </c>
      <c r="B1701" s="4">
        <v>1325</v>
      </c>
      <c r="C1701" s="4" t="s">
        <v>682</v>
      </c>
      <c r="D1701" s="4" t="s">
        <v>926</v>
      </c>
      <c r="E1701" s="4">
        <v>8</v>
      </c>
      <c r="F1701" s="4" t="s">
        <v>917</v>
      </c>
      <c r="G1701" s="4"/>
      <c r="H1701" s="4"/>
      <c r="I1701" s="4"/>
      <c r="J1701" s="4"/>
    </row>
    <row r="1702" spans="1:10" ht="15" customHeight="1" x14ac:dyDescent="0.2">
      <c r="A1702" s="4">
        <v>1701</v>
      </c>
      <c r="B1702" s="4">
        <v>1326</v>
      </c>
      <c r="C1702" s="4" t="s">
        <v>683</v>
      </c>
      <c r="D1702" s="4" t="s">
        <v>931</v>
      </c>
      <c r="E1702" s="4">
        <v>1</v>
      </c>
      <c r="F1702" s="4" t="s">
        <v>917</v>
      </c>
      <c r="G1702" s="4"/>
      <c r="H1702" s="4"/>
      <c r="I1702" s="4"/>
      <c r="J1702" s="4"/>
    </row>
    <row r="1703" spans="1:10" ht="15" customHeight="1" x14ac:dyDescent="0.2">
      <c r="A1703" s="4">
        <v>1702</v>
      </c>
      <c r="B1703" s="4">
        <v>1326</v>
      </c>
      <c r="C1703" s="4" t="s">
        <v>683</v>
      </c>
      <c r="D1703" s="4" t="s">
        <v>932</v>
      </c>
      <c r="E1703" s="4">
        <v>2</v>
      </c>
      <c r="F1703" s="4" t="s">
        <v>917</v>
      </c>
      <c r="G1703" s="4"/>
      <c r="H1703" s="4"/>
      <c r="I1703" s="4"/>
      <c r="J1703" s="4"/>
    </row>
    <row r="1704" spans="1:10" ht="27.75" customHeight="1" x14ac:dyDescent="0.2">
      <c r="A1704" s="4">
        <v>1703</v>
      </c>
      <c r="B1704" s="4">
        <v>1326</v>
      </c>
      <c r="C1704" s="4" t="s">
        <v>683</v>
      </c>
      <c r="D1704" s="4" t="s">
        <v>933</v>
      </c>
      <c r="E1704" s="4">
        <v>3</v>
      </c>
      <c r="F1704" s="4" t="s">
        <v>917</v>
      </c>
      <c r="G1704" s="4"/>
      <c r="H1704" s="4"/>
      <c r="I1704" s="4"/>
      <c r="J1704" s="4"/>
    </row>
    <row r="1705" spans="1:10" ht="15" customHeight="1" x14ac:dyDescent="0.2">
      <c r="A1705" s="4">
        <v>1704</v>
      </c>
      <c r="B1705" s="4">
        <v>1326</v>
      </c>
      <c r="C1705" s="4" t="s">
        <v>683</v>
      </c>
      <c r="D1705" s="4" t="s">
        <v>926</v>
      </c>
      <c r="E1705" s="4">
        <v>8</v>
      </c>
      <c r="F1705" s="4" t="s">
        <v>917</v>
      </c>
      <c r="G1705" s="4"/>
      <c r="H1705" s="4"/>
      <c r="I1705" s="4"/>
      <c r="J1705" s="4"/>
    </row>
    <row r="1706" spans="1:10" ht="15" customHeight="1" x14ac:dyDescent="0.2">
      <c r="A1706" s="4">
        <v>1705</v>
      </c>
      <c r="B1706" s="4">
        <v>1327</v>
      </c>
      <c r="C1706" s="4" t="s">
        <v>684</v>
      </c>
      <c r="D1706" s="4" t="s">
        <v>931</v>
      </c>
      <c r="E1706" s="4">
        <v>1</v>
      </c>
      <c r="F1706" s="4" t="s">
        <v>917</v>
      </c>
      <c r="G1706" s="4"/>
      <c r="H1706" s="4"/>
      <c r="I1706" s="4"/>
      <c r="J1706" s="4"/>
    </row>
    <row r="1707" spans="1:10" ht="15" customHeight="1" x14ac:dyDescent="0.2">
      <c r="A1707" s="4">
        <v>1706</v>
      </c>
      <c r="B1707" s="4">
        <v>1327</v>
      </c>
      <c r="C1707" s="4" t="s">
        <v>684</v>
      </c>
      <c r="D1707" s="4" t="s">
        <v>932</v>
      </c>
      <c r="E1707" s="4">
        <v>2</v>
      </c>
      <c r="F1707" s="4" t="s">
        <v>917</v>
      </c>
      <c r="G1707" s="4"/>
      <c r="H1707" s="4"/>
      <c r="I1707" s="4"/>
      <c r="J1707" s="4"/>
    </row>
    <row r="1708" spans="1:10" ht="27.75" customHeight="1" x14ac:dyDescent="0.2">
      <c r="A1708" s="4">
        <v>1707</v>
      </c>
      <c r="B1708" s="4">
        <v>1327</v>
      </c>
      <c r="C1708" s="4" t="s">
        <v>684</v>
      </c>
      <c r="D1708" s="4" t="s">
        <v>933</v>
      </c>
      <c r="E1708" s="4">
        <v>3</v>
      </c>
      <c r="F1708" s="4" t="s">
        <v>917</v>
      </c>
      <c r="G1708" s="4"/>
      <c r="H1708" s="4"/>
      <c r="I1708" s="4"/>
      <c r="J1708" s="4"/>
    </row>
    <row r="1709" spans="1:10" ht="15" customHeight="1" x14ac:dyDescent="0.2">
      <c r="A1709" s="4">
        <v>1708</v>
      </c>
      <c r="B1709" s="4">
        <v>1327</v>
      </c>
      <c r="C1709" s="4" t="s">
        <v>684</v>
      </c>
      <c r="D1709" s="4" t="s">
        <v>926</v>
      </c>
      <c r="E1709" s="4">
        <v>8</v>
      </c>
      <c r="F1709" s="4" t="s">
        <v>917</v>
      </c>
      <c r="G1709" s="4"/>
      <c r="H1709" s="4"/>
      <c r="I1709" s="4"/>
      <c r="J1709" s="4"/>
    </row>
    <row r="1710" spans="1:10" ht="15" customHeight="1" x14ac:dyDescent="0.2">
      <c r="A1710" s="4">
        <v>1709</v>
      </c>
      <c r="B1710" s="4">
        <v>1328</v>
      </c>
      <c r="C1710" s="4" t="s">
        <v>687</v>
      </c>
      <c r="D1710" s="4" t="s">
        <v>931</v>
      </c>
      <c r="E1710" s="4">
        <v>1</v>
      </c>
      <c r="F1710" s="4" t="s">
        <v>917</v>
      </c>
      <c r="G1710" s="4"/>
      <c r="H1710" s="4"/>
      <c r="I1710" s="4"/>
      <c r="J1710" s="4"/>
    </row>
    <row r="1711" spans="1:10" ht="15" customHeight="1" x14ac:dyDescent="0.2">
      <c r="A1711" s="4">
        <v>1710</v>
      </c>
      <c r="B1711" s="4">
        <v>1328</v>
      </c>
      <c r="C1711" s="4" t="s">
        <v>687</v>
      </c>
      <c r="D1711" s="4" t="s">
        <v>932</v>
      </c>
      <c r="E1711" s="4">
        <v>2</v>
      </c>
      <c r="F1711" s="4" t="s">
        <v>917</v>
      </c>
      <c r="G1711" s="4"/>
      <c r="H1711" s="4"/>
      <c r="I1711" s="4"/>
      <c r="J1711" s="4"/>
    </row>
    <row r="1712" spans="1:10" ht="27.75" customHeight="1" x14ac:dyDescent="0.2">
      <c r="A1712" s="4">
        <v>1711</v>
      </c>
      <c r="B1712" s="4">
        <v>1328</v>
      </c>
      <c r="C1712" s="4" t="s">
        <v>687</v>
      </c>
      <c r="D1712" s="4" t="s">
        <v>933</v>
      </c>
      <c r="E1712" s="4">
        <v>3</v>
      </c>
      <c r="F1712" s="4" t="s">
        <v>917</v>
      </c>
      <c r="G1712" s="4"/>
      <c r="H1712" s="4"/>
      <c r="I1712" s="4"/>
      <c r="J1712" s="4"/>
    </row>
    <row r="1713" spans="1:10" ht="15" customHeight="1" x14ac:dyDescent="0.2">
      <c r="A1713" s="4">
        <v>1712</v>
      </c>
      <c r="B1713" s="4">
        <v>1328</v>
      </c>
      <c r="C1713" s="4" t="s">
        <v>687</v>
      </c>
      <c r="D1713" s="4" t="s">
        <v>926</v>
      </c>
      <c r="E1713" s="4">
        <v>8</v>
      </c>
      <c r="F1713" s="4" t="s">
        <v>917</v>
      </c>
      <c r="G1713" s="4"/>
      <c r="H1713" s="4"/>
      <c r="I1713" s="4"/>
      <c r="J1713" s="4"/>
    </row>
    <row r="1714" spans="1:10" ht="15" customHeight="1" x14ac:dyDescent="0.2">
      <c r="A1714" s="4">
        <v>1713</v>
      </c>
      <c r="B1714" s="4">
        <v>1329</v>
      </c>
      <c r="C1714" s="4" t="s">
        <v>688</v>
      </c>
      <c r="D1714" s="4" t="s">
        <v>931</v>
      </c>
      <c r="E1714" s="4">
        <v>1</v>
      </c>
      <c r="F1714" s="4" t="s">
        <v>917</v>
      </c>
      <c r="G1714" s="4"/>
      <c r="H1714" s="4"/>
      <c r="I1714" s="4"/>
      <c r="J1714" s="4"/>
    </row>
    <row r="1715" spans="1:10" ht="15" customHeight="1" x14ac:dyDescent="0.2">
      <c r="A1715" s="4">
        <v>1714</v>
      </c>
      <c r="B1715" s="4">
        <v>1329</v>
      </c>
      <c r="C1715" s="4" t="s">
        <v>688</v>
      </c>
      <c r="D1715" s="4" t="s">
        <v>932</v>
      </c>
      <c r="E1715" s="4">
        <v>2</v>
      </c>
      <c r="F1715" s="4" t="s">
        <v>917</v>
      </c>
      <c r="G1715" s="4"/>
      <c r="H1715" s="4"/>
      <c r="I1715" s="4"/>
      <c r="J1715" s="4"/>
    </row>
    <row r="1716" spans="1:10" ht="27.75" customHeight="1" x14ac:dyDescent="0.2">
      <c r="A1716" s="4">
        <v>1715</v>
      </c>
      <c r="B1716" s="4">
        <v>1329</v>
      </c>
      <c r="C1716" s="4" t="s">
        <v>688</v>
      </c>
      <c r="D1716" s="4" t="s">
        <v>933</v>
      </c>
      <c r="E1716" s="4">
        <v>3</v>
      </c>
      <c r="F1716" s="4" t="s">
        <v>917</v>
      </c>
      <c r="G1716" s="4"/>
      <c r="H1716" s="4"/>
      <c r="I1716" s="4"/>
      <c r="J1716" s="4"/>
    </row>
    <row r="1717" spans="1:10" ht="15" customHeight="1" x14ac:dyDescent="0.2">
      <c r="A1717" s="4">
        <v>1716</v>
      </c>
      <c r="B1717" s="4">
        <v>1329</v>
      </c>
      <c r="C1717" s="4" t="s">
        <v>688</v>
      </c>
      <c r="D1717" s="4" t="s">
        <v>926</v>
      </c>
      <c r="E1717" s="4">
        <v>8</v>
      </c>
      <c r="F1717" s="4" t="s">
        <v>917</v>
      </c>
      <c r="G1717" s="4"/>
      <c r="H1717" s="4"/>
      <c r="I1717" s="4"/>
      <c r="J1717" s="4"/>
    </row>
    <row r="1718" spans="1:10" ht="15" customHeight="1" x14ac:dyDescent="0.2">
      <c r="A1718" s="4">
        <v>1717</v>
      </c>
      <c r="B1718" s="4">
        <v>1330</v>
      </c>
      <c r="C1718" s="4" t="s">
        <v>689</v>
      </c>
      <c r="D1718" s="4" t="s">
        <v>925</v>
      </c>
      <c r="E1718" s="4">
        <v>5</v>
      </c>
      <c r="F1718" s="4" t="s">
        <v>917</v>
      </c>
      <c r="G1718" s="4"/>
      <c r="H1718" s="4"/>
      <c r="I1718" s="4"/>
      <c r="J1718" s="4"/>
    </row>
    <row r="1719" spans="1:10" ht="15" customHeight="1" x14ac:dyDescent="0.2">
      <c r="A1719" s="4">
        <v>1718</v>
      </c>
      <c r="B1719" s="4">
        <v>1330</v>
      </c>
      <c r="C1719" s="4" t="s">
        <v>689</v>
      </c>
      <c r="D1719" s="4" t="s">
        <v>926</v>
      </c>
      <c r="E1719" s="4">
        <v>15</v>
      </c>
      <c r="F1719" s="4" t="s">
        <v>917</v>
      </c>
      <c r="G1719" s="4"/>
      <c r="H1719" s="4"/>
      <c r="I1719" s="4"/>
      <c r="J1719" s="4"/>
    </row>
    <row r="1720" spans="1:10" ht="15" customHeight="1" x14ac:dyDescent="0.2">
      <c r="A1720" s="4">
        <v>1719</v>
      </c>
      <c r="B1720" s="4">
        <v>1330</v>
      </c>
      <c r="C1720" s="4" t="s">
        <v>689</v>
      </c>
      <c r="D1720" s="4" t="s">
        <v>934</v>
      </c>
      <c r="E1720" s="4">
        <v>20</v>
      </c>
      <c r="F1720" s="4" t="s">
        <v>917</v>
      </c>
      <c r="G1720" s="4"/>
      <c r="H1720" s="4"/>
      <c r="I1720" s="4"/>
      <c r="J1720" s="4"/>
    </row>
    <row r="1721" spans="1:10" ht="15" customHeight="1" x14ac:dyDescent="0.2">
      <c r="A1721" s="4">
        <v>1720</v>
      </c>
      <c r="B1721" s="4">
        <v>1330</v>
      </c>
      <c r="C1721" s="4" t="s">
        <v>689</v>
      </c>
      <c r="D1721" s="4" t="s">
        <v>935</v>
      </c>
      <c r="E1721" s="4">
        <v>60</v>
      </c>
      <c r="F1721" s="4" t="s">
        <v>917</v>
      </c>
      <c r="G1721" s="4"/>
      <c r="H1721" s="4"/>
      <c r="I1721" s="4"/>
      <c r="J1721" s="4"/>
    </row>
    <row r="1722" spans="1:10" ht="15" customHeight="1" x14ac:dyDescent="0.2">
      <c r="A1722" s="4">
        <v>1721</v>
      </c>
      <c r="B1722" s="4">
        <v>1331</v>
      </c>
      <c r="C1722" s="4" t="s">
        <v>693</v>
      </c>
      <c r="D1722" s="4" t="s">
        <v>925</v>
      </c>
      <c r="E1722" s="4">
        <v>5</v>
      </c>
      <c r="F1722" s="4" t="s">
        <v>917</v>
      </c>
      <c r="G1722" s="4"/>
      <c r="H1722" s="4"/>
      <c r="I1722" s="4"/>
      <c r="J1722" s="4"/>
    </row>
    <row r="1723" spans="1:10" ht="15" customHeight="1" x14ac:dyDescent="0.2">
      <c r="A1723" s="4">
        <v>1722</v>
      </c>
      <c r="B1723" s="4">
        <v>1331</v>
      </c>
      <c r="C1723" s="4" t="s">
        <v>693</v>
      </c>
      <c r="D1723" s="4" t="s">
        <v>926</v>
      </c>
      <c r="E1723" s="4">
        <v>15</v>
      </c>
      <c r="F1723" s="4" t="s">
        <v>917</v>
      </c>
      <c r="G1723" s="4"/>
      <c r="H1723" s="4"/>
      <c r="I1723" s="4"/>
      <c r="J1723" s="4"/>
    </row>
    <row r="1724" spans="1:10" ht="15" customHeight="1" x14ac:dyDescent="0.2">
      <c r="A1724" s="4">
        <v>1723</v>
      </c>
      <c r="B1724" s="4">
        <v>1331</v>
      </c>
      <c r="C1724" s="4" t="s">
        <v>693</v>
      </c>
      <c r="D1724" s="4" t="s">
        <v>934</v>
      </c>
      <c r="E1724" s="4">
        <v>20</v>
      </c>
      <c r="F1724" s="4" t="s">
        <v>917</v>
      </c>
      <c r="G1724" s="4"/>
      <c r="H1724" s="4"/>
      <c r="I1724" s="4"/>
      <c r="J1724" s="4"/>
    </row>
    <row r="1725" spans="1:10" ht="15" customHeight="1" x14ac:dyDescent="0.2">
      <c r="A1725" s="4">
        <v>1724</v>
      </c>
      <c r="B1725" s="4">
        <v>1331</v>
      </c>
      <c r="C1725" s="4" t="s">
        <v>693</v>
      </c>
      <c r="D1725" s="4" t="s">
        <v>935</v>
      </c>
      <c r="E1725" s="4">
        <v>60</v>
      </c>
      <c r="F1725" s="4" t="s">
        <v>917</v>
      </c>
      <c r="G1725" s="4"/>
      <c r="H1725" s="4"/>
      <c r="I1725" s="4"/>
      <c r="J1725" s="4"/>
    </row>
    <row r="1726" spans="1:10" ht="15" customHeight="1" x14ac:dyDescent="0.2">
      <c r="A1726" s="4">
        <v>1725</v>
      </c>
      <c r="B1726" s="4">
        <v>1332</v>
      </c>
      <c r="C1726" s="4" t="s">
        <v>694</v>
      </c>
      <c r="D1726" s="4" t="s">
        <v>925</v>
      </c>
      <c r="E1726" s="4">
        <v>5</v>
      </c>
      <c r="F1726" s="4" t="s">
        <v>917</v>
      </c>
      <c r="G1726" s="4"/>
      <c r="H1726" s="4"/>
      <c r="I1726" s="4"/>
      <c r="J1726" s="4"/>
    </row>
    <row r="1727" spans="1:10" ht="15" customHeight="1" x14ac:dyDescent="0.2">
      <c r="A1727" s="4">
        <v>1726</v>
      </c>
      <c r="B1727" s="4">
        <v>1332</v>
      </c>
      <c r="C1727" s="4" t="s">
        <v>694</v>
      </c>
      <c r="D1727" s="4" t="s">
        <v>926</v>
      </c>
      <c r="E1727" s="4">
        <v>15</v>
      </c>
      <c r="F1727" s="4" t="s">
        <v>917</v>
      </c>
      <c r="G1727" s="4"/>
      <c r="H1727" s="4"/>
      <c r="I1727" s="4"/>
      <c r="J1727" s="4"/>
    </row>
    <row r="1728" spans="1:10" ht="15" customHeight="1" x14ac:dyDescent="0.2">
      <c r="A1728" s="4">
        <v>1727</v>
      </c>
      <c r="B1728" s="4">
        <v>1332</v>
      </c>
      <c r="C1728" s="4" t="s">
        <v>694</v>
      </c>
      <c r="D1728" s="4" t="s">
        <v>934</v>
      </c>
      <c r="E1728" s="4">
        <v>20</v>
      </c>
      <c r="F1728" s="4" t="s">
        <v>917</v>
      </c>
      <c r="G1728" s="4"/>
      <c r="H1728" s="4"/>
      <c r="I1728" s="4"/>
      <c r="J1728" s="4"/>
    </row>
    <row r="1729" spans="1:10" ht="15" customHeight="1" x14ac:dyDescent="0.2">
      <c r="A1729" s="4">
        <v>1728</v>
      </c>
      <c r="B1729" s="4">
        <v>1332</v>
      </c>
      <c r="C1729" s="4" t="s">
        <v>694</v>
      </c>
      <c r="D1729" s="4" t="s">
        <v>935</v>
      </c>
      <c r="E1729" s="4">
        <v>60</v>
      </c>
      <c r="F1729" s="4" t="s">
        <v>917</v>
      </c>
      <c r="G1729" s="4"/>
      <c r="H1729" s="4"/>
      <c r="I1729" s="4"/>
      <c r="J1729" s="4"/>
    </row>
    <row r="1730" spans="1:10" ht="15" customHeight="1" x14ac:dyDescent="0.2">
      <c r="A1730" s="4">
        <v>1729</v>
      </c>
      <c r="B1730" s="4">
        <v>1333</v>
      </c>
      <c r="C1730" s="4" t="s">
        <v>695</v>
      </c>
      <c r="D1730" s="4" t="s">
        <v>925</v>
      </c>
      <c r="E1730" s="4">
        <v>5</v>
      </c>
      <c r="F1730" s="4" t="s">
        <v>917</v>
      </c>
      <c r="G1730" s="4"/>
      <c r="H1730" s="4"/>
      <c r="I1730" s="4"/>
      <c r="J1730" s="4"/>
    </row>
    <row r="1731" spans="1:10" ht="15" customHeight="1" x14ac:dyDescent="0.2">
      <c r="A1731" s="4">
        <v>1730</v>
      </c>
      <c r="B1731" s="4">
        <v>1333</v>
      </c>
      <c r="C1731" s="4" t="s">
        <v>695</v>
      </c>
      <c r="D1731" s="4" t="s">
        <v>926</v>
      </c>
      <c r="E1731" s="4">
        <v>15</v>
      </c>
      <c r="F1731" s="4" t="s">
        <v>917</v>
      </c>
      <c r="G1731" s="4"/>
      <c r="H1731" s="4"/>
      <c r="I1731" s="4"/>
      <c r="J1731" s="4"/>
    </row>
    <row r="1732" spans="1:10" ht="15" customHeight="1" x14ac:dyDescent="0.2">
      <c r="A1732" s="4">
        <v>1731</v>
      </c>
      <c r="B1732" s="4">
        <v>1333</v>
      </c>
      <c r="C1732" s="4" t="s">
        <v>695</v>
      </c>
      <c r="D1732" s="4" t="s">
        <v>934</v>
      </c>
      <c r="E1732" s="4">
        <v>20</v>
      </c>
      <c r="F1732" s="4" t="s">
        <v>917</v>
      </c>
      <c r="G1732" s="4"/>
      <c r="H1732" s="4"/>
      <c r="I1732" s="4"/>
      <c r="J1732" s="4"/>
    </row>
    <row r="1733" spans="1:10" ht="15" customHeight="1" x14ac:dyDescent="0.2">
      <c r="A1733" s="4">
        <v>1732</v>
      </c>
      <c r="B1733" s="4">
        <v>1333</v>
      </c>
      <c r="C1733" s="4" t="s">
        <v>695</v>
      </c>
      <c r="D1733" s="4" t="s">
        <v>935</v>
      </c>
      <c r="E1733" s="4">
        <v>60</v>
      </c>
      <c r="F1733" s="4" t="s">
        <v>917</v>
      </c>
      <c r="G1733" s="4"/>
      <c r="H1733" s="4"/>
      <c r="I1733" s="4"/>
      <c r="J1733" s="4"/>
    </row>
    <row r="1734" spans="1:10" ht="15" customHeight="1" x14ac:dyDescent="0.2">
      <c r="A1734" s="4">
        <v>1733</v>
      </c>
      <c r="B1734" s="4">
        <v>1334</v>
      </c>
      <c r="C1734" s="4" t="s">
        <v>697</v>
      </c>
      <c r="D1734" s="4" t="s">
        <v>925</v>
      </c>
      <c r="E1734" s="4">
        <v>5</v>
      </c>
      <c r="F1734" s="4" t="s">
        <v>917</v>
      </c>
      <c r="G1734" s="4"/>
      <c r="H1734" s="4"/>
      <c r="I1734" s="4"/>
      <c r="J1734" s="4"/>
    </row>
    <row r="1735" spans="1:10" ht="15" customHeight="1" x14ac:dyDescent="0.2">
      <c r="A1735" s="4">
        <v>1734</v>
      </c>
      <c r="B1735" s="4">
        <v>1334</v>
      </c>
      <c r="C1735" s="4" t="s">
        <v>697</v>
      </c>
      <c r="D1735" s="4" t="s">
        <v>926</v>
      </c>
      <c r="E1735" s="4">
        <v>15</v>
      </c>
      <c r="F1735" s="4" t="s">
        <v>917</v>
      </c>
      <c r="G1735" s="4"/>
      <c r="H1735" s="4"/>
      <c r="I1735" s="4"/>
      <c r="J1735" s="4"/>
    </row>
    <row r="1736" spans="1:10" ht="15" customHeight="1" x14ac:dyDescent="0.2">
      <c r="A1736" s="4">
        <v>1735</v>
      </c>
      <c r="B1736" s="4">
        <v>1334</v>
      </c>
      <c r="C1736" s="4" t="s">
        <v>697</v>
      </c>
      <c r="D1736" s="4" t="s">
        <v>934</v>
      </c>
      <c r="E1736" s="4">
        <v>20</v>
      </c>
      <c r="F1736" s="4" t="s">
        <v>917</v>
      </c>
      <c r="G1736" s="4"/>
      <c r="H1736" s="4"/>
      <c r="I1736" s="4"/>
      <c r="J1736" s="4"/>
    </row>
    <row r="1737" spans="1:10" ht="15" customHeight="1" x14ac:dyDescent="0.2">
      <c r="A1737" s="4">
        <v>1736</v>
      </c>
      <c r="B1737" s="4">
        <v>1334</v>
      </c>
      <c r="C1737" s="4" t="s">
        <v>697</v>
      </c>
      <c r="D1737" s="4" t="s">
        <v>935</v>
      </c>
      <c r="E1737" s="4">
        <v>60</v>
      </c>
      <c r="F1737" s="4" t="s">
        <v>917</v>
      </c>
      <c r="G1737" s="4"/>
      <c r="H1737" s="4"/>
      <c r="I1737" s="4"/>
      <c r="J1737" s="4"/>
    </row>
    <row r="1738" spans="1:10" ht="15" customHeight="1" x14ac:dyDescent="0.2">
      <c r="A1738" s="4">
        <v>1737</v>
      </c>
      <c r="B1738" s="4">
        <v>1335</v>
      </c>
      <c r="C1738" s="4" t="s">
        <v>698</v>
      </c>
      <c r="D1738" s="4" t="s">
        <v>925</v>
      </c>
      <c r="E1738" s="4">
        <v>5</v>
      </c>
      <c r="F1738" s="4" t="s">
        <v>917</v>
      </c>
      <c r="G1738" s="4"/>
      <c r="H1738" s="4"/>
      <c r="I1738" s="4"/>
      <c r="J1738" s="4"/>
    </row>
    <row r="1739" spans="1:10" ht="15" customHeight="1" x14ac:dyDescent="0.2">
      <c r="A1739" s="4">
        <v>1738</v>
      </c>
      <c r="B1739" s="4">
        <v>1335</v>
      </c>
      <c r="C1739" s="4" t="s">
        <v>698</v>
      </c>
      <c r="D1739" s="4" t="s">
        <v>926</v>
      </c>
      <c r="E1739" s="4">
        <v>15</v>
      </c>
      <c r="F1739" s="4" t="s">
        <v>917</v>
      </c>
      <c r="G1739" s="4"/>
      <c r="H1739" s="4"/>
      <c r="I1739" s="4"/>
      <c r="J1739" s="4"/>
    </row>
    <row r="1740" spans="1:10" ht="15" customHeight="1" x14ac:dyDescent="0.2">
      <c r="A1740" s="4">
        <v>1739</v>
      </c>
      <c r="B1740" s="4">
        <v>1335</v>
      </c>
      <c r="C1740" s="4" t="s">
        <v>698</v>
      </c>
      <c r="D1740" s="4" t="s">
        <v>934</v>
      </c>
      <c r="E1740" s="4">
        <v>20</v>
      </c>
      <c r="F1740" s="4" t="s">
        <v>917</v>
      </c>
      <c r="G1740" s="4"/>
      <c r="H1740" s="4"/>
      <c r="I1740" s="4"/>
      <c r="J1740" s="4"/>
    </row>
    <row r="1741" spans="1:10" ht="15" customHeight="1" x14ac:dyDescent="0.2">
      <c r="A1741" s="4">
        <v>1740</v>
      </c>
      <c r="B1741" s="4">
        <v>1335</v>
      </c>
      <c r="C1741" s="4" t="s">
        <v>698</v>
      </c>
      <c r="D1741" s="4" t="s">
        <v>935</v>
      </c>
      <c r="E1741" s="4">
        <v>60</v>
      </c>
      <c r="F1741" s="4" t="s">
        <v>917</v>
      </c>
      <c r="G1741" s="4"/>
      <c r="H1741" s="4"/>
      <c r="I1741" s="4"/>
      <c r="J1741" s="4"/>
    </row>
    <row r="1742" spans="1:10" ht="15" customHeight="1" x14ac:dyDescent="0.2">
      <c r="A1742" s="4">
        <v>1741</v>
      </c>
      <c r="B1742" s="4">
        <v>1336</v>
      </c>
      <c r="C1742" s="4" t="s">
        <v>699</v>
      </c>
      <c r="D1742" s="4" t="s">
        <v>925</v>
      </c>
      <c r="E1742" s="4">
        <v>5</v>
      </c>
      <c r="F1742" s="4" t="s">
        <v>917</v>
      </c>
      <c r="G1742" s="4"/>
      <c r="H1742" s="4"/>
      <c r="I1742" s="4"/>
      <c r="J1742" s="4"/>
    </row>
    <row r="1743" spans="1:10" ht="15" customHeight="1" x14ac:dyDescent="0.2">
      <c r="A1743" s="4">
        <v>1742</v>
      </c>
      <c r="B1743" s="4">
        <v>1336</v>
      </c>
      <c r="C1743" s="4" t="s">
        <v>699</v>
      </c>
      <c r="D1743" s="4" t="s">
        <v>926</v>
      </c>
      <c r="E1743" s="4">
        <v>15</v>
      </c>
      <c r="F1743" s="4" t="s">
        <v>917</v>
      </c>
      <c r="G1743" s="4"/>
      <c r="H1743" s="4"/>
      <c r="I1743" s="4"/>
      <c r="J1743" s="4"/>
    </row>
    <row r="1744" spans="1:10" ht="15" customHeight="1" x14ac:dyDescent="0.2">
      <c r="A1744" s="4">
        <v>1743</v>
      </c>
      <c r="B1744" s="4">
        <v>1336</v>
      </c>
      <c r="C1744" s="4" t="s">
        <v>699</v>
      </c>
      <c r="D1744" s="4" t="s">
        <v>934</v>
      </c>
      <c r="E1744" s="4">
        <v>20</v>
      </c>
      <c r="F1744" s="4" t="s">
        <v>917</v>
      </c>
      <c r="G1744" s="4"/>
      <c r="H1744" s="4"/>
      <c r="I1744" s="4"/>
      <c r="J1744" s="4"/>
    </row>
    <row r="1745" spans="1:10" ht="15" customHeight="1" x14ac:dyDescent="0.2">
      <c r="A1745" s="4">
        <v>1744</v>
      </c>
      <c r="B1745" s="4">
        <v>1336</v>
      </c>
      <c r="C1745" s="4" t="s">
        <v>699</v>
      </c>
      <c r="D1745" s="4" t="s">
        <v>935</v>
      </c>
      <c r="E1745" s="4">
        <v>60</v>
      </c>
      <c r="F1745" s="4" t="s">
        <v>917</v>
      </c>
      <c r="G1745" s="4"/>
      <c r="H1745" s="4"/>
      <c r="I1745" s="4"/>
      <c r="J1745" s="4"/>
    </row>
    <row r="1746" spans="1:10" ht="15" customHeight="1" x14ac:dyDescent="0.2">
      <c r="A1746" s="4">
        <v>1745</v>
      </c>
      <c r="B1746" s="4">
        <v>1337</v>
      </c>
      <c r="C1746" s="4" t="s">
        <v>700</v>
      </c>
      <c r="D1746" s="4" t="s">
        <v>925</v>
      </c>
      <c r="E1746" s="4">
        <v>5</v>
      </c>
      <c r="F1746" s="4" t="s">
        <v>917</v>
      </c>
      <c r="G1746" s="4"/>
      <c r="H1746" s="4"/>
      <c r="I1746" s="4"/>
      <c r="J1746" s="4"/>
    </row>
    <row r="1747" spans="1:10" ht="15" customHeight="1" x14ac:dyDescent="0.2">
      <c r="A1747" s="4">
        <v>1746</v>
      </c>
      <c r="B1747" s="4">
        <v>1337</v>
      </c>
      <c r="C1747" s="4" t="s">
        <v>700</v>
      </c>
      <c r="D1747" s="4" t="s">
        <v>926</v>
      </c>
      <c r="E1747" s="4">
        <v>15</v>
      </c>
      <c r="F1747" s="4" t="s">
        <v>917</v>
      </c>
      <c r="G1747" s="4"/>
      <c r="H1747" s="4"/>
      <c r="I1747" s="4"/>
      <c r="J1747" s="4"/>
    </row>
    <row r="1748" spans="1:10" ht="15" customHeight="1" x14ac:dyDescent="0.2">
      <c r="A1748" s="4">
        <v>1747</v>
      </c>
      <c r="B1748" s="4">
        <v>1337</v>
      </c>
      <c r="C1748" s="4" t="s">
        <v>700</v>
      </c>
      <c r="D1748" s="4" t="s">
        <v>934</v>
      </c>
      <c r="E1748" s="4">
        <v>20</v>
      </c>
      <c r="F1748" s="4" t="s">
        <v>917</v>
      </c>
      <c r="G1748" s="4"/>
      <c r="H1748" s="4"/>
      <c r="I1748" s="4"/>
      <c r="J1748" s="4"/>
    </row>
    <row r="1749" spans="1:10" ht="15" customHeight="1" x14ac:dyDescent="0.2">
      <c r="A1749" s="4">
        <v>1748</v>
      </c>
      <c r="B1749" s="4">
        <v>1337</v>
      </c>
      <c r="C1749" s="4" t="s">
        <v>700</v>
      </c>
      <c r="D1749" s="4" t="s">
        <v>935</v>
      </c>
      <c r="E1749" s="4">
        <v>60</v>
      </c>
      <c r="F1749" s="4" t="s">
        <v>917</v>
      </c>
      <c r="G1749" s="4"/>
      <c r="H1749" s="4"/>
      <c r="I1749" s="4"/>
      <c r="J1749" s="4"/>
    </row>
    <row r="1750" spans="1:10" ht="15" customHeight="1" x14ac:dyDescent="0.2">
      <c r="A1750" s="4">
        <v>1749</v>
      </c>
      <c r="B1750" s="4">
        <v>1338</v>
      </c>
      <c r="C1750" s="4" t="s">
        <v>701</v>
      </c>
      <c r="D1750" s="4" t="s">
        <v>925</v>
      </c>
      <c r="E1750" s="4">
        <v>5</v>
      </c>
      <c r="F1750" s="4" t="s">
        <v>917</v>
      </c>
      <c r="G1750" s="4"/>
      <c r="H1750" s="4"/>
      <c r="I1750" s="4"/>
      <c r="J1750" s="4"/>
    </row>
    <row r="1751" spans="1:10" ht="15" customHeight="1" x14ac:dyDescent="0.2">
      <c r="A1751" s="4">
        <v>1750</v>
      </c>
      <c r="B1751" s="4">
        <v>1338</v>
      </c>
      <c r="C1751" s="4" t="s">
        <v>701</v>
      </c>
      <c r="D1751" s="4" t="s">
        <v>926</v>
      </c>
      <c r="E1751" s="4">
        <v>15</v>
      </c>
      <c r="F1751" s="4" t="s">
        <v>917</v>
      </c>
      <c r="G1751" s="4"/>
      <c r="H1751" s="4"/>
      <c r="I1751" s="4"/>
      <c r="J1751" s="4"/>
    </row>
    <row r="1752" spans="1:10" ht="15" customHeight="1" x14ac:dyDescent="0.2">
      <c r="A1752" s="4">
        <v>1751</v>
      </c>
      <c r="B1752" s="4">
        <v>1338</v>
      </c>
      <c r="C1752" s="4" t="s">
        <v>701</v>
      </c>
      <c r="D1752" s="4" t="s">
        <v>934</v>
      </c>
      <c r="E1752" s="4">
        <v>20</v>
      </c>
      <c r="F1752" s="4" t="s">
        <v>917</v>
      </c>
      <c r="G1752" s="4"/>
      <c r="H1752" s="4"/>
      <c r="I1752" s="4"/>
      <c r="J1752" s="4"/>
    </row>
    <row r="1753" spans="1:10" ht="15" customHeight="1" x14ac:dyDescent="0.2">
      <c r="A1753" s="4">
        <v>1752</v>
      </c>
      <c r="B1753" s="4">
        <v>1338</v>
      </c>
      <c r="C1753" s="4" t="s">
        <v>701</v>
      </c>
      <c r="D1753" s="4" t="s">
        <v>935</v>
      </c>
      <c r="E1753" s="4">
        <v>60</v>
      </c>
      <c r="F1753" s="4" t="s">
        <v>917</v>
      </c>
      <c r="G1753" s="4"/>
      <c r="H1753" s="4"/>
      <c r="I1753" s="4"/>
      <c r="J1753" s="4"/>
    </row>
    <row r="1754" spans="1:10" ht="15" customHeight="1" x14ac:dyDescent="0.2">
      <c r="A1754" s="4">
        <v>1753</v>
      </c>
      <c r="B1754" s="4">
        <v>1339</v>
      </c>
      <c r="C1754" s="4" t="s">
        <v>702</v>
      </c>
      <c r="D1754" s="4" t="s">
        <v>925</v>
      </c>
      <c r="E1754" s="4">
        <v>5</v>
      </c>
      <c r="F1754" s="4" t="s">
        <v>917</v>
      </c>
      <c r="G1754" s="4"/>
      <c r="H1754" s="4"/>
      <c r="I1754" s="4"/>
      <c r="J1754" s="4"/>
    </row>
    <row r="1755" spans="1:10" ht="15" customHeight="1" x14ac:dyDescent="0.2">
      <c r="A1755" s="4">
        <v>1754</v>
      </c>
      <c r="B1755" s="4">
        <v>1339</v>
      </c>
      <c r="C1755" s="4" t="s">
        <v>702</v>
      </c>
      <c r="D1755" s="4" t="s">
        <v>926</v>
      </c>
      <c r="E1755" s="4">
        <v>15</v>
      </c>
      <c r="F1755" s="4" t="s">
        <v>917</v>
      </c>
      <c r="G1755" s="4"/>
      <c r="H1755" s="4"/>
      <c r="I1755" s="4"/>
      <c r="J1755" s="4"/>
    </row>
    <row r="1756" spans="1:10" ht="15" customHeight="1" x14ac:dyDescent="0.2">
      <c r="A1756" s="4">
        <v>1755</v>
      </c>
      <c r="B1756" s="4">
        <v>1339</v>
      </c>
      <c r="C1756" s="4" t="s">
        <v>702</v>
      </c>
      <c r="D1756" s="4" t="s">
        <v>934</v>
      </c>
      <c r="E1756" s="4">
        <v>20</v>
      </c>
      <c r="F1756" s="4" t="s">
        <v>917</v>
      </c>
      <c r="G1756" s="4"/>
      <c r="H1756" s="4"/>
      <c r="I1756" s="4"/>
      <c r="J1756" s="4"/>
    </row>
    <row r="1757" spans="1:10" ht="15" customHeight="1" x14ac:dyDescent="0.2">
      <c r="A1757" s="4">
        <v>1756</v>
      </c>
      <c r="B1757" s="4">
        <v>1339</v>
      </c>
      <c r="C1757" s="4" t="s">
        <v>702</v>
      </c>
      <c r="D1757" s="4" t="s">
        <v>935</v>
      </c>
      <c r="E1757" s="4">
        <v>60</v>
      </c>
      <c r="F1757" s="4" t="s">
        <v>917</v>
      </c>
      <c r="G1757" s="4"/>
      <c r="H1757" s="4"/>
      <c r="I1757" s="4"/>
      <c r="J1757" s="4"/>
    </row>
    <row r="1758" spans="1:10" ht="15" customHeight="1" x14ac:dyDescent="0.2">
      <c r="A1758" s="4">
        <v>1757</v>
      </c>
      <c r="B1758" s="4">
        <v>1340</v>
      </c>
      <c r="C1758" s="4" t="s">
        <v>703</v>
      </c>
      <c r="D1758" s="4" t="s">
        <v>925</v>
      </c>
      <c r="E1758" s="4">
        <v>5</v>
      </c>
      <c r="F1758" s="4" t="s">
        <v>917</v>
      </c>
      <c r="G1758" s="4"/>
      <c r="H1758" s="4"/>
      <c r="I1758" s="4"/>
      <c r="J1758" s="4"/>
    </row>
    <row r="1759" spans="1:10" ht="15" customHeight="1" x14ac:dyDescent="0.2">
      <c r="A1759" s="4">
        <v>1758</v>
      </c>
      <c r="B1759" s="4">
        <v>1340</v>
      </c>
      <c r="C1759" s="4" t="s">
        <v>703</v>
      </c>
      <c r="D1759" s="4" t="s">
        <v>926</v>
      </c>
      <c r="E1759" s="4">
        <v>15</v>
      </c>
      <c r="F1759" s="4" t="s">
        <v>917</v>
      </c>
      <c r="G1759" s="4"/>
      <c r="H1759" s="4"/>
      <c r="I1759" s="4"/>
      <c r="J1759" s="4"/>
    </row>
    <row r="1760" spans="1:10" ht="15" customHeight="1" x14ac:dyDescent="0.2">
      <c r="A1760" s="4">
        <v>1759</v>
      </c>
      <c r="B1760" s="4">
        <v>1340</v>
      </c>
      <c r="C1760" s="4" t="s">
        <v>703</v>
      </c>
      <c r="D1760" s="4" t="s">
        <v>934</v>
      </c>
      <c r="E1760" s="4">
        <v>20</v>
      </c>
      <c r="F1760" s="4" t="s">
        <v>917</v>
      </c>
      <c r="G1760" s="4"/>
      <c r="H1760" s="4"/>
      <c r="I1760" s="4"/>
      <c r="J1760" s="4"/>
    </row>
    <row r="1761" spans="1:10" ht="15" customHeight="1" x14ac:dyDescent="0.2">
      <c r="A1761" s="4">
        <v>1760</v>
      </c>
      <c r="B1761" s="4">
        <v>1340</v>
      </c>
      <c r="C1761" s="4" t="s">
        <v>703</v>
      </c>
      <c r="D1761" s="4" t="s">
        <v>935</v>
      </c>
      <c r="E1761" s="4">
        <v>60</v>
      </c>
      <c r="F1761" s="4" t="s">
        <v>917</v>
      </c>
      <c r="G1761" s="4"/>
      <c r="H1761" s="4"/>
      <c r="I1761" s="4"/>
      <c r="J1761" s="4"/>
    </row>
    <row r="1762" spans="1:10" ht="15" customHeight="1" x14ac:dyDescent="0.2">
      <c r="A1762" s="4">
        <v>1761</v>
      </c>
      <c r="B1762" s="4">
        <v>1341</v>
      </c>
      <c r="C1762" s="4" t="s">
        <v>704</v>
      </c>
      <c r="D1762" s="4" t="s">
        <v>925</v>
      </c>
      <c r="E1762" s="4">
        <v>5</v>
      </c>
      <c r="F1762" s="4" t="s">
        <v>917</v>
      </c>
      <c r="G1762" s="4"/>
      <c r="H1762" s="4"/>
      <c r="I1762" s="4"/>
      <c r="J1762" s="4"/>
    </row>
    <row r="1763" spans="1:10" ht="15" customHeight="1" x14ac:dyDescent="0.2">
      <c r="A1763" s="4">
        <v>1762</v>
      </c>
      <c r="B1763" s="4">
        <v>1341</v>
      </c>
      <c r="C1763" s="4" t="s">
        <v>704</v>
      </c>
      <c r="D1763" s="4" t="s">
        <v>926</v>
      </c>
      <c r="E1763" s="4">
        <v>15</v>
      </c>
      <c r="F1763" s="4" t="s">
        <v>917</v>
      </c>
      <c r="G1763" s="4"/>
      <c r="H1763" s="4"/>
      <c r="I1763" s="4"/>
      <c r="J1763" s="4"/>
    </row>
    <row r="1764" spans="1:10" ht="15" customHeight="1" x14ac:dyDescent="0.2">
      <c r="A1764" s="4">
        <v>1763</v>
      </c>
      <c r="B1764" s="4">
        <v>1341</v>
      </c>
      <c r="C1764" s="4" t="s">
        <v>704</v>
      </c>
      <c r="D1764" s="4" t="s">
        <v>934</v>
      </c>
      <c r="E1764" s="4">
        <v>20</v>
      </c>
      <c r="F1764" s="4" t="s">
        <v>917</v>
      </c>
      <c r="G1764" s="4"/>
      <c r="H1764" s="4"/>
      <c r="I1764" s="4"/>
      <c r="J1764" s="4"/>
    </row>
    <row r="1765" spans="1:10" ht="15" customHeight="1" x14ac:dyDescent="0.2">
      <c r="A1765" s="4">
        <v>1764</v>
      </c>
      <c r="B1765" s="4">
        <v>1341</v>
      </c>
      <c r="C1765" s="4" t="s">
        <v>704</v>
      </c>
      <c r="D1765" s="4" t="s">
        <v>935</v>
      </c>
      <c r="E1765" s="4">
        <v>60</v>
      </c>
      <c r="F1765" s="4" t="s">
        <v>917</v>
      </c>
      <c r="G1765" s="4"/>
      <c r="H1765" s="4"/>
      <c r="I1765" s="4"/>
      <c r="J1765" s="4"/>
    </row>
    <row r="1766" spans="1:10" ht="15" customHeight="1" x14ac:dyDescent="0.2">
      <c r="A1766" s="4">
        <v>1765</v>
      </c>
      <c r="B1766" s="4">
        <v>1342</v>
      </c>
      <c r="C1766" s="4" t="s">
        <v>705</v>
      </c>
      <c r="D1766" s="4" t="s">
        <v>925</v>
      </c>
      <c r="E1766" s="4">
        <v>5</v>
      </c>
      <c r="F1766" s="4" t="s">
        <v>917</v>
      </c>
      <c r="G1766" s="4"/>
      <c r="H1766" s="4"/>
      <c r="I1766" s="4"/>
      <c r="J1766" s="4"/>
    </row>
    <row r="1767" spans="1:10" ht="15" customHeight="1" x14ac:dyDescent="0.2">
      <c r="A1767" s="4">
        <v>1766</v>
      </c>
      <c r="B1767" s="4">
        <v>1342</v>
      </c>
      <c r="C1767" s="4" t="s">
        <v>705</v>
      </c>
      <c r="D1767" s="4" t="s">
        <v>926</v>
      </c>
      <c r="E1767" s="4">
        <v>15</v>
      </c>
      <c r="F1767" s="4" t="s">
        <v>917</v>
      </c>
      <c r="G1767" s="4"/>
      <c r="H1767" s="4"/>
      <c r="I1767" s="4"/>
      <c r="J1767" s="4"/>
    </row>
    <row r="1768" spans="1:10" ht="15" customHeight="1" x14ac:dyDescent="0.2">
      <c r="A1768" s="4">
        <v>1767</v>
      </c>
      <c r="B1768" s="4">
        <v>1342</v>
      </c>
      <c r="C1768" s="4" t="s">
        <v>705</v>
      </c>
      <c r="D1768" s="4" t="s">
        <v>934</v>
      </c>
      <c r="E1768" s="4">
        <v>20</v>
      </c>
      <c r="F1768" s="4" t="s">
        <v>917</v>
      </c>
      <c r="G1768" s="4"/>
      <c r="H1768" s="4"/>
      <c r="I1768" s="4"/>
      <c r="J1768" s="4"/>
    </row>
    <row r="1769" spans="1:10" ht="15" customHeight="1" x14ac:dyDescent="0.2">
      <c r="A1769" s="4">
        <v>1768</v>
      </c>
      <c r="B1769" s="4">
        <v>1342</v>
      </c>
      <c r="C1769" s="4" t="s">
        <v>705</v>
      </c>
      <c r="D1769" s="4" t="s">
        <v>935</v>
      </c>
      <c r="E1769" s="4">
        <v>60</v>
      </c>
      <c r="F1769" s="4" t="s">
        <v>917</v>
      </c>
      <c r="G1769" s="4"/>
      <c r="H1769" s="4"/>
      <c r="I1769" s="4"/>
      <c r="J1769" s="4"/>
    </row>
    <row r="1770" spans="1:10" ht="15" customHeight="1" x14ac:dyDescent="0.2">
      <c r="A1770" s="4">
        <v>1769</v>
      </c>
      <c r="B1770" s="4">
        <v>1343</v>
      </c>
      <c r="C1770" s="4" t="s">
        <v>707</v>
      </c>
      <c r="D1770" s="4" t="s">
        <v>925</v>
      </c>
      <c r="E1770" s="4">
        <v>5</v>
      </c>
      <c r="F1770" s="4" t="s">
        <v>917</v>
      </c>
      <c r="G1770" s="4"/>
      <c r="H1770" s="4"/>
      <c r="I1770" s="4"/>
      <c r="J1770" s="4"/>
    </row>
    <row r="1771" spans="1:10" ht="15" customHeight="1" x14ac:dyDescent="0.2">
      <c r="A1771" s="4">
        <v>1770</v>
      </c>
      <c r="B1771" s="4">
        <v>1343</v>
      </c>
      <c r="C1771" s="4" t="s">
        <v>707</v>
      </c>
      <c r="D1771" s="4" t="s">
        <v>926</v>
      </c>
      <c r="E1771" s="4">
        <v>15</v>
      </c>
      <c r="F1771" s="4" t="s">
        <v>917</v>
      </c>
      <c r="G1771" s="4"/>
      <c r="H1771" s="4"/>
      <c r="I1771" s="4"/>
      <c r="J1771" s="4"/>
    </row>
    <row r="1772" spans="1:10" ht="15" customHeight="1" x14ac:dyDescent="0.2">
      <c r="A1772" s="4">
        <v>1771</v>
      </c>
      <c r="B1772" s="4">
        <v>1343</v>
      </c>
      <c r="C1772" s="4" t="s">
        <v>707</v>
      </c>
      <c r="D1772" s="4" t="s">
        <v>934</v>
      </c>
      <c r="E1772" s="4">
        <v>20</v>
      </c>
      <c r="F1772" s="4" t="s">
        <v>917</v>
      </c>
      <c r="G1772" s="4"/>
      <c r="H1772" s="4"/>
      <c r="I1772" s="4"/>
      <c r="J1772" s="4"/>
    </row>
    <row r="1773" spans="1:10" ht="15" customHeight="1" x14ac:dyDescent="0.2">
      <c r="A1773" s="4">
        <v>1772</v>
      </c>
      <c r="B1773" s="4">
        <v>1343</v>
      </c>
      <c r="C1773" s="4" t="s">
        <v>707</v>
      </c>
      <c r="D1773" s="4" t="s">
        <v>935</v>
      </c>
      <c r="E1773" s="4">
        <v>60</v>
      </c>
      <c r="F1773" s="4" t="s">
        <v>917</v>
      </c>
      <c r="G1773" s="4"/>
      <c r="H1773" s="4"/>
      <c r="I1773" s="4"/>
      <c r="J1773" s="4"/>
    </row>
    <row r="1774" spans="1:10" ht="15" customHeight="1" x14ac:dyDescent="0.2">
      <c r="A1774" s="4">
        <v>1773</v>
      </c>
      <c r="B1774" s="4">
        <v>1344</v>
      </c>
      <c r="C1774" s="4" t="s">
        <v>708</v>
      </c>
      <c r="D1774" s="4" t="s">
        <v>925</v>
      </c>
      <c r="E1774" s="4">
        <v>5</v>
      </c>
      <c r="F1774" s="4" t="s">
        <v>917</v>
      </c>
      <c r="G1774" s="4"/>
      <c r="H1774" s="4"/>
      <c r="I1774" s="4"/>
      <c r="J1774" s="4"/>
    </row>
    <row r="1775" spans="1:10" ht="15" customHeight="1" x14ac:dyDescent="0.2">
      <c r="A1775" s="4">
        <v>1774</v>
      </c>
      <c r="B1775" s="4">
        <v>1344</v>
      </c>
      <c r="C1775" s="4" t="s">
        <v>708</v>
      </c>
      <c r="D1775" s="4" t="s">
        <v>926</v>
      </c>
      <c r="E1775" s="4">
        <v>15</v>
      </c>
      <c r="F1775" s="4" t="s">
        <v>917</v>
      </c>
      <c r="G1775" s="4"/>
      <c r="H1775" s="4"/>
      <c r="I1775" s="4"/>
      <c r="J1775" s="4"/>
    </row>
    <row r="1776" spans="1:10" ht="15" customHeight="1" x14ac:dyDescent="0.2">
      <c r="A1776" s="4">
        <v>1775</v>
      </c>
      <c r="B1776" s="4">
        <v>1344</v>
      </c>
      <c r="C1776" s="4" t="s">
        <v>708</v>
      </c>
      <c r="D1776" s="4" t="s">
        <v>934</v>
      </c>
      <c r="E1776" s="4">
        <v>20</v>
      </c>
      <c r="F1776" s="4" t="s">
        <v>917</v>
      </c>
      <c r="G1776" s="4"/>
      <c r="H1776" s="4"/>
      <c r="I1776" s="4"/>
      <c r="J1776" s="4"/>
    </row>
    <row r="1777" spans="1:10" ht="15" customHeight="1" x14ac:dyDescent="0.2">
      <c r="A1777" s="4">
        <v>1776</v>
      </c>
      <c r="B1777" s="4">
        <v>1344</v>
      </c>
      <c r="C1777" s="4" t="s">
        <v>708</v>
      </c>
      <c r="D1777" s="4" t="s">
        <v>935</v>
      </c>
      <c r="E1777" s="4">
        <v>60</v>
      </c>
      <c r="F1777" s="4" t="s">
        <v>917</v>
      </c>
      <c r="G1777" s="4"/>
      <c r="H1777" s="4"/>
      <c r="I1777" s="4"/>
      <c r="J1777" s="4"/>
    </row>
    <row r="1778" spans="1:10" ht="15" customHeight="1" x14ac:dyDescent="0.2">
      <c r="A1778" s="4">
        <v>1777</v>
      </c>
      <c r="B1778" s="4">
        <v>1345</v>
      </c>
      <c r="C1778" s="4" t="s">
        <v>709</v>
      </c>
      <c r="D1778" s="4" t="s">
        <v>936</v>
      </c>
      <c r="E1778" s="4">
        <v>100</v>
      </c>
      <c r="F1778" s="4" t="s">
        <v>917</v>
      </c>
      <c r="G1778" s="4"/>
      <c r="H1778" s="4"/>
      <c r="I1778" s="4"/>
      <c r="J1778" s="4"/>
    </row>
    <row r="1779" spans="1:10" ht="27.75" customHeight="1" x14ac:dyDescent="0.2">
      <c r="A1779" s="4">
        <v>1778</v>
      </c>
      <c r="B1779" s="4">
        <v>1345</v>
      </c>
      <c r="C1779" s="4" t="s">
        <v>709</v>
      </c>
      <c r="D1779" s="4" t="s">
        <v>937</v>
      </c>
      <c r="E1779" s="4">
        <v>150</v>
      </c>
      <c r="F1779" s="4" t="s">
        <v>917</v>
      </c>
      <c r="G1779" s="4"/>
      <c r="H1779" s="4"/>
      <c r="I1779" s="4"/>
      <c r="J1779" s="4"/>
    </row>
    <row r="1780" spans="1:10" ht="15" customHeight="1" x14ac:dyDescent="0.2">
      <c r="A1780" s="4">
        <v>1779</v>
      </c>
      <c r="B1780" s="4">
        <v>1345</v>
      </c>
      <c r="C1780" s="4" t="s">
        <v>709</v>
      </c>
      <c r="D1780" s="4" t="s">
        <v>938</v>
      </c>
      <c r="E1780" s="4">
        <v>200</v>
      </c>
      <c r="F1780" s="4" t="s">
        <v>917</v>
      </c>
      <c r="G1780" s="4"/>
      <c r="H1780" s="4"/>
      <c r="I1780" s="4"/>
      <c r="J1780" s="4"/>
    </row>
    <row r="1781" spans="1:10" ht="15" customHeight="1" x14ac:dyDescent="0.2">
      <c r="A1781" s="4">
        <v>1780</v>
      </c>
      <c r="B1781" s="4">
        <v>1345</v>
      </c>
      <c r="C1781" s="4" t="s">
        <v>709</v>
      </c>
      <c r="D1781" s="4" t="s">
        <v>939</v>
      </c>
      <c r="E1781" s="4">
        <v>250</v>
      </c>
      <c r="F1781" s="4" t="s">
        <v>917</v>
      </c>
      <c r="G1781" s="4"/>
      <c r="H1781" s="4"/>
      <c r="I1781" s="4"/>
      <c r="J1781" s="4"/>
    </row>
    <row r="1782" spans="1:10" ht="15" customHeight="1" x14ac:dyDescent="0.2">
      <c r="A1782" s="4">
        <v>1781</v>
      </c>
      <c r="B1782" s="4">
        <v>1346</v>
      </c>
      <c r="C1782" s="4" t="s">
        <v>712</v>
      </c>
      <c r="D1782" s="4" t="s">
        <v>936</v>
      </c>
      <c r="E1782" s="4">
        <v>100</v>
      </c>
      <c r="F1782" s="4" t="s">
        <v>917</v>
      </c>
      <c r="G1782" s="4"/>
      <c r="H1782" s="4"/>
      <c r="I1782" s="4"/>
      <c r="J1782" s="4"/>
    </row>
    <row r="1783" spans="1:10" ht="27.75" customHeight="1" x14ac:dyDescent="0.2">
      <c r="A1783" s="4">
        <v>1782</v>
      </c>
      <c r="B1783" s="4">
        <v>1346</v>
      </c>
      <c r="C1783" s="4" t="s">
        <v>712</v>
      </c>
      <c r="D1783" s="4" t="s">
        <v>937</v>
      </c>
      <c r="E1783" s="4">
        <v>150</v>
      </c>
      <c r="F1783" s="4" t="s">
        <v>917</v>
      </c>
      <c r="G1783" s="4"/>
      <c r="H1783" s="4"/>
      <c r="I1783" s="4"/>
      <c r="J1783" s="4"/>
    </row>
    <row r="1784" spans="1:10" ht="15" customHeight="1" x14ac:dyDescent="0.2">
      <c r="A1784" s="4">
        <v>1783</v>
      </c>
      <c r="B1784" s="4">
        <v>1346</v>
      </c>
      <c r="C1784" s="4" t="s">
        <v>712</v>
      </c>
      <c r="D1784" s="4" t="s">
        <v>938</v>
      </c>
      <c r="E1784" s="4">
        <v>200</v>
      </c>
      <c r="F1784" s="4" t="s">
        <v>917</v>
      </c>
      <c r="G1784" s="4"/>
      <c r="H1784" s="4"/>
      <c r="I1784" s="4"/>
      <c r="J1784" s="4"/>
    </row>
    <row r="1785" spans="1:10" ht="15" customHeight="1" x14ac:dyDescent="0.2">
      <c r="A1785" s="4">
        <v>1784</v>
      </c>
      <c r="B1785" s="4">
        <v>1346</v>
      </c>
      <c r="C1785" s="4" t="s">
        <v>712</v>
      </c>
      <c r="D1785" s="4" t="s">
        <v>939</v>
      </c>
      <c r="E1785" s="4">
        <v>250</v>
      </c>
      <c r="F1785" s="4" t="s">
        <v>917</v>
      </c>
      <c r="G1785" s="4"/>
      <c r="H1785" s="4"/>
      <c r="I1785" s="4"/>
      <c r="J1785" s="4"/>
    </row>
    <row r="1786" spans="1:10" ht="15" customHeight="1" x14ac:dyDescent="0.2">
      <c r="A1786" s="4">
        <v>1785</v>
      </c>
      <c r="B1786" s="4">
        <v>1347</v>
      </c>
      <c r="C1786" s="4" t="s">
        <v>713</v>
      </c>
      <c r="D1786" s="4" t="s">
        <v>936</v>
      </c>
      <c r="E1786" s="4">
        <v>100</v>
      </c>
      <c r="F1786" s="4" t="s">
        <v>917</v>
      </c>
      <c r="G1786" s="4"/>
      <c r="H1786" s="4"/>
      <c r="I1786" s="4"/>
      <c r="J1786" s="4"/>
    </row>
    <row r="1787" spans="1:10" ht="27.75" customHeight="1" x14ac:dyDescent="0.2">
      <c r="A1787" s="4">
        <v>1786</v>
      </c>
      <c r="B1787" s="4">
        <v>1347</v>
      </c>
      <c r="C1787" s="4" t="s">
        <v>713</v>
      </c>
      <c r="D1787" s="4" t="s">
        <v>937</v>
      </c>
      <c r="E1787" s="4">
        <v>150</v>
      </c>
      <c r="F1787" s="4" t="s">
        <v>917</v>
      </c>
      <c r="G1787" s="4"/>
      <c r="H1787" s="4"/>
      <c r="I1787" s="4"/>
      <c r="J1787" s="4"/>
    </row>
    <row r="1788" spans="1:10" ht="15" customHeight="1" x14ac:dyDescent="0.2">
      <c r="A1788" s="4">
        <v>1787</v>
      </c>
      <c r="B1788" s="4">
        <v>1347</v>
      </c>
      <c r="C1788" s="4" t="s">
        <v>713</v>
      </c>
      <c r="D1788" s="4" t="s">
        <v>938</v>
      </c>
      <c r="E1788" s="4">
        <v>200</v>
      </c>
      <c r="F1788" s="4" t="s">
        <v>917</v>
      </c>
      <c r="G1788" s="4"/>
      <c r="H1788" s="4"/>
      <c r="I1788" s="4"/>
      <c r="J1788" s="4"/>
    </row>
    <row r="1789" spans="1:10" ht="15" customHeight="1" x14ac:dyDescent="0.2">
      <c r="A1789" s="4">
        <v>1788</v>
      </c>
      <c r="B1789" s="4">
        <v>1347</v>
      </c>
      <c r="C1789" s="4" t="s">
        <v>713</v>
      </c>
      <c r="D1789" s="4" t="s">
        <v>939</v>
      </c>
      <c r="E1789" s="4">
        <v>250</v>
      </c>
      <c r="F1789" s="4" t="s">
        <v>917</v>
      </c>
      <c r="G1789" s="4"/>
      <c r="H1789" s="4"/>
      <c r="I1789" s="4"/>
      <c r="J1789" s="4"/>
    </row>
    <row r="1790" spans="1:10" ht="15" customHeight="1" x14ac:dyDescent="0.2">
      <c r="A1790" s="4">
        <v>1789</v>
      </c>
      <c r="B1790" s="4">
        <v>1348</v>
      </c>
      <c r="C1790" s="4" t="s">
        <v>714</v>
      </c>
      <c r="D1790" s="4" t="s">
        <v>936</v>
      </c>
      <c r="E1790" s="4">
        <v>100</v>
      </c>
      <c r="F1790" s="4" t="s">
        <v>917</v>
      </c>
      <c r="G1790" s="4"/>
      <c r="H1790" s="4"/>
      <c r="I1790" s="4"/>
      <c r="J1790" s="4"/>
    </row>
    <row r="1791" spans="1:10" ht="27.75" customHeight="1" x14ac:dyDescent="0.2">
      <c r="A1791" s="4">
        <v>1790</v>
      </c>
      <c r="B1791" s="4">
        <v>1348</v>
      </c>
      <c r="C1791" s="4" t="s">
        <v>714</v>
      </c>
      <c r="D1791" s="4" t="s">
        <v>937</v>
      </c>
      <c r="E1791" s="4">
        <v>150</v>
      </c>
      <c r="F1791" s="4" t="s">
        <v>917</v>
      </c>
      <c r="G1791" s="4"/>
      <c r="H1791" s="4"/>
      <c r="I1791" s="4"/>
      <c r="J1791" s="4"/>
    </row>
    <row r="1792" spans="1:10" ht="15" customHeight="1" x14ac:dyDescent="0.2">
      <c r="A1792" s="4">
        <v>1791</v>
      </c>
      <c r="B1792" s="4">
        <v>1348</v>
      </c>
      <c r="C1792" s="4" t="s">
        <v>714</v>
      </c>
      <c r="D1792" s="4" t="s">
        <v>938</v>
      </c>
      <c r="E1792" s="4">
        <v>200</v>
      </c>
      <c r="F1792" s="4" t="s">
        <v>917</v>
      </c>
      <c r="G1792" s="4"/>
      <c r="H1792" s="4"/>
      <c r="I1792" s="4"/>
      <c r="J1792" s="4"/>
    </row>
    <row r="1793" spans="1:10" ht="15" customHeight="1" x14ac:dyDescent="0.2">
      <c r="A1793" s="4">
        <v>1792</v>
      </c>
      <c r="B1793" s="4">
        <v>1348</v>
      </c>
      <c r="C1793" s="4" t="s">
        <v>714</v>
      </c>
      <c r="D1793" s="4" t="s">
        <v>939</v>
      </c>
      <c r="E1793" s="4">
        <v>250</v>
      </c>
      <c r="F1793" s="4" t="s">
        <v>917</v>
      </c>
      <c r="G1793" s="4"/>
      <c r="H1793" s="4"/>
      <c r="I1793" s="4"/>
      <c r="J1793" s="4"/>
    </row>
    <row r="1794" spans="1:10" ht="15" customHeight="1" x14ac:dyDescent="0.2">
      <c r="A1794" s="4">
        <v>1793</v>
      </c>
      <c r="B1794" s="4">
        <v>1349</v>
      </c>
      <c r="C1794" s="4" t="s">
        <v>715</v>
      </c>
      <c r="D1794" s="4" t="s">
        <v>936</v>
      </c>
      <c r="E1794" s="4">
        <v>100</v>
      </c>
      <c r="F1794" s="4" t="s">
        <v>917</v>
      </c>
      <c r="G1794" s="4"/>
      <c r="H1794" s="4"/>
      <c r="I1794" s="4"/>
      <c r="J1794" s="4"/>
    </row>
    <row r="1795" spans="1:10" ht="27.75" customHeight="1" x14ac:dyDescent="0.2">
      <c r="A1795" s="4">
        <v>1794</v>
      </c>
      <c r="B1795" s="4">
        <v>1349</v>
      </c>
      <c r="C1795" s="4" t="s">
        <v>715</v>
      </c>
      <c r="D1795" s="4" t="s">
        <v>937</v>
      </c>
      <c r="E1795" s="4">
        <v>150</v>
      </c>
      <c r="F1795" s="4" t="s">
        <v>917</v>
      </c>
      <c r="G1795" s="4"/>
      <c r="H1795" s="4"/>
      <c r="I1795" s="4"/>
      <c r="J1795" s="4"/>
    </row>
    <row r="1796" spans="1:10" ht="15" customHeight="1" x14ac:dyDescent="0.2">
      <c r="A1796" s="4">
        <v>1795</v>
      </c>
      <c r="B1796" s="4">
        <v>1349</v>
      </c>
      <c r="C1796" s="4" t="s">
        <v>715</v>
      </c>
      <c r="D1796" s="4" t="s">
        <v>938</v>
      </c>
      <c r="E1796" s="4">
        <v>200</v>
      </c>
      <c r="F1796" s="4" t="s">
        <v>917</v>
      </c>
      <c r="G1796" s="4"/>
      <c r="H1796" s="4"/>
      <c r="I1796" s="4"/>
      <c r="J1796" s="4"/>
    </row>
    <row r="1797" spans="1:10" ht="15" customHeight="1" x14ac:dyDescent="0.2">
      <c r="A1797" s="4">
        <v>1796</v>
      </c>
      <c r="B1797" s="4">
        <v>1349</v>
      </c>
      <c r="C1797" s="4" t="s">
        <v>715</v>
      </c>
      <c r="D1797" s="4" t="s">
        <v>939</v>
      </c>
      <c r="E1797" s="4">
        <v>250</v>
      </c>
      <c r="F1797" s="4" t="s">
        <v>917</v>
      </c>
      <c r="G1797" s="4"/>
      <c r="H1797" s="4"/>
      <c r="I1797" s="4"/>
      <c r="J1797" s="4"/>
    </row>
    <row r="1798" spans="1:10" ht="15" customHeight="1" x14ac:dyDescent="0.2">
      <c r="A1798" s="4">
        <v>1797</v>
      </c>
      <c r="B1798" s="4">
        <v>1350</v>
      </c>
      <c r="C1798" s="4" t="s">
        <v>716</v>
      </c>
      <c r="D1798" s="4" t="s">
        <v>936</v>
      </c>
      <c r="E1798" s="4">
        <v>100</v>
      </c>
      <c r="F1798" s="4" t="s">
        <v>917</v>
      </c>
      <c r="G1798" s="4"/>
      <c r="H1798" s="4"/>
      <c r="I1798" s="4"/>
      <c r="J1798" s="4"/>
    </row>
    <row r="1799" spans="1:10" ht="27.75" customHeight="1" x14ac:dyDescent="0.2">
      <c r="A1799" s="4">
        <v>1798</v>
      </c>
      <c r="B1799" s="4">
        <v>1350</v>
      </c>
      <c r="C1799" s="4" t="s">
        <v>716</v>
      </c>
      <c r="D1799" s="4" t="s">
        <v>937</v>
      </c>
      <c r="E1799" s="4">
        <v>150</v>
      </c>
      <c r="F1799" s="4" t="s">
        <v>917</v>
      </c>
      <c r="G1799" s="4"/>
      <c r="H1799" s="4"/>
      <c r="I1799" s="4"/>
      <c r="J1799" s="4"/>
    </row>
    <row r="1800" spans="1:10" ht="15" customHeight="1" x14ac:dyDescent="0.2">
      <c r="A1800" s="4">
        <v>1799</v>
      </c>
      <c r="B1800" s="4">
        <v>1350</v>
      </c>
      <c r="C1800" s="4" t="s">
        <v>716</v>
      </c>
      <c r="D1800" s="4" t="s">
        <v>938</v>
      </c>
      <c r="E1800" s="4">
        <v>200</v>
      </c>
      <c r="F1800" s="4" t="s">
        <v>917</v>
      </c>
      <c r="G1800" s="4"/>
      <c r="H1800" s="4"/>
      <c r="I1800" s="4"/>
      <c r="J1800" s="4"/>
    </row>
    <row r="1801" spans="1:10" ht="15" customHeight="1" x14ac:dyDescent="0.2">
      <c r="A1801" s="4">
        <v>1800</v>
      </c>
      <c r="B1801" s="4">
        <v>1350</v>
      </c>
      <c r="C1801" s="4" t="s">
        <v>716</v>
      </c>
      <c r="D1801" s="4" t="s">
        <v>939</v>
      </c>
      <c r="E1801" s="4">
        <v>250</v>
      </c>
      <c r="F1801" s="4" t="s">
        <v>917</v>
      </c>
      <c r="G1801" s="4"/>
      <c r="H1801" s="4"/>
      <c r="I1801" s="4"/>
      <c r="J1801" s="4"/>
    </row>
    <row r="1802" spans="1:10" ht="15" customHeight="1" x14ac:dyDescent="0.2">
      <c r="A1802" s="4">
        <v>1801</v>
      </c>
      <c r="B1802" s="4">
        <v>1351</v>
      </c>
      <c r="C1802" s="4" t="s">
        <v>717</v>
      </c>
      <c r="D1802" s="4" t="s">
        <v>936</v>
      </c>
      <c r="E1802" s="4">
        <v>100</v>
      </c>
      <c r="F1802" s="4" t="s">
        <v>917</v>
      </c>
      <c r="G1802" s="4"/>
      <c r="H1802" s="4"/>
      <c r="I1802" s="4"/>
      <c r="J1802" s="4"/>
    </row>
    <row r="1803" spans="1:10" ht="27.75" customHeight="1" x14ac:dyDescent="0.2">
      <c r="A1803" s="4">
        <v>1802</v>
      </c>
      <c r="B1803" s="4">
        <v>1351</v>
      </c>
      <c r="C1803" s="4" t="s">
        <v>717</v>
      </c>
      <c r="D1803" s="4" t="s">
        <v>937</v>
      </c>
      <c r="E1803" s="4">
        <v>150</v>
      </c>
      <c r="F1803" s="4" t="s">
        <v>917</v>
      </c>
      <c r="G1803" s="4"/>
      <c r="H1803" s="4"/>
      <c r="I1803" s="4"/>
      <c r="J1803" s="4"/>
    </row>
    <row r="1804" spans="1:10" ht="15" customHeight="1" x14ac:dyDescent="0.2">
      <c r="A1804" s="4">
        <v>1803</v>
      </c>
      <c r="B1804" s="4">
        <v>1351</v>
      </c>
      <c r="C1804" s="4" t="s">
        <v>717</v>
      </c>
      <c r="D1804" s="4" t="s">
        <v>938</v>
      </c>
      <c r="E1804" s="4">
        <v>200</v>
      </c>
      <c r="F1804" s="4" t="s">
        <v>917</v>
      </c>
      <c r="G1804" s="4"/>
      <c r="H1804" s="4"/>
      <c r="I1804" s="4"/>
      <c r="J1804" s="4"/>
    </row>
    <row r="1805" spans="1:10" ht="15" customHeight="1" x14ac:dyDescent="0.2">
      <c r="A1805" s="4">
        <v>1804</v>
      </c>
      <c r="B1805" s="4">
        <v>1351</v>
      </c>
      <c r="C1805" s="4" t="s">
        <v>717</v>
      </c>
      <c r="D1805" s="4" t="s">
        <v>939</v>
      </c>
      <c r="E1805" s="4">
        <v>250</v>
      </c>
      <c r="F1805" s="4" t="s">
        <v>917</v>
      </c>
      <c r="G1805" s="4"/>
      <c r="H1805" s="4"/>
      <c r="I1805" s="4"/>
      <c r="J1805" s="4"/>
    </row>
    <row r="1806" spans="1:10" ht="15" customHeight="1" x14ac:dyDescent="0.2">
      <c r="A1806" s="4">
        <v>1805</v>
      </c>
      <c r="B1806" s="4">
        <v>1352</v>
      </c>
      <c r="C1806" s="4" t="s">
        <v>719</v>
      </c>
      <c r="D1806" s="4" t="s">
        <v>936</v>
      </c>
      <c r="E1806" s="4">
        <v>100</v>
      </c>
      <c r="F1806" s="4" t="s">
        <v>917</v>
      </c>
      <c r="G1806" s="4"/>
      <c r="H1806" s="4"/>
      <c r="I1806" s="4"/>
      <c r="J1806" s="4"/>
    </row>
    <row r="1807" spans="1:10" ht="27.75" customHeight="1" x14ac:dyDescent="0.2">
      <c r="A1807" s="4">
        <v>1806</v>
      </c>
      <c r="B1807" s="4">
        <v>1352</v>
      </c>
      <c r="C1807" s="4" t="s">
        <v>719</v>
      </c>
      <c r="D1807" s="4" t="s">
        <v>937</v>
      </c>
      <c r="E1807" s="4">
        <v>150</v>
      </c>
      <c r="F1807" s="4" t="s">
        <v>917</v>
      </c>
      <c r="G1807" s="4"/>
      <c r="H1807" s="4"/>
      <c r="I1807" s="4"/>
      <c r="J1807" s="4"/>
    </row>
    <row r="1808" spans="1:10" ht="15" customHeight="1" x14ac:dyDescent="0.2">
      <c r="A1808" s="4">
        <v>1807</v>
      </c>
      <c r="B1808" s="4">
        <v>1352</v>
      </c>
      <c r="C1808" s="4" t="s">
        <v>719</v>
      </c>
      <c r="D1808" s="4" t="s">
        <v>938</v>
      </c>
      <c r="E1808" s="4">
        <v>200</v>
      </c>
      <c r="F1808" s="4" t="s">
        <v>917</v>
      </c>
      <c r="G1808" s="4"/>
      <c r="H1808" s="4"/>
      <c r="I1808" s="4"/>
      <c r="J1808" s="4"/>
    </row>
    <row r="1809" spans="1:10" ht="15" customHeight="1" x14ac:dyDescent="0.2">
      <c r="A1809" s="4">
        <v>1808</v>
      </c>
      <c r="B1809" s="4">
        <v>1352</v>
      </c>
      <c r="C1809" s="4" t="s">
        <v>719</v>
      </c>
      <c r="D1809" s="4" t="s">
        <v>939</v>
      </c>
      <c r="E1809" s="4">
        <v>250</v>
      </c>
      <c r="F1809" s="4" t="s">
        <v>917</v>
      </c>
      <c r="G1809" s="4"/>
      <c r="H1809" s="4"/>
      <c r="I1809" s="4"/>
      <c r="J1809" s="4"/>
    </row>
    <row r="1810" spans="1:10" ht="15" customHeight="1" x14ac:dyDescent="0.2">
      <c r="A1810" s="4">
        <v>1809</v>
      </c>
      <c r="B1810" s="4">
        <v>1353</v>
      </c>
      <c r="C1810" s="4" t="s">
        <v>720</v>
      </c>
      <c r="D1810" s="4" t="s">
        <v>936</v>
      </c>
      <c r="E1810" s="4">
        <v>100</v>
      </c>
      <c r="F1810" s="4" t="s">
        <v>917</v>
      </c>
      <c r="G1810" s="4"/>
      <c r="H1810" s="4"/>
      <c r="I1810" s="4"/>
      <c r="J1810" s="4"/>
    </row>
    <row r="1811" spans="1:10" ht="27.75" customHeight="1" x14ac:dyDescent="0.2">
      <c r="A1811" s="4">
        <v>1810</v>
      </c>
      <c r="B1811" s="4">
        <v>1353</v>
      </c>
      <c r="C1811" s="4" t="s">
        <v>720</v>
      </c>
      <c r="D1811" s="4" t="s">
        <v>937</v>
      </c>
      <c r="E1811" s="4">
        <v>150</v>
      </c>
      <c r="F1811" s="4" t="s">
        <v>917</v>
      </c>
      <c r="G1811" s="4"/>
      <c r="H1811" s="4"/>
      <c r="I1811" s="4"/>
      <c r="J1811" s="4"/>
    </row>
    <row r="1812" spans="1:10" ht="15" customHeight="1" x14ac:dyDescent="0.2">
      <c r="A1812" s="4">
        <v>1811</v>
      </c>
      <c r="B1812" s="4">
        <v>1353</v>
      </c>
      <c r="C1812" s="4" t="s">
        <v>720</v>
      </c>
      <c r="D1812" s="4" t="s">
        <v>938</v>
      </c>
      <c r="E1812" s="4">
        <v>200</v>
      </c>
      <c r="F1812" s="4" t="s">
        <v>917</v>
      </c>
      <c r="G1812" s="4"/>
      <c r="H1812" s="4"/>
      <c r="I1812" s="4"/>
      <c r="J1812" s="4"/>
    </row>
    <row r="1813" spans="1:10" ht="15" customHeight="1" x14ac:dyDescent="0.2">
      <c r="A1813" s="4">
        <v>1812</v>
      </c>
      <c r="B1813" s="4">
        <v>1353</v>
      </c>
      <c r="C1813" s="4" t="s">
        <v>720</v>
      </c>
      <c r="D1813" s="4" t="s">
        <v>939</v>
      </c>
      <c r="E1813" s="4">
        <v>250</v>
      </c>
      <c r="F1813" s="4" t="s">
        <v>917</v>
      </c>
      <c r="G1813" s="4"/>
      <c r="H1813" s="4"/>
      <c r="I1813" s="4"/>
      <c r="J1813" s="4"/>
    </row>
    <row r="1814" spans="1:10" ht="15" customHeight="1" x14ac:dyDescent="0.2">
      <c r="A1814" s="4">
        <v>1813</v>
      </c>
      <c r="B1814" s="4">
        <v>1354</v>
      </c>
      <c r="C1814" s="4" t="s">
        <v>721</v>
      </c>
      <c r="D1814" s="4" t="s">
        <v>936</v>
      </c>
      <c r="E1814" s="4">
        <v>100</v>
      </c>
      <c r="F1814" s="4" t="s">
        <v>917</v>
      </c>
      <c r="G1814" s="4"/>
      <c r="H1814" s="4"/>
      <c r="I1814" s="4"/>
      <c r="J1814" s="4"/>
    </row>
    <row r="1815" spans="1:10" ht="27.75" customHeight="1" x14ac:dyDescent="0.2">
      <c r="A1815" s="4">
        <v>1814</v>
      </c>
      <c r="B1815" s="4">
        <v>1354</v>
      </c>
      <c r="C1815" s="4" t="s">
        <v>721</v>
      </c>
      <c r="D1815" s="4" t="s">
        <v>937</v>
      </c>
      <c r="E1815" s="4">
        <v>150</v>
      </c>
      <c r="F1815" s="4" t="s">
        <v>917</v>
      </c>
      <c r="G1815" s="4"/>
      <c r="H1815" s="4"/>
      <c r="I1815" s="4"/>
      <c r="J1815" s="4"/>
    </row>
    <row r="1816" spans="1:10" ht="15" customHeight="1" x14ac:dyDescent="0.2">
      <c r="A1816" s="4">
        <v>1815</v>
      </c>
      <c r="B1816" s="4">
        <v>1354</v>
      </c>
      <c r="C1816" s="4" t="s">
        <v>721</v>
      </c>
      <c r="D1816" s="4" t="s">
        <v>938</v>
      </c>
      <c r="E1816" s="4">
        <v>200</v>
      </c>
      <c r="F1816" s="4" t="s">
        <v>917</v>
      </c>
      <c r="G1816" s="4"/>
      <c r="H1816" s="4"/>
      <c r="I1816" s="4"/>
      <c r="J1816" s="4"/>
    </row>
    <row r="1817" spans="1:10" ht="15" customHeight="1" x14ac:dyDescent="0.2">
      <c r="A1817" s="4">
        <v>1816</v>
      </c>
      <c r="B1817" s="4">
        <v>1354</v>
      </c>
      <c r="C1817" s="4" t="s">
        <v>721</v>
      </c>
      <c r="D1817" s="4" t="s">
        <v>939</v>
      </c>
      <c r="E1817" s="4">
        <v>250</v>
      </c>
      <c r="F1817" s="4" t="s">
        <v>917</v>
      </c>
      <c r="G1817" s="4"/>
      <c r="H1817" s="4"/>
      <c r="I1817" s="4"/>
      <c r="J1817" s="4"/>
    </row>
    <row r="1818" spans="1:10" ht="15" customHeight="1" x14ac:dyDescent="0.2">
      <c r="A1818" s="4">
        <v>1817</v>
      </c>
      <c r="B1818" s="4">
        <v>1355</v>
      </c>
      <c r="C1818" s="4" t="s">
        <v>722</v>
      </c>
      <c r="D1818" s="4" t="s">
        <v>936</v>
      </c>
      <c r="E1818" s="4">
        <v>100</v>
      </c>
      <c r="F1818" s="4" t="s">
        <v>917</v>
      </c>
      <c r="G1818" s="4"/>
      <c r="H1818" s="4"/>
      <c r="I1818" s="4"/>
      <c r="J1818" s="4"/>
    </row>
    <row r="1819" spans="1:10" ht="27.75" customHeight="1" x14ac:dyDescent="0.2">
      <c r="A1819" s="4">
        <v>1818</v>
      </c>
      <c r="B1819" s="4">
        <v>1355</v>
      </c>
      <c r="C1819" s="4" t="s">
        <v>722</v>
      </c>
      <c r="D1819" s="4" t="s">
        <v>937</v>
      </c>
      <c r="E1819" s="4">
        <v>150</v>
      </c>
      <c r="F1819" s="4" t="s">
        <v>917</v>
      </c>
      <c r="G1819" s="4"/>
      <c r="H1819" s="4"/>
      <c r="I1819" s="4"/>
      <c r="J1819" s="4"/>
    </row>
    <row r="1820" spans="1:10" ht="15" customHeight="1" x14ac:dyDescent="0.2">
      <c r="A1820" s="4">
        <v>1819</v>
      </c>
      <c r="B1820" s="4">
        <v>1355</v>
      </c>
      <c r="C1820" s="4" t="s">
        <v>722</v>
      </c>
      <c r="D1820" s="4" t="s">
        <v>938</v>
      </c>
      <c r="E1820" s="4">
        <v>200</v>
      </c>
      <c r="F1820" s="4" t="s">
        <v>917</v>
      </c>
      <c r="G1820" s="4"/>
      <c r="H1820" s="4"/>
      <c r="I1820" s="4"/>
      <c r="J1820" s="4"/>
    </row>
    <row r="1821" spans="1:10" ht="15" customHeight="1" x14ac:dyDescent="0.2">
      <c r="A1821" s="4">
        <v>1820</v>
      </c>
      <c r="B1821" s="4">
        <v>1355</v>
      </c>
      <c r="C1821" s="4" t="s">
        <v>722</v>
      </c>
      <c r="D1821" s="4" t="s">
        <v>939</v>
      </c>
      <c r="E1821" s="4">
        <v>250</v>
      </c>
      <c r="F1821" s="4" t="s">
        <v>917</v>
      </c>
      <c r="G1821" s="4"/>
      <c r="H1821" s="4"/>
      <c r="I1821" s="4"/>
      <c r="J1821" s="4"/>
    </row>
    <row r="1822" spans="1:10" ht="15" customHeight="1" x14ac:dyDescent="0.2">
      <c r="A1822" s="4">
        <v>1821</v>
      </c>
      <c r="B1822" s="4">
        <v>1356</v>
      </c>
      <c r="C1822" s="4" t="s">
        <v>723</v>
      </c>
      <c r="D1822" s="4" t="s">
        <v>936</v>
      </c>
      <c r="E1822" s="4">
        <v>100</v>
      </c>
      <c r="F1822" s="4" t="s">
        <v>917</v>
      </c>
      <c r="G1822" s="4"/>
      <c r="H1822" s="4"/>
      <c r="I1822" s="4"/>
      <c r="J1822" s="4"/>
    </row>
    <row r="1823" spans="1:10" ht="27.75" customHeight="1" x14ac:dyDescent="0.2">
      <c r="A1823" s="4">
        <v>1822</v>
      </c>
      <c r="B1823" s="4">
        <v>1356</v>
      </c>
      <c r="C1823" s="4" t="s">
        <v>723</v>
      </c>
      <c r="D1823" s="4" t="s">
        <v>937</v>
      </c>
      <c r="E1823" s="4">
        <v>150</v>
      </c>
      <c r="F1823" s="4" t="s">
        <v>917</v>
      </c>
      <c r="G1823" s="4"/>
      <c r="H1823" s="4"/>
      <c r="I1823" s="4"/>
      <c r="J1823" s="4"/>
    </row>
    <row r="1824" spans="1:10" ht="15" customHeight="1" x14ac:dyDescent="0.2">
      <c r="A1824" s="4">
        <v>1823</v>
      </c>
      <c r="B1824" s="4">
        <v>1356</v>
      </c>
      <c r="C1824" s="4" t="s">
        <v>723</v>
      </c>
      <c r="D1824" s="4" t="s">
        <v>938</v>
      </c>
      <c r="E1824" s="4">
        <v>200</v>
      </c>
      <c r="F1824" s="4" t="s">
        <v>917</v>
      </c>
      <c r="G1824" s="4"/>
      <c r="H1824" s="4"/>
      <c r="I1824" s="4"/>
      <c r="J1824" s="4"/>
    </row>
    <row r="1825" spans="1:10" ht="15" customHeight="1" x14ac:dyDescent="0.2">
      <c r="A1825" s="4">
        <v>1824</v>
      </c>
      <c r="B1825" s="4">
        <v>1356</v>
      </c>
      <c r="C1825" s="4" t="s">
        <v>723</v>
      </c>
      <c r="D1825" s="4" t="s">
        <v>939</v>
      </c>
      <c r="E1825" s="4">
        <v>250</v>
      </c>
      <c r="F1825" s="4" t="s">
        <v>917</v>
      </c>
      <c r="G1825" s="4"/>
      <c r="H1825" s="4"/>
      <c r="I1825" s="4"/>
      <c r="J1825" s="4"/>
    </row>
    <row r="1826" spans="1:10" ht="15" customHeight="1" x14ac:dyDescent="0.2">
      <c r="A1826" s="4">
        <v>1825</v>
      </c>
      <c r="B1826" s="4">
        <v>1357</v>
      </c>
      <c r="C1826" s="4" t="s">
        <v>724</v>
      </c>
      <c r="D1826" s="4" t="s">
        <v>936</v>
      </c>
      <c r="E1826" s="4">
        <v>100</v>
      </c>
      <c r="F1826" s="4" t="s">
        <v>917</v>
      </c>
      <c r="G1826" s="4"/>
      <c r="H1826" s="4"/>
      <c r="I1826" s="4"/>
      <c r="J1826" s="4"/>
    </row>
    <row r="1827" spans="1:10" ht="27.75" customHeight="1" x14ac:dyDescent="0.2">
      <c r="A1827" s="4">
        <v>1826</v>
      </c>
      <c r="B1827" s="4">
        <v>1357</v>
      </c>
      <c r="C1827" s="4" t="s">
        <v>724</v>
      </c>
      <c r="D1827" s="4" t="s">
        <v>937</v>
      </c>
      <c r="E1827" s="4">
        <v>150</v>
      </c>
      <c r="F1827" s="4" t="s">
        <v>917</v>
      </c>
      <c r="G1827" s="4"/>
      <c r="H1827" s="4"/>
      <c r="I1827" s="4"/>
      <c r="J1827" s="4"/>
    </row>
    <row r="1828" spans="1:10" ht="15" customHeight="1" x14ac:dyDescent="0.2">
      <c r="A1828" s="4">
        <v>1827</v>
      </c>
      <c r="B1828" s="4">
        <v>1357</v>
      </c>
      <c r="C1828" s="4" t="s">
        <v>724</v>
      </c>
      <c r="D1828" s="4" t="s">
        <v>938</v>
      </c>
      <c r="E1828" s="4">
        <v>200</v>
      </c>
      <c r="F1828" s="4" t="s">
        <v>917</v>
      </c>
      <c r="G1828" s="4"/>
      <c r="H1828" s="4"/>
      <c r="I1828" s="4"/>
      <c r="J1828" s="4"/>
    </row>
    <row r="1829" spans="1:10" ht="15" customHeight="1" x14ac:dyDescent="0.2">
      <c r="A1829" s="4">
        <v>1828</v>
      </c>
      <c r="B1829" s="4">
        <v>1357</v>
      </c>
      <c r="C1829" s="4" t="s">
        <v>724</v>
      </c>
      <c r="D1829" s="4" t="s">
        <v>939</v>
      </c>
      <c r="E1829" s="4">
        <v>250</v>
      </c>
      <c r="F1829" s="4" t="s">
        <v>917</v>
      </c>
      <c r="G1829" s="4"/>
      <c r="H1829" s="4"/>
      <c r="I1829" s="4"/>
      <c r="J1829" s="4"/>
    </row>
    <row r="1830" spans="1:10" ht="15" customHeight="1" x14ac:dyDescent="0.2">
      <c r="A1830" s="4">
        <v>1829</v>
      </c>
      <c r="B1830" s="4">
        <v>1358</v>
      </c>
      <c r="C1830" s="4" t="s">
        <v>726</v>
      </c>
      <c r="D1830" s="4" t="s">
        <v>936</v>
      </c>
      <c r="E1830" s="4">
        <v>100</v>
      </c>
      <c r="F1830" s="4" t="s">
        <v>917</v>
      </c>
      <c r="G1830" s="4"/>
      <c r="H1830" s="4"/>
      <c r="I1830" s="4"/>
      <c r="J1830" s="4"/>
    </row>
    <row r="1831" spans="1:10" ht="27.75" customHeight="1" x14ac:dyDescent="0.2">
      <c r="A1831" s="4">
        <v>1830</v>
      </c>
      <c r="B1831" s="4">
        <v>1358</v>
      </c>
      <c r="C1831" s="4" t="s">
        <v>726</v>
      </c>
      <c r="D1831" s="4" t="s">
        <v>937</v>
      </c>
      <c r="E1831" s="4">
        <v>150</v>
      </c>
      <c r="F1831" s="4" t="s">
        <v>917</v>
      </c>
      <c r="G1831" s="4"/>
      <c r="H1831" s="4"/>
      <c r="I1831" s="4"/>
      <c r="J1831" s="4"/>
    </row>
    <row r="1832" spans="1:10" ht="15" customHeight="1" x14ac:dyDescent="0.2">
      <c r="A1832" s="4">
        <v>1831</v>
      </c>
      <c r="B1832" s="4">
        <v>1358</v>
      </c>
      <c r="C1832" s="4" t="s">
        <v>726</v>
      </c>
      <c r="D1832" s="4" t="s">
        <v>938</v>
      </c>
      <c r="E1832" s="4">
        <v>200</v>
      </c>
      <c r="F1832" s="4" t="s">
        <v>917</v>
      </c>
      <c r="G1832" s="4"/>
      <c r="H1832" s="4"/>
      <c r="I1832" s="4"/>
      <c r="J1832" s="4"/>
    </row>
    <row r="1833" spans="1:10" ht="15" customHeight="1" x14ac:dyDescent="0.2">
      <c r="A1833" s="4">
        <v>1832</v>
      </c>
      <c r="B1833" s="4">
        <v>1358</v>
      </c>
      <c r="C1833" s="4" t="s">
        <v>726</v>
      </c>
      <c r="D1833" s="4" t="s">
        <v>939</v>
      </c>
      <c r="E1833" s="4">
        <v>250</v>
      </c>
      <c r="F1833" s="4" t="s">
        <v>917</v>
      </c>
      <c r="G1833" s="4"/>
      <c r="H1833" s="4"/>
      <c r="I1833" s="4"/>
      <c r="J1833" s="4"/>
    </row>
    <row r="1834" spans="1:10" ht="15" customHeight="1" x14ac:dyDescent="0.2">
      <c r="A1834" s="4">
        <v>1833</v>
      </c>
      <c r="B1834" s="4">
        <v>1359</v>
      </c>
      <c r="C1834" s="4" t="s">
        <v>727</v>
      </c>
      <c r="D1834" s="4" t="s">
        <v>936</v>
      </c>
      <c r="E1834" s="4">
        <v>100</v>
      </c>
      <c r="F1834" s="4" t="s">
        <v>917</v>
      </c>
      <c r="G1834" s="4"/>
      <c r="H1834" s="4"/>
      <c r="I1834" s="4"/>
      <c r="J1834" s="4"/>
    </row>
    <row r="1835" spans="1:10" ht="27.75" customHeight="1" x14ac:dyDescent="0.2">
      <c r="A1835" s="4">
        <v>1834</v>
      </c>
      <c r="B1835" s="4">
        <v>1359</v>
      </c>
      <c r="C1835" s="4" t="s">
        <v>727</v>
      </c>
      <c r="D1835" s="4" t="s">
        <v>937</v>
      </c>
      <c r="E1835" s="4">
        <v>150</v>
      </c>
      <c r="F1835" s="4" t="s">
        <v>917</v>
      </c>
      <c r="G1835" s="4"/>
      <c r="H1835" s="4"/>
      <c r="I1835" s="4"/>
      <c r="J1835" s="4"/>
    </row>
    <row r="1836" spans="1:10" ht="15" customHeight="1" x14ac:dyDescent="0.2">
      <c r="A1836" s="4">
        <v>1835</v>
      </c>
      <c r="B1836" s="4">
        <v>1359</v>
      </c>
      <c r="C1836" s="4" t="s">
        <v>727</v>
      </c>
      <c r="D1836" s="4" t="s">
        <v>938</v>
      </c>
      <c r="E1836" s="4">
        <v>200</v>
      </c>
      <c r="F1836" s="4" t="s">
        <v>917</v>
      </c>
      <c r="G1836" s="4"/>
      <c r="H1836" s="4"/>
      <c r="I1836" s="4"/>
      <c r="J1836" s="4"/>
    </row>
    <row r="1837" spans="1:10" ht="15" customHeight="1" x14ac:dyDescent="0.2">
      <c r="A1837" s="4">
        <v>1836</v>
      </c>
      <c r="B1837" s="4">
        <v>1359</v>
      </c>
      <c r="C1837" s="4" t="s">
        <v>727</v>
      </c>
      <c r="D1837" s="4" t="s">
        <v>939</v>
      </c>
      <c r="E1837" s="4">
        <v>250</v>
      </c>
      <c r="F1837" s="4" t="s">
        <v>917</v>
      </c>
      <c r="G1837" s="4"/>
      <c r="H1837" s="4"/>
      <c r="I1837" s="4"/>
      <c r="J1837" s="4"/>
    </row>
    <row r="1838" spans="1:10" ht="15" customHeight="1" x14ac:dyDescent="0.2">
      <c r="A1838" s="4">
        <v>1837</v>
      </c>
      <c r="B1838" s="4">
        <v>1360</v>
      </c>
      <c r="C1838" s="4" t="s">
        <v>728</v>
      </c>
      <c r="D1838" s="4" t="s">
        <v>936</v>
      </c>
      <c r="E1838" s="4">
        <v>100</v>
      </c>
      <c r="F1838" s="4" t="s">
        <v>917</v>
      </c>
      <c r="G1838" s="4"/>
      <c r="H1838" s="4"/>
      <c r="I1838" s="4"/>
      <c r="J1838" s="4"/>
    </row>
    <row r="1839" spans="1:10" ht="27.75" customHeight="1" x14ac:dyDescent="0.2">
      <c r="A1839" s="4">
        <v>1838</v>
      </c>
      <c r="B1839" s="4">
        <v>1360</v>
      </c>
      <c r="C1839" s="4" t="s">
        <v>728</v>
      </c>
      <c r="D1839" s="4" t="s">
        <v>937</v>
      </c>
      <c r="E1839" s="4">
        <v>150</v>
      </c>
      <c r="F1839" s="4" t="s">
        <v>917</v>
      </c>
      <c r="G1839" s="4"/>
      <c r="H1839" s="4"/>
      <c r="I1839" s="4"/>
      <c r="J1839" s="4"/>
    </row>
    <row r="1840" spans="1:10" ht="15" customHeight="1" x14ac:dyDescent="0.2">
      <c r="A1840" s="4">
        <v>1839</v>
      </c>
      <c r="B1840" s="4">
        <v>1360</v>
      </c>
      <c r="C1840" s="4" t="s">
        <v>728</v>
      </c>
      <c r="D1840" s="4" t="s">
        <v>938</v>
      </c>
      <c r="E1840" s="4">
        <v>200</v>
      </c>
      <c r="F1840" s="4" t="s">
        <v>917</v>
      </c>
      <c r="G1840" s="4"/>
      <c r="H1840" s="4"/>
      <c r="I1840" s="4"/>
      <c r="J1840" s="4"/>
    </row>
    <row r="1841" spans="1:10" ht="15" customHeight="1" x14ac:dyDescent="0.2">
      <c r="A1841" s="4">
        <v>1840</v>
      </c>
      <c r="B1841" s="4">
        <v>1360</v>
      </c>
      <c r="C1841" s="4" t="s">
        <v>728</v>
      </c>
      <c r="D1841" s="4" t="s">
        <v>939</v>
      </c>
      <c r="E1841" s="4">
        <v>250</v>
      </c>
      <c r="F1841" s="4" t="s">
        <v>917</v>
      </c>
      <c r="G1841" s="4"/>
      <c r="H1841" s="4"/>
      <c r="I1841" s="4"/>
      <c r="J1841" s="4"/>
    </row>
    <row r="1842" spans="1:10" ht="15" customHeight="1" x14ac:dyDescent="0.2">
      <c r="A1842" s="4">
        <v>1841</v>
      </c>
      <c r="B1842" s="4">
        <v>1361</v>
      </c>
      <c r="C1842" s="4" t="s">
        <v>729</v>
      </c>
      <c r="D1842" s="4" t="s">
        <v>936</v>
      </c>
      <c r="E1842" s="4">
        <v>100</v>
      </c>
      <c r="F1842" s="4" t="s">
        <v>917</v>
      </c>
      <c r="G1842" s="4"/>
      <c r="H1842" s="4"/>
      <c r="I1842" s="4"/>
      <c r="J1842" s="4"/>
    </row>
    <row r="1843" spans="1:10" ht="27.75" customHeight="1" x14ac:dyDescent="0.2">
      <c r="A1843" s="4">
        <v>1842</v>
      </c>
      <c r="B1843" s="4">
        <v>1361</v>
      </c>
      <c r="C1843" s="4" t="s">
        <v>729</v>
      </c>
      <c r="D1843" s="4" t="s">
        <v>937</v>
      </c>
      <c r="E1843" s="4">
        <v>150</v>
      </c>
      <c r="F1843" s="4" t="s">
        <v>917</v>
      </c>
      <c r="G1843" s="4"/>
      <c r="H1843" s="4"/>
      <c r="I1843" s="4"/>
      <c r="J1843" s="4"/>
    </row>
    <row r="1844" spans="1:10" ht="15" customHeight="1" x14ac:dyDescent="0.2">
      <c r="A1844" s="4">
        <v>1843</v>
      </c>
      <c r="B1844" s="4">
        <v>1361</v>
      </c>
      <c r="C1844" s="4" t="s">
        <v>729</v>
      </c>
      <c r="D1844" s="4" t="s">
        <v>938</v>
      </c>
      <c r="E1844" s="4">
        <v>200</v>
      </c>
      <c r="F1844" s="4" t="s">
        <v>917</v>
      </c>
      <c r="G1844" s="4"/>
      <c r="H1844" s="4"/>
      <c r="I1844" s="4"/>
      <c r="J1844" s="4"/>
    </row>
    <row r="1845" spans="1:10" ht="15" customHeight="1" x14ac:dyDescent="0.2">
      <c r="A1845" s="4">
        <v>1844</v>
      </c>
      <c r="B1845" s="4">
        <v>1361</v>
      </c>
      <c r="C1845" s="4" t="s">
        <v>729</v>
      </c>
      <c r="D1845" s="4" t="s">
        <v>939</v>
      </c>
      <c r="E1845" s="4">
        <v>250</v>
      </c>
      <c r="F1845" s="4" t="s">
        <v>917</v>
      </c>
      <c r="G1845" s="4"/>
      <c r="H1845" s="4"/>
      <c r="I1845" s="4"/>
      <c r="J1845" s="4"/>
    </row>
    <row r="1846" spans="1:10" ht="15" customHeight="1" x14ac:dyDescent="0.2">
      <c r="A1846" s="4">
        <v>1845</v>
      </c>
      <c r="B1846" s="4">
        <v>1362</v>
      </c>
      <c r="C1846" s="4" t="s">
        <v>730</v>
      </c>
      <c r="D1846" s="4" t="s">
        <v>936</v>
      </c>
      <c r="E1846" s="4">
        <v>100</v>
      </c>
      <c r="F1846" s="4" t="s">
        <v>917</v>
      </c>
      <c r="G1846" s="4"/>
      <c r="H1846" s="4"/>
      <c r="I1846" s="4"/>
      <c r="J1846" s="4"/>
    </row>
    <row r="1847" spans="1:10" ht="27.75" customHeight="1" x14ac:dyDescent="0.2">
      <c r="A1847" s="4">
        <v>1846</v>
      </c>
      <c r="B1847" s="4">
        <v>1362</v>
      </c>
      <c r="C1847" s="4" t="s">
        <v>730</v>
      </c>
      <c r="D1847" s="4" t="s">
        <v>937</v>
      </c>
      <c r="E1847" s="4">
        <v>150</v>
      </c>
      <c r="F1847" s="4" t="s">
        <v>917</v>
      </c>
      <c r="G1847" s="4"/>
      <c r="H1847" s="4"/>
      <c r="I1847" s="4"/>
      <c r="J1847" s="4"/>
    </row>
    <row r="1848" spans="1:10" ht="15" customHeight="1" x14ac:dyDescent="0.2">
      <c r="A1848" s="4">
        <v>1847</v>
      </c>
      <c r="B1848" s="4">
        <v>1362</v>
      </c>
      <c r="C1848" s="4" t="s">
        <v>730</v>
      </c>
      <c r="D1848" s="4" t="s">
        <v>938</v>
      </c>
      <c r="E1848" s="4">
        <v>200</v>
      </c>
      <c r="F1848" s="4" t="s">
        <v>917</v>
      </c>
      <c r="G1848" s="4"/>
      <c r="H1848" s="4"/>
      <c r="I1848" s="4"/>
      <c r="J1848" s="4"/>
    </row>
    <row r="1849" spans="1:10" ht="15" customHeight="1" x14ac:dyDescent="0.2">
      <c r="A1849" s="4">
        <v>1848</v>
      </c>
      <c r="B1849" s="4">
        <v>1362</v>
      </c>
      <c r="C1849" s="4" t="s">
        <v>730</v>
      </c>
      <c r="D1849" s="4" t="s">
        <v>939</v>
      </c>
      <c r="E1849" s="4">
        <v>250</v>
      </c>
      <c r="F1849" s="4" t="s">
        <v>917</v>
      </c>
      <c r="G1849" s="4"/>
      <c r="H1849" s="4"/>
      <c r="I1849" s="4"/>
      <c r="J1849" s="4"/>
    </row>
    <row r="1850" spans="1:10" ht="15" customHeight="1" x14ac:dyDescent="0.2">
      <c r="A1850" s="4">
        <v>1849</v>
      </c>
      <c r="B1850" s="4">
        <v>1363</v>
      </c>
      <c r="C1850" s="4" t="s">
        <v>731</v>
      </c>
      <c r="D1850" s="4" t="s">
        <v>936</v>
      </c>
      <c r="E1850" s="4">
        <v>100</v>
      </c>
      <c r="F1850" s="4" t="s">
        <v>917</v>
      </c>
      <c r="G1850" s="4"/>
      <c r="H1850" s="4"/>
      <c r="I1850" s="4"/>
      <c r="J1850" s="4"/>
    </row>
    <row r="1851" spans="1:10" ht="27.75" customHeight="1" x14ac:dyDescent="0.2">
      <c r="A1851" s="4">
        <v>1850</v>
      </c>
      <c r="B1851" s="4">
        <v>1363</v>
      </c>
      <c r="C1851" s="4" t="s">
        <v>731</v>
      </c>
      <c r="D1851" s="4" t="s">
        <v>937</v>
      </c>
      <c r="E1851" s="4">
        <v>150</v>
      </c>
      <c r="F1851" s="4" t="s">
        <v>917</v>
      </c>
      <c r="G1851" s="4"/>
      <c r="H1851" s="4"/>
      <c r="I1851" s="4"/>
      <c r="J1851" s="4"/>
    </row>
    <row r="1852" spans="1:10" ht="15" customHeight="1" x14ac:dyDescent="0.2">
      <c r="A1852" s="4">
        <v>1851</v>
      </c>
      <c r="B1852" s="4">
        <v>1363</v>
      </c>
      <c r="C1852" s="4" t="s">
        <v>731</v>
      </c>
      <c r="D1852" s="4" t="s">
        <v>938</v>
      </c>
      <c r="E1852" s="4">
        <v>200</v>
      </c>
      <c r="F1852" s="4" t="s">
        <v>917</v>
      </c>
      <c r="G1852" s="4"/>
      <c r="H1852" s="4"/>
      <c r="I1852" s="4"/>
      <c r="J1852" s="4"/>
    </row>
    <row r="1853" spans="1:10" ht="15" customHeight="1" x14ac:dyDescent="0.2">
      <c r="A1853" s="4">
        <v>1852</v>
      </c>
      <c r="B1853" s="4">
        <v>1363</v>
      </c>
      <c r="C1853" s="4" t="s">
        <v>731</v>
      </c>
      <c r="D1853" s="4" t="s">
        <v>939</v>
      </c>
      <c r="E1853" s="4">
        <v>250</v>
      </c>
      <c r="F1853" s="4" t="s">
        <v>917</v>
      </c>
      <c r="G1853" s="4"/>
      <c r="H1853" s="4"/>
      <c r="I1853" s="4"/>
      <c r="J1853" s="4"/>
    </row>
    <row r="1854" spans="1:10" ht="15" customHeight="1" x14ac:dyDescent="0.2">
      <c r="A1854" s="4">
        <v>1853</v>
      </c>
      <c r="B1854" s="4">
        <v>1364</v>
      </c>
      <c r="C1854" s="4" t="s">
        <v>732</v>
      </c>
      <c r="D1854" s="4" t="s">
        <v>936</v>
      </c>
      <c r="E1854" s="4">
        <v>100</v>
      </c>
      <c r="F1854" s="4" t="s">
        <v>917</v>
      </c>
      <c r="G1854" s="4"/>
      <c r="H1854" s="4"/>
      <c r="I1854" s="4"/>
      <c r="J1854" s="4"/>
    </row>
    <row r="1855" spans="1:10" ht="27.75" customHeight="1" x14ac:dyDescent="0.2">
      <c r="A1855" s="4">
        <v>1854</v>
      </c>
      <c r="B1855" s="4">
        <v>1364</v>
      </c>
      <c r="C1855" s="4" t="s">
        <v>732</v>
      </c>
      <c r="D1855" s="4" t="s">
        <v>937</v>
      </c>
      <c r="E1855" s="4">
        <v>150</v>
      </c>
      <c r="F1855" s="4" t="s">
        <v>917</v>
      </c>
      <c r="G1855" s="4"/>
      <c r="H1855" s="4"/>
      <c r="I1855" s="4"/>
      <c r="J1855" s="4"/>
    </row>
    <row r="1856" spans="1:10" ht="15" customHeight="1" x14ac:dyDescent="0.2">
      <c r="A1856" s="4">
        <v>1855</v>
      </c>
      <c r="B1856" s="4">
        <v>1364</v>
      </c>
      <c r="C1856" s="4" t="s">
        <v>732</v>
      </c>
      <c r="D1856" s="4" t="s">
        <v>938</v>
      </c>
      <c r="E1856" s="4">
        <v>200</v>
      </c>
      <c r="F1856" s="4" t="s">
        <v>917</v>
      </c>
      <c r="G1856" s="4"/>
      <c r="H1856" s="4"/>
      <c r="I1856" s="4"/>
      <c r="J1856" s="4"/>
    </row>
    <row r="1857" spans="1:10" ht="15" customHeight="1" x14ac:dyDescent="0.2">
      <c r="A1857" s="4">
        <v>1856</v>
      </c>
      <c r="B1857" s="4">
        <v>1364</v>
      </c>
      <c r="C1857" s="4" t="s">
        <v>732</v>
      </c>
      <c r="D1857" s="4" t="s">
        <v>939</v>
      </c>
      <c r="E1857" s="4">
        <v>250</v>
      </c>
      <c r="F1857" s="4" t="s">
        <v>917</v>
      </c>
      <c r="G1857" s="4"/>
      <c r="H1857" s="4"/>
      <c r="I1857" s="4"/>
      <c r="J1857" s="4"/>
    </row>
    <row r="1858" spans="1:10" ht="15" customHeight="1" x14ac:dyDescent="0.2">
      <c r="A1858" s="4">
        <v>1857</v>
      </c>
      <c r="B1858" s="4">
        <v>1365</v>
      </c>
      <c r="C1858" s="4" t="s">
        <v>733</v>
      </c>
      <c r="D1858" s="4" t="s">
        <v>936</v>
      </c>
      <c r="E1858" s="4">
        <v>100</v>
      </c>
      <c r="F1858" s="4" t="s">
        <v>917</v>
      </c>
      <c r="G1858" s="4"/>
      <c r="H1858" s="4"/>
      <c r="I1858" s="4"/>
      <c r="J1858" s="4"/>
    </row>
    <row r="1859" spans="1:10" ht="27.75" customHeight="1" x14ac:dyDescent="0.2">
      <c r="A1859" s="4">
        <v>1858</v>
      </c>
      <c r="B1859" s="4">
        <v>1365</v>
      </c>
      <c r="C1859" s="4" t="s">
        <v>733</v>
      </c>
      <c r="D1859" s="4" t="s">
        <v>937</v>
      </c>
      <c r="E1859" s="4">
        <v>150</v>
      </c>
      <c r="F1859" s="4" t="s">
        <v>917</v>
      </c>
      <c r="G1859" s="4"/>
      <c r="H1859" s="4"/>
      <c r="I1859" s="4"/>
      <c r="J1859" s="4"/>
    </row>
    <row r="1860" spans="1:10" ht="15" customHeight="1" x14ac:dyDescent="0.2">
      <c r="A1860" s="4">
        <v>1859</v>
      </c>
      <c r="B1860" s="4">
        <v>1365</v>
      </c>
      <c r="C1860" s="4" t="s">
        <v>733</v>
      </c>
      <c r="D1860" s="4" t="s">
        <v>938</v>
      </c>
      <c r="E1860" s="4">
        <v>200</v>
      </c>
      <c r="F1860" s="4" t="s">
        <v>917</v>
      </c>
      <c r="G1860" s="4"/>
      <c r="H1860" s="4"/>
      <c r="I1860" s="4"/>
      <c r="J1860" s="4"/>
    </row>
    <row r="1861" spans="1:10" ht="15" customHeight="1" x14ac:dyDescent="0.2">
      <c r="A1861" s="4">
        <v>1860</v>
      </c>
      <c r="B1861" s="4">
        <v>1365</v>
      </c>
      <c r="C1861" s="4" t="s">
        <v>733</v>
      </c>
      <c r="D1861" s="4" t="s">
        <v>939</v>
      </c>
      <c r="E1861" s="4">
        <v>250</v>
      </c>
      <c r="F1861" s="4" t="s">
        <v>917</v>
      </c>
      <c r="G1861" s="4"/>
      <c r="H1861" s="4"/>
      <c r="I1861" s="4"/>
      <c r="J1861" s="4"/>
    </row>
    <row r="1862" spans="1:10" ht="15" customHeight="1" x14ac:dyDescent="0.2">
      <c r="A1862" s="4">
        <v>1861</v>
      </c>
      <c r="B1862" s="4">
        <v>1366</v>
      </c>
      <c r="C1862" s="4" t="s">
        <v>734</v>
      </c>
      <c r="D1862" s="4" t="s">
        <v>936</v>
      </c>
      <c r="E1862" s="4">
        <v>100</v>
      </c>
      <c r="F1862" s="4" t="s">
        <v>917</v>
      </c>
      <c r="G1862" s="4"/>
      <c r="H1862" s="4"/>
      <c r="I1862" s="4"/>
      <c r="J1862" s="4"/>
    </row>
    <row r="1863" spans="1:10" ht="27.75" customHeight="1" x14ac:dyDescent="0.2">
      <c r="A1863" s="4">
        <v>1862</v>
      </c>
      <c r="B1863" s="4">
        <v>1366</v>
      </c>
      <c r="C1863" s="4" t="s">
        <v>734</v>
      </c>
      <c r="D1863" s="4" t="s">
        <v>937</v>
      </c>
      <c r="E1863" s="4">
        <v>150</v>
      </c>
      <c r="F1863" s="4" t="s">
        <v>917</v>
      </c>
      <c r="G1863" s="4"/>
      <c r="H1863" s="4"/>
      <c r="I1863" s="4"/>
      <c r="J1863" s="4"/>
    </row>
    <row r="1864" spans="1:10" ht="15" customHeight="1" x14ac:dyDescent="0.2">
      <c r="A1864" s="4">
        <v>1863</v>
      </c>
      <c r="B1864" s="4">
        <v>1366</v>
      </c>
      <c r="C1864" s="4" t="s">
        <v>734</v>
      </c>
      <c r="D1864" s="4" t="s">
        <v>938</v>
      </c>
      <c r="E1864" s="4">
        <v>200</v>
      </c>
      <c r="F1864" s="4" t="s">
        <v>917</v>
      </c>
      <c r="G1864" s="4"/>
      <c r="H1864" s="4"/>
      <c r="I1864" s="4"/>
      <c r="J1864" s="4"/>
    </row>
    <row r="1865" spans="1:10" ht="15" customHeight="1" x14ac:dyDescent="0.2">
      <c r="A1865" s="4">
        <v>1864</v>
      </c>
      <c r="B1865" s="4">
        <v>1366</v>
      </c>
      <c r="C1865" s="4" t="s">
        <v>734</v>
      </c>
      <c r="D1865" s="4" t="s">
        <v>939</v>
      </c>
      <c r="E1865" s="4">
        <v>250</v>
      </c>
      <c r="F1865" s="4" t="s">
        <v>917</v>
      </c>
      <c r="G1865" s="4"/>
      <c r="H1865" s="4"/>
      <c r="I1865" s="4"/>
      <c r="J1865" s="4"/>
    </row>
    <row r="1866" spans="1:10" ht="15" customHeight="1" x14ac:dyDescent="0.2">
      <c r="A1866" s="4">
        <v>1865</v>
      </c>
      <c r="B1866" s="4">
        <v>1367</v>
      </c>
      <c r="C1866" s="4" t="s">
        <v>737</v>
      </c>
      <c r="D1866" s="4" t="s">
        <v>936</v>
      </c>
      <c r="E1866" s="4">
        <v>100</v>
      </c>
      <c r="F1866" s="4" t="s">
        <v>917</v>
      </c>
      <c r="G1866" s="4"/>
      <c r="H1866" s="4"/>
      <c r="I1866" s="4"/>
      <c r="J1866" s="4"/>
    </row>
    <row r="1867" spans="1:10" ht="27.75" customHeight="1" x14ac:dyDescent="0.2">
      <c r="A1867" s="4">
        <v>1866</v>
      </c>
      <c r="B1867" s="4">
        <v>1367</v>
      </c>
      <c r="C1867" s="4" t="s">
        <v>737</v>
      </c>
      <c r="D1867" s="4" t="s">
        <v>937</v>
      </c>
      <c r="E1867" s="4">
        <v>150</v>
      </c>
      <c r="F1867" s="4" t="s">
        <v>917</v>
      </c>
      <c r="G1867" s="4"/>
      <c r="H1867" s="4"/>
      <c r="I1867" s="4"/>
      <c r="J1867" s="4"/>
    </row>
    <row r="1868" spans="1:10" ht="15" customHeight="1" x14ac:dyDescent="0.2">
      <c r="A1868" s="4">
        <v>1867</v>
      </c>
      <c r="B1868" s="4">
        <v>1367</v>
      </c>
      <c r="C1868" s="4" t="s">
        <v>737</v>
      </c>
      <c r="D1868" s="4" t="s">
        <v>938</v>
      </c>
      <c r="E1868" s="4">
        <v>200</v>
      </c>
      <c r="F1868" s="4" t="s">
        <v>917</v>
      </c>
      <c r="G1868" s="4"/>
      <c r="H1868" s="4"/>
      <c r="I1868" s="4"/>
      <c r="J1868" s="4"/>
    </row>
    <row r="1869" spans="1:10" ht="15" customHeight="1" x14ac:dyDescent="0.2">
      <c r="A1869" s="4">
        <v>1868</v>
      </c>
      <c r="B1869" s="4">
        <v>1367</v>
      </c>
      <c r="C1869" s="4" t="s">
        <v>737</v>
      </c>
      <c r="D1869" s="4" t="s">
        <v>939</v>
      </c>
      <c r="E1869" s="4">
        <v>250</v>
      </c>
      <c r="F1869" s="4" t="s">
        <v>917</v>
      </c>
      <c r="G1869" s="4"/>
      <c r="H1869" s="4"/>
      <c r="I1869" s="4"/>
      <c r="J1869" s="4"/>
    </row>
    <row r="1870" spans="1:10" ht="15" customHeight="1" x14ac:dyDescent="0.2">
      <c r="A1870" s="4">
        <v>1869</v>
      </c>
      <c r="B1870" s="4">
        <v>1368</v>
      </c>
      <c r="C1870" s="4" t="s">
        <v>738</v>
      </c>
      <c r="D1870" s="4" t="s">
        <v>936</v>
      </c>
      <c r="E1870" s="4">
        <v>100</v>
      </c>
      <c r="F1870" s="4" t="s">
        <v>917</v>
      </c>
      <c r="G1870" s="4"/>
      <c r="H1870" s="4"/>
      <c r="I1870" s="4"/>
      <c r="J1870" s="4"/>
    </row>
    <row r="1871" spans="1:10" ht="27.75" customHeight="1" x14ac:dyDescent="0.2">
      <c r="A1871" s="4">
        <v>1870</v>
      </c>
      <c r="B1871" s="4">
        <v>1368</v>
      </c>
      <c r="C1871" s="4" t="s">
        <v>738</v>
      </c>
      <c r="D1871" s="4" t="s">
        <v>937</v>
      </c>
      <c r="E1871" s="4">
        <v>150</v>
      </c>
      <c r="F1871" s="4" t="s">
        <v>917</v>
      </c>
      <c r="G1871" s="4"/>
      <c r="H1871" s="4"/>
      <c r="I1871" s="4"/>
      <c r="J1871" s="4"/>
    </row>
    <row r="1872" spans="1:10" ht="15" customHeight="1" x14ac:dyDescent="0.2">
      <c r="A1872" s="4">
        <v>1871</v>
      </c>
      <c r="B1872" s="4">
        <v>1368</v>
      </c>
      <c r="C1872" s="4" t="s">
        <v>738</v>
      </c>
      <c r="D1872" s="4" t="s">
        <v>938</v>
      </c>
      <c r="E1872" s="4">
        <v>200</v>
      </c>
      <c r="F1872" s="4" t="s">
        <v>917</v>
      </c>
      <c r="G1872" s="4"/>
      <c r="H1872" s="4"/>
      <c r="I1872" s="4"/>
      <c r="J1872" s="4"/>
    </row>
    <row r="1873" spans="1:10" ht="15" customHeight="1" x14ac:dyDescent="0.2">
      <c r="A1873" s="4">
        <v>1872</v>
      </c>
      <c r="B1873" s="4">
        <v>1368</v>
      </c>
      <c r="C1873" s="4" t="s">
        <v>738</v>
      </c>
      <c r="D1873" s="4" t="s">
        <v>939</v>
      </c>
      <c r="E1873" s="4">
        <v>250</v>
      </c>
      <c r="F1873" s="4" t="s">
        <v>917</v>
      </c>
      <c r="G1873" s="4"/>
      <c r="H1873" s="4"/>
      <c r="I1873" s="4"/>
      <c r="J1873" s="4"/>
    </row>
    <row r="1874" spans="1:10" ht="15" customHeight="1" x14ac:dyDescent="0.2">
      <c r="A1874" s="4">
        <v>1873</v>
      </c>
      <c r="B1874" s="4">
        <v>1369</v>
      </c>
      <c r="C1874" s="4" t="s">
        <v>739</v>
      </c>
      <c r="D1874" s="4" t="s">
        <v>936</v>
      </c>
      <c r="E1874" s="4">
        <v>100</v>
      </c>
      <c r="F1874" s="4" t="s">
        <v>917</v>
      </c>
      <c r="G1874" s="4"/>
      <c r="H1874" s="4"/>
      <c r="I1874" s="4"/>
      <c r="J1874" s="4"/>
    </row>
    <row r="1875" spans="1:10" ht="27.75" customHeight="1" x14ac:dyDescent="0.2">
      <c r="A1875" s="4">
        <v>1874</v>
      </c>
      <c r="B1875" s="4">
        <v>1369</v>
      </c>
      <c r="C1875" s="4" t="s">
        <v>739</v>
      </c>
      <c r="D1875" s="4" t="s">
        <v>937</v>
      </c>
      <c r="E1875" s="4">
        <v>150</v>
      </c>
      <c r="F1875" s="4" t="s">
        <v>917</v>
      </c>
      <c r="G1875" s="4"/>
      <c r="H1875" s="4"/>
      <c r="I1875" s="4"/>
      <c r="J1875" s="4"/>
    </row>
    <row r="1876" spans="1:10" ht="15" customHeight="1" x14ac:dyDescent="0.2">
      <c r="A1876" s="4">
        <v>1875</v>
      </c>
      <c r="B1876" s="4">
        <v>1369</v>
      </c>
      <c r="C1876" s="4" t="s">
        <v>739</v>
      </c>
      <c r="D1876" s="4" t="s">
        <v>938</v>
      </c>
      <c r="E1876" s="4">
        <v>200</v>
      </c>
      <c r="F1876" s="4" t="s">
        <v>917</v>
      </c>
      <c r="G1876" s="4"/>
      <c r="H1876" s="4"/>
      <c r="I1876" s="4"/>
      <c r="J1876" s="4"/>
    </row>
    <row r="1877" spans="1:10" ht="15" customHeight="1" x14ac:dyDescent="0.2">
      <c r="A1877" s="4">
        <v>1876</v>
      </c>
      <c r="B1877" s="4">
        <v>1369</v>
      </c>
      <c r="C1877" s="4" t="s">
        <v>739</v>
      </c>
      <c r="D1877" s="4" t="s">
        <v>939</v>
      </c>
      <c r="E1877" s="4">
        <v>250</v>
      </c>
      <c r="F1877" s="4" t="s">
        <v>917</v>
      </c>
      <c r="G1877" s="4"/>
      <c r="H1877" s="4"/>
      <c r="I1877" s="4"/>
      <c r="J1877" s="4"/>
    </row>
    <row r="1878" spans="1:10" ht="15" customHeight="1" x14ac:dyDescent="0.2">
      <c r="A1878" s="4">
        <v>1877</v>
      </c>
      <c r="B1878" s="4">
        <v>1370</v>
      </c>
      <c r="C1878" s="4" t="s">
        <v>741</v>
      </c>
      <c r="D1878" s="4" t="s">
        <v>936</v>
      </c>
      <c r="E1878" s="4">
        <v>100</v>
      </c>
      <c r="F1878" s="4" t="s">
        <v>917</v>
      </c>
      <c r="G1878" s="4"/>
      <c r="H1878" s="4"/>
      <c r="I1878" s="4"/>
      <c r="J1878" s="4"/>
    </row>
    <row r="1879" spans="1:10" ht="27.75" customHeight="1" x14ac:dyDescent="0.2">
      <c r="A1879" s="4">
        <v>1878</v>
      </c>
      <c r="B1879" s="4">
        <v>1370</v>
      </c>
      <c r="C1879" s="4" t="s">
        <v>741</v>
      </c>
      <c r="D1879" s="4" t="s">
        <v>937</v>
      </c>
      <c r="E1879" s="4">
        <v>150</v>
      </c>
      <c r="F1879" s="4" t="s">
        <v>917</v>
      </c>
      <c r="G1879" s="4"/>
      <c r="H1879" s="4"/>
      <c r="I1879" s="4"/>
      <c r="J1879" s="4"/>
    </row>
    <row r="1880" spans="1:10" ht="15" customHeight="1" x14ac:dyDescent="0.2">
      <c r="A1880" s="4">
        <v>1879</v>
      </c>
      <c r="B1880" s="4">
        <v>1370</v>
      </c>
      <c r="C1880" s="4" t="s">
        <v>741</v>
      </c>
      <c r="D1880" s="4" t="s">
        <v>938</v>
      </c>
      <c r="E1880" s="4">
        <v>200</v>
      </c>
      <c r="F1880" s="4" t="s">
        <v>917</v>
      </c>
      <c r="G1880" s="4"/>
      <c r="H1880" s="4"/>
      <c r="I1880" s="4"/>
      <c r="J1880" s="4"/>
    </row>
    <row r="1881" spans="1:10" ht="15" customHeight="1" x14ac:dyDescent="0.2">
      <c r="A1881" s="4">
        <v>1880</v>
      </c>
      <c r="B1881" s="4">
        <v>1370</v>
      </c>
      <c r="C1881" s="4" t="s">
        <v>741</v>
      </c>
      <c r="D1881" s="4" t="s">
        <v>939</v>
      </c>
      <c r="E1881" s="4">
        <v>250</v>
      </c>
      <c r="F1881" s="4" t="s">
        <v>917</v>
      </c>
      <c r="G1881" s="4"/>
      <c r="H1881" s="4"/>
      <c r="I1881" s="4"/>
      <c r="J1881" s="4"/>
    </row>
    <row r="1882" spans="1:10" ht="15" customHeight="1" x14ac:dyDescent="0.2">
      <c r="A1882" s="4">
        <v>1881</v>
      </c>
      <c r="B1882" s="4">
        <v>1371</v>
      </c>
      <c r="C1882" s="4" t="s">
        <v>742</v>
      </c>
      <c r="D1882" s="4" t="s">
        <v>936</v>
      </c>
      <c r="E1882" s="4">
        <v>100</v>
      </c>
      <c r="F1882" s="4" t="s">
        <v>917</v>
      </c>
      <c r="G1882" s="4"/>
      <c r="H1882" s="4"/>
      <c r="I1882" s="4"/>
      <c r="J1882" s="4"/>
    </row>
    <row r="1883" spans="1:10" ht="27.75" customHeight="1" x14ac:dyDescent="0.2">
      <c r="A1883" s="4">
        <v>1882</v>
      </c>
      <c r="B1883" s="4">
        <v>1371</v>
      </c>
      <c r="C1883" s="4" t="s">
        <v>742</v>
      </c>
      <c r="D1883" s="4" t="s">
        <v>937</v>
      </c>
      <c r="E1883" s="4">
        <v>150</v>
      </c>
      <c r="F1883" s="4" t="s">
        <v>917</v>
      </c>
      <c r="G1883" s="4"/>
      <c r="H1883" s="4"/>
      <c r="I1883" s="4"/>
      <c r="J1883" s="4"/>
    </row>
    <row r="1884" spans="1:10" ht="15" customHeight="1" x14ac:dyDescent="0.2">
      <c r="A1884" s="4">
        <v>1883</v>
      </c>
      <c r="B1884" s="4">
        <v>1371</v>
      </c>
      <c r="C1884" s="4" t="s">
        <v>742</v>
      </c>
      <c r="D1884" s="4" t="s">
        <v>938</v>
      </c>
      <c r="E1884" s="4">
        <v>200</v>
      </c>
      <c r="F1884" s="4" t="s">
        <v>917</v>
      </c>
      <c r="G1884" s="4"/>
      <c r="H1884" s="4"/>
      <c r="I1884" s="4"/>
      <c r="J1884" s="4"/>
    </row>
    <row r="1885" spans="1:10" ht="15" customHeight="1" x14ac:dyDescent="0.2">
      <c r="A1885" s="4">
        <v>1884</v>
      </c>
      <c r="B1885" s="4">
        <v>1371</v>
      </c>
      <c r="C1885" s="4" t="s">
        <v>742</v>
      </c>
      <c r="D1885" s="4" t="s">
        <v>939</v>
      </c>
      <c r="E1885" s="4">
        <v>250</v>
      </c>
      <c r="F1885" s="4" t="s">
        <v>917</v>
      </c>
      <c r="G1885" s="4"/>
      <c r="H1885" s="4"/>
      <c r="I1885" s="4"/>
      <c r="J1885" s="4"/>
    </row>
    <row r="1886" spans="1:10" ht="15" customHeight="1" x14ac:dyDescent="0.2">
      <c r="A1886" s="4">
        <v>1885</v>
      </c>
      <c r="B1886" s="4">
        <v>1372</v>
      </c>
      <c r="C1886" s="4" t="s">
        <v>743</v>
      </c>
      <c r="D1886" s="4" t="s">
        <v>936</v>
      </c>
      <c r="E1886" s="4">
        <v>100</v>
      </c>
      <c r="F1886" s="4" t="s">
        <v>917</v>
      </c>
      <c r="G1886" s="4"/>
      <c r="H1886" s="4"/>
      <c r="I1886" s="4"/>
      <c r="J1886" s="4"/>
    </row>
    <row r="1887" spans="1:10" ht="27.75" customHeight="1" x14ac:dyDescent="0.2">
      <c r="A1887" s="4">
        <v>1886</v>
      </c>
      <c r="B1887" s="4">
        <v>1372</v>
      </c>
      <c r="C1887" s="4" t="s">
        <v>743</v>
      </c>
      <c r="D1887" s="4" t="s">
        <v>937</v>
      </c>
      <c r="E1887" s="4">
        <v>150</v>
      </c>
      <c r="F1887" s="4" t="s">
        <v>917</v>
      </c>
      <c r="G1887" s="4"/>
      <c r="H1887" s="4"/>
      <c r="I1887" s="4"/>
      <c r="J1887" s="4"/>
    </row>
    <row r="1888" spans="1:10" ht="15" customHeight="1" x14ac:dyDescent="0.2">
      <c r="A1888" s="4">
        <v>1887</v>
      </c>
      <c r="B1888" s="4">
        <v>1372</v>
      </c>
      <c r="C1888" s="4" t="s">
        <v>743</v>
      </c>
      <c r="D1888" s="4" t="s">
        <v>938</v>
      </c>
      <c r="E1888" s="4">
        <v>200</v>
      </c>
      <c r="F1888" s="4" t="s">
        <v>917</v>
      </c>
      <c r="G1888" s="4"/>
      <c r="H1888" s="4"/>
      <c r="I1888" s="4"/>
      <c r="J1888" s="4"/>
    </row>
    <row r="1889" spans="1:10" ht="15" customHeight="1" x14ac:dyDescent="0.2">
      <c r="A1889" s="4">
        <v>1888</v>
      </c>
      <c r="B1889" s="4">
        <v>1372</v>
      </c>
      <c r="C1889" s="4" t="s">
        <v>743</v>
      </c>
      <c r="D1889" s="4" t="s">
        <v>939</v>
      </c>
      <c r="E1889" s="4">
        <v>250</v>
      </c>
      <c r="F1889" s="4" t="s">
        <v>917</v>
      </c>
      <c r="G1889" s="4"/>
      <c r="H1889" s="4"/>
      <c r="I1889" s="4"/>
      <c r="J1889" s="4"/>
    </row>
    <row r="1890" spans="1:10" ht="15" customHeight="1" x14ac:dyDescent="0.2">
      <c r="A1890" s="4">
        <v>1889</v>
      </c>
      <c r="B1890" s="4">
        <v>1373</v>
      </c>
      <c r="C1890" s="4" t="s">
        <v>745</v>
      </c>
      <c r="D1890" s="4" t="s">
        <v>936</v>
      </c>
      <c r="E1890" s="4">
        <v>100</v>
      </c>
      <c r="F1890" s="4" t="s">
        <v>917</v>
      </c>
      <c r="G1890" s="4"/>
      <c r="H1890" s="4"/>
      <c r="I1890" s="4"/>
      <c r="J1890" s="4"/>
    </row>
    <row r="1891" spans="1:10" ht="27.75" customHeight="1" x14ac:dyDescent="0.2">
      <c r="A1891" s="4">
        <v>1890</v>
      </c>
      <c r="B1891" s="4">
        <v>1373</v>
      </c>
      <c r="C1891" s="4" t="s">
        <v>745</v>
      </c>
      <c r="D1891" s="4" t="s">
        <v>937</v>
      </c>
      <c r="E1891" s="4">
        <v>150</v>
      </c>
      <c r="F1891" s="4" t="s">
        <v>917</v>
      </c>
      <c r="G1891" s="4"/>
      <c r="H1891" s="4"/>
      <c r="I1891" s="4"/>
      <c r="J1891" s="4"/>
    </row>
    <row r="1892" spans="1:10" ht="15" customHeight="1" x14ac:dyDescent="0.2">
      <c r="A1892" s="4">
        <v>1891</v>
      </c>
      <c r="B1892" s="4">
        <v>1373</v>
      </c>
      <c r="C1892" s="4" t="s">
        <v>745</v>
      </c>
      <c r="D1892" s="4" t="s">
        <v>938</v>
      </c>
      <c r="E1892" s="4">
        <v>200</v>
      </c>
      <c r="F1892" s="4" t="s">
        <v>917</v>
      </c>
      <c r="G1892" s="4"/>
      <c r="H1892" s="4"/>
      <c r="I1892" s="4"/>
      <c r="J1892" s="4"/>
    </row>
    <row r="1893" spans="1:10" ht="15" customHeight="1" x14ac:dyDescent="0.2">
      <c r="A1893" s="4">
        <v>1892</v>
      </c>
      <c r="B1893" s="4">
        <v>1373</v>
      </c>
      <c r="C1893" s="4" t="s">
        <v>745</v>
      </c>
      <c r="D1893" s="4" t="s">
        <v>939</v>
      </c>
      <c r="E1893" s="4">
        <v>250</v>
      </c>
      <c r="F1893" s="4" t="s">
        <v>917</v>
      </c>
      <c r="G1893" s="4"/>
      <c r="H1893" s="4"/>
      <c r="I1893" s="4"/>
      <c r="J1893" s="4"/>
    </row>
    <row r="1894" spans="1:10" ht="15" customHeight="1" x14ac:dyDescent="0.2">
      <c r="A1894" s="4">
        <v>1893</v>
      </c>
      <c r="B1894" s="4">
        <v>1374</v>
      </c>
      <c r="C1894" s="4" t="s">
        <v>746</v>
      </c>
      <c r="D1894" s="4" t="s">
        <v>936</v>
      </c>
      <c r="E1894" s="4">
        <v>100</v>
      </c>
      <c r="F1894" s="4" t="s">
        <v>917</v>
      </c>
      <c r="G1894" s="4"/>
      <c r="H1894" s="4"/>
      <c r="I1894" s="4"/>
      <c r="J1894" s="4"/>
    </row>
    <row r="1895" spans="1:10" ht="27.75" customHeight="1" x14ac:dyDescent="0.2">
      <c r="A1895" s="4">
        <v>1894</v>
      </c>
      <c r="B1895" s="4">
        <v>1374</v>
      </c>
      <c r="C1895" s="4" t="s">
        <v>746</v>
      </c>
      <c r="D1895" s="4" t="s">
        <v>937</v>
      </c>
      <c r="E1895" s="4">
        <v>150</v>
      </c>
      <c r="F1895" s="4" t="s">
        <v>917</v>
      </c>
      <c r="G1895" s="4"/>
      <c r="H1895" s="4"/>
      <c r="I1895" s="4"/>
      <c r="J1895" s="4"/>
    </row>
    <row r="1896" spans="1:10" ht="15" customHeight="1" x14ac:dyDescent="0.2">
      <c r="A1896" s="4">
        <v>1895</v>
      </c>
      <c r="B1896" s="4">
        <v>1374</v>
      </c>
      <c r="C1896" s="4" t="s">
        <v>746</v>
      </c>
      <c r="D1896" s="4" t="s">
        <v>938</v>
      </c>
      <c r="E1896" s="4">
        <v>200</v>
      </c>
      <c r="F1896" s="4" t="s">
        <v>917</v>
      </c>
      <c r="G1896" s="4"/>
      <c r="H1896" s="4"/>
      <c r="I1896" s="4"/>
      <c r="J1896" s="4"/>
    </row>
    <row r="1897" spans="1:10" ht="15" customHeight="1" x14ac:dyDescent="0.2">
      <c r="A1897" s="4">
        <v>1896</v>
      </c>
      <c r="B1897" s="4">
        <v>1374</v>
      </c>
      <c r="C1897" s="4" t="s">
        <v>746</v>
      </c>
      <c r="D1897" s="4" t="s">
        <v>939</v>
      </c>
      <c r="E1897" s="4">
        <v>250</v>
      </c>
      <c r="F1897" s="4" t="s">
        <v>917</v>
      </c>
      <c r="G1897" s="4"/>
      <c r="H1897" s="4"/>
      <c r="I1897" s="4"/>
      <c r="J1897" s="4"/>
    </row>
    <row r="1898" spans="1:10" ht="15" customHeight="1" x14ac:dyDescent="0.2">
      <c r="A1898" s="4">
        <v>1897</v>
      </c>
      <c r="B1898" s="4">
        <v>1375</v>
      </c>
      <c r="C1898" s="4" t="s">
        <v>747</v>
      </c>
      <c r="D1898" s="4" t="s">
        <v>940</v>
      </c>
      <c r="E1898" s="4">
        <v>20</v>
      </c>
      <c r="F1898" s="4" t="s">
        <v>917</v>
      </c>
      <c r="G1898" s="4"/>
      <c r="H1898" s="4"/>
      <c r="I1898" s="4"/>
      <c r="J1898" s="4"/>
    </row>
    <row r="1899" spans="1:10" ht="15" customHeight="1" x14ac:dyDescent="0.2">
      <c r="A1899" s="4">
        <v>1898</v>
      </c>
      <c r="B1899" s="4">
        <v>1375</v>
      </c>
      <c r="C1899" s="4" t="s">
        <v>747</v>
      </c>
      <c r="D1899" s="4" t="s">
        <v>941</v>
      </c>
      <c r="E1899" s="4">
        <v>40</v>
      </c>
      <c r="F1899" s="4" t="s">
        <v>917</v>
      </c>
      <c r="G1899" s="4"/>
      <c r="H1899" s="4"/>
      <c r="I1899" s="4"/>
      <c r="J1899" s="4"/>
    </row>
    <row r="1900" spans="1:10" ht="15" customHeight="1" x14ac:dyDescent="0.2">
      <c r="A1900" s="4">
        <v>1899</v>
      </c>
      <c r="B1900" s="4">
        <v>1375</v>
      </c>
      <c r="C1900" s="4" t="s">
        <v>747</v>
      </c>
      <c r="D1900" s="4" t="s">
        <v>918</v>
      </c>
      <c r="E1900" s="4">
        <v>50</v>
      </c>
      <c r="F1900" s="4" t="s">
        <v>917</v>
      </c>
      <c r="G1900" s="4"/>
      <c r="H1900" s="4"/>
      <c r="I1900" s="4"/>
      <c r="J1900" s="4"/>
    </row>
    <row r="1901" spans="1:10" ht="15" customHeight="1" x14ac:dyDescent="0.2">
      <c r="A1901" s="4">
        <v>1900</v>
      </c>
      <c r="B1901" s="4">
        <v>1375</v>
      </c>
      <c r="C1901" s="4" t="s">
        <v>747</v>
      </c>
      <c r="D1901" s="4" t="s">
        <v>942</v>
      </c>
      <c r="E1901" s="4">
        <v>80</v>
      </c>
      <c r="F1901" s="4" t="s">
        <v>917</v>
      </c>
      <c r="G1901" s="4"/>
      <c r="H1901" s="4"/>
      <c r="I1901" s="4"/>
      <c r="J1901" s="4"/>
    </row>
    <row r="1902" spans="1:10" ht="15" customHeight="1" x14ac:dyDescent="0.2">
      <c r="A1902" s="4">
        <v>1901</v>
      </c>
      <c r="B1902" s="4">
        <v>1376</v>
      </c>
      <c r="C1902" s="4" t="s">
        <v>750</v>
      </c>
      <c r="D1902" s="4" t="s">
        <v>940</v>
      </c>
      <c r="E1902" s="4">
        <v>20</v>
      </c>
      <c r="F1902" s="4" t="s">
        <v>917</v>
      </c>
      <c r="G1902" s="4"/>
      <c r="H1902" s="4"/>
      <c r="I1902" s="4"/>
      <c r="J1902" s="4"/>
    </row>
    <row r="1903" spans="1:10" ht="15" customHeight="1" x14ac:dyDescent="0.2">
      <c r="A1903" s="4">
        <v>1902</v>
      </c>
      <c r="B1903" s="4">
        <v>1376</v>
      </c>
      <c r="C1903" s="4" t="s">
        <v>750</v>
      </c>
      <c r="D1903" s="4" t="s">
        <v>941</v>
      </c>
      <c r="E1903" s="4">
        <v>40</v>
      </c>
      <c r="F1903" s="4" t="s">
        <v>917</v>
      </c>
      <c r="G1903" s="4"/>
      <c r="H1903" s="4"/>
      <c r="I1903" s="4"/>
      <c r="J1903" s="4"/>
    </row>
    <row r="1904" spans="1:10" ht="15" customHeight="1" x14ac:dyDescent="0.2">
      <c r="A1904" s="4">
        <v>1903</v>
      </c>
      <c r="B1904" s="4">
        <v>1376</v>
      </c>
      <c r="C1904" s="4" t="s">
        <v>750</v>
      </c>
      <c r="D1904" s="4" t="s">
        <v>918</v>
      </c>
      <c r="E1904" s="4">
        <v>50</v>
      </c>
      <c r="F1904" s="4" t="s">
        <v>917</v>
      </c>
      <c r="G1904" s="4"/>
      <c r="H1904" s="4"/>
      <c r="I1904" s="4"/>
      <c r="J1904" s="4"/>
    </row>
    <row r="1905" spans="1:10" ht="15" customHeight="1" x14ac:dyDescent="0.2">
      <c r="A1905" s="4">
        <v>1904</v>
      </c>
      <c r="B1905" s="4">
        <v>1376</v>
      </c>
      <c r="C1905" s="4" t="s">
        <v>750</v>
      </c>
      <c r="D1905" s="4" t="s">
        <v>942</v>
      </c>
      <c r="E1905" s="4">
        <v>80</v>
      </c>
      <c r="F1905" s="4" t="s">
        <v>917</v>
      </c>
      <c r="G1905" s="4"/>
      <c r="H1905" s="4"/>
      <c r="I1905" s="4"/>
      <c r="J1905" s="4"/>
    </row>
    <row r="1906" spans="1:10" ht="15" customHeight="1" x14ac:dyDescent="0.2">
      <c r="A1906" s="4">
        <v>1905</v>
      </c>
      <c r="B1906" s="4">
        <v>1377</v>
      </c>
      <c r="C1906" s="4" t="s">
        <v>751</v>
      </c>
      <c r="D1906" s="4" t="s">
        <v>940</v>
      </c>
      <c r="E1906" s="4">
        <v>20</v>
      </c>
      <c r="F1906" s="4" t="s">
        <v>917</v>
      </c>
      <c r="G1906" s="4"/>
      <c r="H1906" s="4"/>
      <c r="I1906" s="4"/>
      <c r="J1906" s="4"/>
    </row>
    <row r="1907" spans="1:10" ht="15" customHeight="1" x14ac:dyDescent="0.2">
      <c r="A1907" s="4">
        <v>1906</v>
      </c>
      <c r="B1907" s="4">
        <v>1377</v>
      </c>
      <c r="C1907" s="4" t="s">
        <v>751</v>
      </c>
      <c r="D1907" s="4" t="s">
        <v>941</v>
      </c>
      <c r="E1907" s="4">
        <v>40</v>
      </c>
      <c r="F1907" s="4" t="s">
        <v>917</v>
      </c>
      <c r="G1907" s="4"/>
      <c r="H1907" s="4"/>
      <c r="I1907" s="4"/>
      <c r="J1907" s="4"/>
    </row>
    <row r="1908" spans="1:10" ht="15" customHeight="1" x14ac:dyDescent="0.2">
      <c r="A1908" s="4">
        <v>1907</v>
      </c>
      <c r="B1908" s="4">
        <v>1377</v>
      </c>
      <c r="C1908" s="4" t="s">
        <v>751</v>
      </c>
      <c r="D1908" s="4" t="s">
        <v>918</v>
      </c>
      <c r="E1908" s="4">
        <v>50</v>
      </c>
      <c r="F1908" s="4" t="s">
        <v>917</v>
      </c>
      <c r="G1908" s="4"/>
      <c r="H1908" s="4"/>
      <c r="I1908" s="4"/>
      <c r="J1908" s="4"/>
    </row>
    <row r="1909" spans="1:10" ht="15" customHeight="1" x14ac:dyDescent="0.2">
      <c r="A1909" s="4">
        <v>1908</v>
      </c>
      <c r="B1909" s="4">
        <v>1377</v>
      </c>
      <c r="C1909" s="4" t="s">
        <v>751</v>
      </c>
      <c r="D1909" s="4" t="s">
        <v>942</v>
      </c>
      <c r="E1909" s="4">
        <v>80</v>
      </c>
      <c r="F1909" s="4" t="s">
        <v>917</v>
      </c>
      <c r="G1909" s="4"/>
      <c r="H1909" s="4"/>
      <c r="I1909" s="4"/>
      <c r="J1909" s="4"/>
    </row>
    <row r="1910" spans="1:10" ht="15" customHeight="1" x14ac:dyDescent="0.2">
      <c r="A1910" s="4">
        <v>1909</v>
      </c>
      <c r="B1910" s="4">
        <v>1378</v>
      </c>
      <c r="C1910" s="4" t="s">
        <v>752</v>
      </c>
      <c r="D1910" s="4" t="s">
        <v>940</v>
      </c>
      <c r="E1910" s="4">
        <v>20</v>
      </c>
      <c r="F1910" s="4" t="s">
        <v>917</v>
      </c>
      <c r="G1910" s="4"/>
      <c r="H1910" s="4"/>
      <c r="I1910" s="4"/>
      <c r="J1910" s="4"/>
    </row>
    <row r="1911" spans="1:10" ht="15" customHeight="1" x14ac:dyDescent="0.2">
      <c r="A1911" s="4">
        <v>1910</v>
      </c>
      <c r="B1911" s="4">
        <v>1378</v>
      </c>
      <c r="C1911" s="4" t="s">
        <v>752</v>
      </c>
      <c r="D1911" s="4" t="s">
        <v>941</v>
      </c>
      <c r="E1911" s="4">
        <v>40</v>
      </c>
      <c r="F1911" s="4" t="s">
        <v>917</v>
      </c>
      <c r="G1911" s="4"/>
      <c r="H1911" s="4"/>
      <c r="I1911" s="4"/>
      <c r="J1911" s="4"/>
    </row>
    <row r="1912" spans="1:10" ht="15" customHeight="1" x14ac:dyDescent="0.2">
      <c r="A1912" s="4">
        <v>1911</v>
      </c>
      <c r="B1912" s="4">
        <v>1378</v>
      </c>
      <c r="C1912" s="4" t="s">
        <v>752</v>
      </c>
      <c r="D1912" s="4" t="s">
        <v>918</v>
      </c>
      <c r="E1912" s="4">
        <v>50</v>
      </c>
      <c r="F1912" s="4" t="s">
        <v>917</v>
      </c>
      <c r="G1912" s="4"/>
      <c r="H1912" s="4"/>
      <c r="I1912" s="4"/>
      <c r="J1912" s="4"/>
    </row>
    <row r="1913" spans="1:10" ht="15" customHeight="1" x14ac:dyDescent="0.2">
      <c r="A1913" s="4">
        <v>1912</v>
      </c>
      <c r="B1913" s="4">
        <v>1378</v>
      </c>
      <c r="C1913" s="4" t="s">
        <v>752</v>
      </c>
      <c r="D1913" s="4" t="s">
        <v>942</v>
      </c>
      <c r="E1913" s="4">
        <v>80</v>
      </c>
      <c r="F1913" s="4" t="s">
        <v>917</v>
      </c>
      <c r="G1913" s="4"/>
      <c r="H1913" s="4"/>
      <c r="I1913" s="4"/>
      <c r="J1913" s="4"/>
    </row>
    <row r="1914" spans="1:10" ht="15" customHeight="1" x14ac:dyDescent="0.2">
      <c r="A1914" s="4">
        <v>1913</v>
      </c>
      <c r="B1914" s="4">
        <v>1379</v>
      </c>
      <c r="C1914" s="4" t="s">
        <v>753</v>
      </c>
      <c r="D1914" s="4" t="s">
        <v>940</v>
      </c>
      <c r="E1914" s="4">
        <v>20</v>
      </c>
      <c r="F1914" s="4" t="s">
        <v>917</v>
      </c>
      <c r="G1914" s="4"/>
      <c r="H1914" s="4"/>
      <c r="I1914" s="4"/>
      <c r="J1914" s="4"/>
    </row>
    <row r="1915" spans="1:10" ht="15" customHeight="1" x14ac:dyDescent="0.2">
      <c r="A1915" s="4">
        <v>1914</v>
      </c>
      <c r="B1915" s="4">
        <v>1379</v>
      </c>
      <c r="C1915" s="4" t="s">
        <v>753</v>
      </c>
      <c r="D1915" s="4" t="s">
        <v>941</v>
      </c>
      <c r="E1915" s="4">
        <v>40</v>
      </c>
      <c r="F1915" s="4" t="s">
        <v>917</v>
      </c>
      <c r="G1915" s="4"/>
      <c r="H1915" s="4"/>
      <c r="I1915" s="4"/>
      <c r="J1915" s="4"/>
    </row>
    <row r="1916" spans="1:10" ht="15" customHeight="1" x14ac:dyDescent="0.2">
      <c r="A1916" s="4">
        <v>1915</v>
      </c>
      <c r="B1916" s="4">
        <v>1379</v>
      </c>
      <c r="C1916" s="4" t="s">
        <v>753</v>
      </c>
      <c r="D1916" s="4" t="s">
        <v>918</v>
      </c>
      <c r="E1916" s="4">
        <v>50</v>
      </c>
      <c r="F1916" s="4" t="s">
        <v>917</v>
      </c>
      <c r="G1916" s="4"/>
      <c r="H1916" s="4"/>
      <c r="I1916" s="4"/>
      <c r="J1916" s="4"/>
    </row>
    <row r="1917" spans="1:10" ht="15" customHeight="1" x14ac:dyDescent="0.2">
      <c r="A1917" s="4">
        <v>1916</v>
      </c>
      <c r="B1917" s="4">
        <v>1379</v>
      </c>
      <c r="C1917" s="4" t="s">
        <v>753</v>
      </c>
      <c r="D1917" s="4" t="s">
        <v>942</v>
      </c>
      <c r="E1917" s="4">
        <v>80</v>
      </c>
      <c r="F1917" s="4" t="s">
        <v>917</v>
      </c>
      <c r="G1917" s="4"/>
      <c r="H1917" s="4"/>
      <c r="I1917" s="4"/>
      <c r="J1917" s="4"/>
    </row>
    <row r="1918" spans="1:10" ht="15" customHeight="1" x14ac:dyDescent="0.2">
      <c r="A1918" s="4">
        <v>1917</v>
      </c>
      <c r="B1918" s="4">
        <v>1380</v>
      </c>
      <c r="C1918" s="4" t="s">
        <v>754</v>
      </c>
      <c r="D1918" s="4" t="s">
        <v>940</v>
      </c>
      <c r="E1918" s="4">
        <v>20</v>
      </c>
      <c r="F1918" s="4" t="s">
        <v>917</v>
      </c>
      <c r="G1918" s="4"/>
      <c r="H1918" s="4"/>
      <c r="I1918" s="4"/>
      <c r="J1918" s="4"/>
    </row>
    <row r="1919" spans="1:10" ht="15" customHeight="1" x14ac:dyDescent="0.2">
      <c r="A1919" s="4">
        <v>1918</v>
      </c>
      <c r="B1919" s="4">
        <v>1380</v>
      </c>
      <c r="C1919" s="4" t="s">
        <v>754</v>
      </c>
      <c r="D1919" s="4" t="s">
        <v>941</v>
      </c>
      <c r="E1919" s="4">
        <v>40</v>
      </c>
      <c r="F1919" s="4" t="s">
        <v>917</v>
      </c>
      <c r="G1919" s="4"/>
      <c r="H1919" s="4"/>
      <c r="I1919" s="4"/>
      <c r="J1919" s="4"/>
    </row>
    <row r="1920" spans="1:10" ht="15" customHeight="1" x14ac:dyDescent="0.2">
      <c r="A1920" s="4">
        <v>1919</v>
      </c>
      <c r="B1920" s="4">
        <v>1380</v>
      </c>
      <c r="C1920" s="4" t="s">
        <v>754</v>
      </c>
      <c r="D1920" s="4" t="s">
        <v>918</v>
      </c>
      <c r="E1920" s="4">
        <v>50</v>
      </c>
      <c r="F1920" s="4" t="s">
        <v>917</v>
      </c>
      <c r="G1920" s="4"/>
      <c r="H1920" s="4"/>
      <c r="I1920" s="4"/>
      <c r="J1920" s="4"/>
    </row>
    <row r="1921" spans="1:10" ht="15" customHeight="1" x14ac:dyDescent="0.2">
      <c r="A1921" s="4">
        <v>1920</v>
      </c>
      <c r="B1921" s="4">
        <v>1380</v>
      </c>
      <c r="C1921" s="4" t="s">
        <v>754</v>
      </c>
      <c r="D1921" s="4" t="s">
        <v>942</v>
      </c>
      <c r="E1921" s="4">
        <v>80</v>
      </c>
      <c r="F1921" s="4" t="s">
        <v>917</v>
      </c>
      <c r="G1921" s="4"/>
      <c r="H1921" s="4"/>
      <c r="I1921" s="4"/>
      <c r="J1921" s="4"/>
    </row>
    <row r="1922" spans="1:10" ht="15" customHeight="1" x14ac:dyDescent="0.2">
      <c r="A1922" s="4">
        <v>1921</v>
      </c>
      <c r="B1922" s="4">
        <v>1381</v>
      </c>
      <c r="C1922" s="4" t="s">
        <v>755</v>
      </c>
      <c r="D1922" s="4" t="s">
        <v>940</v>
      </c>
      <c r="E1922" s="4">
        <v>20</v>
      </c>
      <c r="F1922" s="4" t="s">
        <v>917</v>
      </c>
      <c r="G1922" s="4"/>
      <c r="H1922" s="4"/>
      <c r="I1922" s="4"/>
      <c r="J1922" s="4"/>
    </row>
    <row r="1923" spans="1:10" ht="15" customHeight="1" x14ac:dyDescent="0.2">
      <c r="A1923" s="4">
        <v>1922</v>
      </c>
      <c r="B1923" s="4">
        <v>1381</v>
      </c>
      <c r="C1923" s="4" t="s">
        <v>755</v>
      </c>
      <c r="D1923" s="4" t="s">
        <v>941</v>
      </c>
      <c r="E1923" s="4">
        <v>40</v>
      </c>
      <c r="F1923" s="4" t="s">
        <v>917</v>
      </c>
      <c r="G1923" s="4"/>
      <c r="H1923" s="4"/>
      <c r="I1923" s="4"/>
      <c r="J1923" s="4"/>
    </row>
    <row r="1924" spans="1:10" ht="15" customHeight="1" x14ac:dyDescent="0.2">
      <c r="A1924" s="4">
        <v>1923</v>
      </c>
      <c r="B1924" s="4">
        <v>1381</v>
      </c>
      <c r="C1924" s="4" t="s">
        <v>755</v>
      </c>
      <c r="D1924" s="4" t="s">
        <v>918</v>
      </c>
      <c r="E1924" s="4">
        <v>50</v>
      </c>
      <c r="F1924" s="4" t="s">
        <v>917</v>
      </c>
      <c r="G1924" s="4"/>
      <c r="H1924" s="4"/>
      <c r="I1924" s="4"/>
      <c r="J1924" s="4"/>
    </row>
    <row r="1925" spans="1:10" ht="15" customHeight="1" x14ac:dyDescent="0.2">
      <c r="A1925" s="4">
        <v>1924</v>
      </c>
      <c r="B1925" s="4">
        <v>1381</v>
      </c>
      <c r="C1925" s="4" t="s">
        <v>755</v>
      </c>
      <c r="D1925" s="4" t="s">
        <v>942</v>
      </c>
      <c r="E1925" s="4">
        <v>80</v>
      </c>
      <c r="F1925" s="4" t="s">
        <v>917</v>
      </c>
      <c r="G1925" s="4"/>
      <c r="H1925" s="4"/>
      <c r="I1925" s="4"/>
      <c r="J1925" s="4"/>
    </row>
    <row r="1926" spans="1:10" ht="15" customHeight="1" x14ac:dyDescent="0.2">
      <c r="A1926" s="4">
        <v>1925</v>
      </c>
      <c r="B1926" s="4">
        <v>1382</v>
      </c>
      <c r="C1926" s="4" t="s">
        <v>757</v>
      </c>
      <c r="D1926" s="4" t="s">
        <v>940</v>
      </c>
      <c r="E1926" s="4">
        <v>20</v>
      </c>
      <c r="F1926" s="4" t="s">
        <v>917</v>
      </c>
      <c r="G1926" s="4"/>
      <c r="H1926" s="4"/>
      <c r="I1926" s="4"/>
      <c r="J1926" s="4"/>
    </row>
    <row r="1927" spans="1:10" ht="15" customHeight="1" x14ac:dyDescent="0.2">
      <c r="A1927" s="4">
        <v>1926</v>
      </c>
      <c r="B1927" s="4">
        <v>1382</v>
      </c>
      <c r="C1927" s="4" t="s">
        <v>757</v>
      </c>
      <c r="D1927" s="4" t="s">
        <v>941</v>
      </c>
      <c r="E1927" s="4">
        <v>40</v>
      </c>
      <c r="F1927" s="4" t="s">
        <v>917</v>
      </c>
      <c r="G1927" s="4"/>
      <c r="H1927" s="4"/>
      <c r="I1927" s="4"/>
      <c r="J1927" s="4"/>
    </row>
    <row r="1928" spans="1:10" ht="15" customHeight="1" x14ac:dyDescent="0.2">
      <c r="A1928" s="4">
        <v>1927</v>
      </c>
      <c r="B1928" s="4">
        <v>1382</v>
      </c>
      <c r="C1928" s="4" t="s">
        <v>757</v>
      </c>
      <c r="D1928" s="4" t="s">
        <v>918</v>
      </c>
      <c r="E1928" s="4">
        <v>50</v>
      </c>
      <c r="F1928" s="4" t="s">
        <v>917</v>
      </c>
      <c r="G1928" s="4"/>
      <c r="H1928" s="4"/>
      <c r="I1928" s="4"/>
      <c r="J1928" s="4"/>
    </row>
    <row r="1929" spans="1:10" ht="15" customHeight="1" x14ac:dyDescent="0.2">
      <c r="A1929" s="4">
        <v>1928</v>
      </c>
      <c r="B1929" s="4">
        <v>1382</v>
      </c>
      <c r="C1929" s="4" t="s">
        <v>757</v>
      </c>
      <c r="D1929" s="4" t="s">
        <v>942</v>
      </c>
      <c r="E1929" s="4">
        <v>80</v>
      </c>
      <c r="F1929" s="4" t="s">
        <v>917</v>
      </c>
      <c r="G1929" s="4"/>
      <c r="H1929" s="4"/>
      <c r="I1929" s="4"/>
      <c r="J1929" s="4"/>
    </row>
    <row r="1930" spans="1:10" ht="15" customHeight="1" x14ac:dyDescent="0.2">
      <c r="A1930" s="4">
        <v>1929</v>
      </c>
      <c r="B1930" s="4">
        <v>1383</v>
      </c>
      <c r="C1930" s="4" t="s">
        <v>758</v>
      </c>
      <c r="D1930" s="4" t="s">
        <v>940</v>
      </c>
      <c r="E1930" s="4">
        <v>20</v>
      </c>
      <c r="F1930" s="4" t="s">
        <v>917</v>
      </c>
      <c r="G1930" s="4"/>
      <c r="H1930" s="4"/>
      <c r="I1930" s="4"/>
      <c r="J1930" s="4"/>
    </row>
    <row r="1931" spans="1:10" ht="15" customHeight="1" x14ac:dyDescent="0.2">
      <c r="A1931" s="4">
        <v>1930</v>
      </c>
      <c r="B1931" s="4">
        <v>1383</v>
      </c>
      <c r="C1931" s="4" t="s">
        <v>758</v>
      </c>
      <c r="D1931" s="4" t="s">
        <v>941</v>
      </c>
      <c r="E1931" s="4">
        <v>40</v>
      </c>
      <c r="F1931" s="4" t="s">
        <v>917</v>
      </c>
      <c r="G1931" s="4"/>
      <c r="H1931" s="4"/>
      <c r="I1931" s="4"/>
      <c r="J1931" s="4"/>
    </row>
    <row r="1932" spans="1:10" ht="15" customHeight="1" x14ac:dyDescent="0.2">
      <c r="A1932" s="4">
        <v>1931</v>
      </c>
      <c r="B1932" s="4">
        <v>1383</v>
      </c>
      <c r="C1932" s="4" t="s">
        <v>758</v>
      </c>
      <c r="D1932" s="4" t="s">
        <v>918</v>
      </c>
      <c r="E1932" s="4">
        <v>50</v>
      </c>
      <c r="F1932" s="4" t="s">
        <v>917</v>
      </c>
      <c r="G1932" s="4"/>
      <c r="H1932" s="4"/>
      <c r="I1932" s="4"/>
      <c r="J1932" s="4"/>
    </row>
    <row r="1933" spans="1:10" ht="15" customHeight="1" x14ac:dyDescent="0.2">
      <c r="A1933" s="4">
        <v>1932</v>
      </c>
      <c r="B1933" s="4">
        <v>1383</v>
      </c>
      <c r="C1933" s="4" t="s">
        <v>758</v>
      </c>
      <c r="D1933" s="4" t="s">
        <v>942</v>
      </c>
      <c r="E1933" s="4">
        <v>80</v>
      </c>
      <c r="F1933" s="4" t="s">
        <v>917</v>
      </c>
      <c r="G1933" s="4"/>
      <c r="H1933" s="4"/>
      <c r="I1933" s="4"/>
      <c r="J1933" s="4"/>
    </row>
    <row r="1934" spans="1:10" ht="15" customHeight="1" x14ac:dyDescent="0.2">
      <c r="A1934" s="4">
        <v>1933</v>
      </c>
      <c r="B1934" s="4">
        <v>1384</v>
      </c>
      <c r="C1934" s="4" t="s">
        <v>759</v>
      </c>
      <c r="D1934" s="4" t="s">
        <v>940</v>
      </c>
      <c r="E1934" s="4">
        <v>20</v>
      </c>
      <c r="F1934" s="4" t="s">
        <v>917</v>
      </c>
      <c r="G1934" s="4"/>
      <c r="H1934" s="4"/>
      <c r="I1934" s="4"/>
      <c r="J1934" s="4"/>
    </row>
    <row r="1935" spans="1:10" ht="15" customHeight="1" x14ac:dyDescent="0.2">
      <c r="A1935" s="4">
        <v>1934</v>
      </c>
      <c r="B1935" s="4">
        <v>1384</v>
      </c>
      <c r="C1935" s="4" t="s">
        <v>759</v>
      </c>
      <c r="D1935" s="4" t="s">
        <v>941</v>
      </c>
      <c r="E1935" s="4">
        <v>40</v>
      </c>
      <c r="F1935" s="4" t="s">
        <v>917</v>
      </c>
      <c r="G1935" s="4"/>
      <c r="H1935" s="4"/>
      <c r="I1935" s="4"/>
      <c r="J1935" s="4"/>
    </row>
    <row r="1936" spans="1:10" ht="15" customHeight="1" x14ac:dyDescent="0.2">
      <c r="A1936" s="4">
        <v>1935</v>
      </c>
      <c r="B1936" s="4">
        <v>1384</v>
      </c>
      <c r="C1936" s="4" t="s">
        <v>759</v>
      </c>
      <c r="D1936" s="4" t="s">
        <v>918</v>
      </c>
      <c r="E1936" s="4">
        <v>50</v>
      </c>
      <c r="F1936" s="4" t="s">
        <v>917</v>
      </c>
      <c r="G1936" s="4"/>
      <c r="H1936" s="4"/>
      <c r="I1936" s="4"/>
      <c r="J1936" s="4"/>
    </row>
    <row r="1937" spans="1:10" ht="15" customHeight="1" x14ac:dyDescent="0.2">
      <c r="A1937" s="4">
        <v>1936</v>
      </c>
      <c r="B1937" s="4">
        <v>1384</v>
      </c>
      <c r="C1937" s="4" t="s">
        <v>759</v>
      </c>
      <c r="D1937" s="4" t="s">
        <v>942</v>
      </c>
      <c r="E1937" s="4">
        <v>80</v>
      </c>
      <c r="F1937" s="4" t="s">
        <v>917</v>
      </c>
      <c r="G1937" s="4"/>
      <c r="H1937" s="4"/>
      <c r="I1937" s="4"/>
      <c r="J1937" s="4"/>
    </row>
    <row r="1938" spans="1:10" ht="15" customHeight="1" x14ac:dyDescent="0.2">
      <c r="A1938" s="4">
        <v>1937</v>
      </c>
      <c r="B1938" s="4">
        <v>1385</v>
      </c>
      <c r="C1938" s="4" t="s">
        <v>761</v>
      </c>
      <c r="D1938" s="4" t="s">
        <v>940</v>
      </c>
      <c r="E1938" s="4">
        <v>20</v>
      </c>
      <c r="F1938" s="4" t="s">
        <v>917</v>
      </c>
      <c r="G1938" s="4"/>
      <c r="H1938" s="4"/>
      <c r="I1938" s="4"/>
      <c r="J1938" s="4"/>
    </row>
    <row r="1939" spans="1:10" ht="15" customHeight="1" x14ac:dyDescent="0.2">
      <c r="A1939" s="4">
        <v>1938</v>
      </c>
      <c r="B1939" s="4">
        <v>1385</v>
      </c>
      <c r="C1939" s="4" t="s">
        <v>761</v>
      </c>
      <c r="D1939" s="4" t="s">
        <v>941</v>
      </c>
      <c r="E1939" s="4">
        <v>40</v>
      </c>
      <c r="F1939" s="4" t="s">
        <v>917</v>
      </c>
      <c r="G1939" s="4"/>
      <c r="H1939" s="4"/>
      <c r="I1939" s="4"/>
      <c r="J1939" s="4"/>
    </row>
    <row r="1940" spans="1:10" ht="15" customHeight="1" x14ac:dyDescent="0.2">
      <c r="A1940" s="4">
        <v>1939</v>
      </c>
      <c r="B1940" s="4">
        <v>1385</v>
      </c>
      <c r="C1940" s="4" t="s">
        <v>761</v>
      </c>
      <c r="D1940" s="4" t="s">
        <v>918</v>
      </c>
      <c r="E1940" s="4">
        <v>50</v>
      </c>
      <c r="F1940" s="4" t="s">
        <v>917</v>
      </c>
      <c r="G1940" s="4"/>
      <c r="H1940" s="4"/>
      <c r="I1940" s="4"/>
      <c r="J1940" s="4"/>
    </row>
    <row r="1941" spans="1:10" ht="15" customHeight="1" x14ac:dyDescent="0.2">
      <c r="A1941" s="4">
        <v>1940</v>
      </c>
      <c r="B1941" s="4">
        <v>1385</v>
      </c>
      <c r="C1941" s="4" t="s">
        <v>761</v>
      </c>
      <c r="D1941" s="4" t="s">
        <v>942</v>
      </c>
      <c r="E1941" s="4">
        <v>80</v>
      </c>
      <c r="F1941" s="4" t="s">
        <v>917</v>
      </c>
      <c r="G1941" s="4"/>
      <c r="H1941" s="4"/>
      <c r="I1941" s="4"/>
      <c r="J1941" s="4"/>
    </row>
    <row r="1942" spans="1:10" ht="15" customHeight="1" x14ac:dyDescent="0.2">
      <c r="A1942" s="4">
        <v>1941</v>
      </c>
      <c r="B1942" s="4">
        <v>1386</v>
      </c>
      <c r="C1942" s="4" t="s">
        <v>762</v>
      </c>
      <c r="D1942" s="4" t="s">
        <v>940</v>
      </c>
      <c r="E1942" s="4">
        <v>20</v>
      </c>
      <c r="F1942" s="4" t="s">
        <v>917</v>
      </c>
      <c r="G1942" s="4"/>
      <c r="H1942" s="4"/>
      <c r="I1942" s="4"/>
      <c r="J1942" s="4"/>
    </row>
    <row r="1943" spans="1:10" ht="15" customHeight="1" x14ac:dyDescent="0.2">
      <c r="A1943" s="4">
        <v>1942</v>
      </c>
      <c r="B1943" s="4">
        <v>1386</v>
      </c>
      <c r="C1943" s="4" t="s">
        <v>762</v>
      </c>
      <c r="D1943" s="4" t="s">
        <v>941</v>
      </c>
      <c r="E1943" s="4">
        <v>40</v>
      </c>
      <c r="F1943" s="4" t="s">
        <v>917</v>
      </c>
      <c r="G1943" s="4"/>
      <c r="H1943" s="4"/>
      <c r="I1943" s="4"/>
      <c r="J1943" s="4"/>
    </row>
    <row r="1944" spans="1:10" ht="15" customHeight="1" x14ac:dyDescent="0.2">
      <c r="A1944" s="4">
        <v>1943</v>
      </c>
      <c r="B1944" s="4">
        <v>1386</v>
      </c>
      <c r="C1944" s="4" t="s">
        <v>762</v>
      </c>
      <c r="D1944" s="4" t="s">
        <v>918</v>
      </c>
      <c r="E1944" s="4">
        <v>50</v>
      </c>
      <c r="F1944" s="4" t="s">
        <v>917</v>
      </c>
      <c r="G1944" s="4"/>
      <c r="H1944" s="4"/>
      <c r="I1944" s="4"/>
      <c r="J1944" s="4"/>
    </row>
    <row r="1945" spans="1:10" ht="15" customHeight="1" x14ac:dyDescent="0.2">
      <c r="A1945" s="4">
        <v>1944</v>
      </c>
      <c r="B1945" s="4">
        <v>1386</v>
      </c>
      <c r="C1945" s="4" t="s">
        <v>762</v>
      </c>
      <c r="D1945" s="4" t="s">
        <v>942</v>
      </c>
      <c r="E1945" s="4">
        <v>80</v>
      </c>
      <c r="F1945" s="4" t="s">
        <v>917</v>
      </c>
      <c r="G1945" s="4"/>
      <c r="H1945" s="4"/>
      <c r="I1945" s="4"/>
      <c r="J1945" s="4"/>
    </row>
    <row r="1946" spans="1:10" ht="15" customHeight="1" x14ac:dyDescent="0.2">
      <c r="A1946" s="4">
        <v>1945</v>
      </c>
      <c r="B1946" s="4">
        <v>1387</v>
      </c>
      <c r="C1946" s="4" t="s">
        <v>763</v>
      </c>
      <c r="D1946" s="4" t="s">
        <v>940</v>
      </c>
      <c r="E1946" s="4">
        <v>20</v>
      </c>
      <c r="F1946" s="4" t="s">
        <v>917</v>
      </c>
      <c r="G1946" s="4"/>
      <c r="H1946" s="4"/>
      <c r="I1946" s="4"/>
      <c r="J1946" s="4"/>
    </row>
    <row r="1947" spans="1:10" ht="15" customHeight="1" x14ac:dyDescent="0.2">
      <c r="A1947" s="4">
        <v>1946</v>
      </c>
      <c r="B1947" s="4">
        <v>1387</v>
      </c>
      <c r="C1947" s="4" t="s">
        <v>763</v>
      </c>
      <c r="D1947" s="4" t="s">
        <v>941</v>
      </c>
      <c r="E1947" s="4">
        <v>40</v>
      </c>
      <c r="F1947" s="4" t="s">
        <v>917</v>
      </c>
      <c r="G1947" s="4"/>
      <c r="H1947" s="4"/>
      <c r="I1947" s="4"/>
      <c r="J1947" s="4"/>
    </row>
    <row r="1948" spans="1:10" ht="15" customHeight="1" x14ac:dyDescent="0.2">
      <c r="A1948" s="4">
        <v>1947</v>
      </c>
      <c r="B1948" s="4">
        <v>1387</v>
      </c>
      <c r="C1948" s="4" t="s">
        <v>763</v>
      </c>
      <c r="D1948" s="4" t="s">
        <v>918</v>
      </c>
      <c r="E1948" s="4">
        <v>50</v>
      </c>
      <c r="F1948" s="4" t="s">
        <v>917</v>
      </c>
      <c r="G1948" s="4"/>
      <c r="H1948" s="4"/>
      <c r="I1948" s="4"/>
      <c r="J1948" s="4"/>
    </row>
    <row r="1949" spans="1:10" ht="15" customHeight="1" x14ac:dyDescent="0.2">
      <c r="A1949" s="4">
        <v>1948</v>
      </c>
      <c r="B1949" s="4">
        <v>1387</v>
      </c>
      <c r="C1949" s="4" t="s">
        <v>763</v>
      </c>
      <c r="D1949" s="4" t="s">
        <v>942</v>
      </c>
      <c r="E1949" s="4">
        <v>80</v>
      </c>
      <c r="F1949" s="4" t="s">
        <v>917</v>
      </c>
      <c r="G1949" s="4"/>
      <c r="H1949" s="4"/>
      <c r="I1949" s="4"/>
      <c r="J1949" s="4"/>
    </row>
    <row r="1950" spans="1:10" ht="15" customHeight="1" x14ac:dyDescent="0.2">
      <c r="A1950" s="4">
        <v>1949</v>
      </c>
      <c r="B1950" s="4">
        <v>1388</v>
      </c>
      <c r="C1950" s="4" t="s">
        <v>764</v>
      </c>
      <c r="D1950" s="4" t="s">
        <v>940</v>
      </c>
      <c r="E1950" s="4">
        <v>20</v>
      </c>
      <c r="F1950" s="4" t="s">
        <v>917</v>
      </c>
      <c r="G1950" s="4"/>
      <c r="H1950" s="4"/>
      <c r="I1950" s="4"/>
      <c r="J1950" s="4"/>
    </row>
    <row r="1951" spans="1:10" ht="15" customHeight="1" x14ac:dyDescent="0.2">
      <c r="A1951" s="4">
        <v>1950</v>
      </c>
      <c r="B1951" s="4">
        <v>1388</v>
      </c>
      <c r="C1951" s="4" t="s">
        <v>764</v>
      </c>
      <c r="D1951" s="4" t="s">
        <v>941</v>
      </c>
      <c r="E1951" s="4">
        <v>40</v>
      </c>
      <c r="F1951" s="4" t="s">
        <v>917</v>
      </c>
      <c r="G1951" s="4"/>
      <c r="H1951" s="4"/>
      <c r="I1951" s="4"/>
      <c r="J1951" s="4"/>
    </row>
    <row r="1952" spans="1:10" ht="15" customHeight="1" x14ac:dyDescent="0.2">
      <c r="A1952" s="4">
        <v>1951</v>
      </c>
      <c r="B1952" s="4">
        <v>1388</v>
      </c>
      <c r="C1952" s="4" t="s">
        <v>764</v>
      </c>
      <c r="D1952" s="4" t="s">
        <v>918</v>
      </c>
      <c r="E1952" s="4">
        <v>50</v>
      </c>
      <c r="F1952" s="4" t="s">
        <v>917</v>
      </c>
      <c r="G1952" s="4"/>
      <c r="H1952" s="4"/>
      <c r="I1952" s="4"/>
      <c r="J1952" s="4"/>
    </row>
    <row r="1953" spans="1:10" ht="15" customHeight="1" x14ac:dyDescent="0.2">
      <c r="A1953" s="4">
        <v>1952</v>
      </c>
      <c r="B1953" s="4">
        <v>1388</v>
      </c>
      <c r="C1953" s="4" t="s">
        <v>764</v>
      </c>
      <c r="D1953" s="4" t="s">
        <v>942</v>
      </c>
      <c r="E1953" s="4">
        <v>80</v>
      </c>
      <c r="F1953" s="4" t="s">
        <v>917</v>
      </c>
      <c r="G1953" s="4"/>
      <c r="H1953" s="4"/>
      <c r="I1953" s="4"/>
      <c r="J1953" s="4"/>
    </row>
    <row r="1954" spans="1:10" ht="15" customHeight="1" x14ac:dyDescent="0.2">
      <c r="A1954" s="4">
        <v>1953</v>
      </c>
      <c r="B1954" s="4">
        <v>1389</v>
      </c>
      <c r="C1954" s="4" t="s">
        <v>765</v>
      </c>
      <c r="D1954" s="4" t="s">
        <v>940</v>
      </c>
      <c r="E1954" s="4">
        <v>20</v>
      </c>
      <c r="F1954" s="4" t="s">
        <v>917</v>
      </c>
      <c r="G1954" s="4"/>
      <c r="H1954" s="4"/>
      <c r="I1954" s="4"/>
      <c r="J1954" s="4"/>
    </row>
    <row r="1955" spans="1:10" ht="15" customHeight="1" x14ac:dyDescent="0.2">
      <c r="A1955" s="4">
        <v>1954</v>
      </c>
      <c r="B1955" s="4">
        <v>1389</v>
      </c>
      <c r="C1955" s="4" t="s">
        <v>765</v>
      </c>
      <c r="D1955" s="4" t="s">
        <v>941</v>
      </c>
      <c r="E1955" s="4">
        <v>40</v>
      </c>
      <c r="F1955" s="4" t="s">
        <v>917</v>
      </c>
      <c r="G1955" s="4"/>
      <c r="H1955" s="4"/>
      <c r="I1955" s="4"/>
      <c r="J1955" s="4"/>
    </row>
    <row r="1956" spans="1:10" ht="15" customHeight="1" x14ac:dyDescent="0.2">
      <c r="A1956" s="4">
        <v>1955</v>
      </c>
      <c r="B1956" s="4">
        <v>1389</v>
      </c>
      <c r="C1956" s="4" t="s">
        <v>765</v>
      </c>
      <c r="D1956" s="4" t="s">
        <v>918</v>
      </c>
      <c r="E1956" s="4">
        <v>50</v>
      </c>
      <c r="F1956" s="4" t="s">
        <v>917</v>
      </c>
      <c r="G1956" s="4"/>
      <c r="H1956" s="4"/>
      <c r="I1956" s="4"/>
      <c r="J1956" s="4"/>
    </row>
    <row r="1957" spans="1:10" ht="15" customHeight="1" x14ac:dyDescent="0.2">
      <c r="A1957" s="4">
        <v>1956</v>
      </c>
      <c r="B1957" s="4">
        <v>1389</v>
      </c>
      <c r="C1957" s="4" t="s">
        <v>765</v>
      </c>
      <c r="D1957" s="4" t="s">
        <v>942</v>
      </c>
      <c r="E1957" s="4">
        <v>80</v>
      </c>
      <c r="F1957" s="4" t="s">
        <v>917</v>
      </c>
      <c r="G1957" s="4"/>
      <c r="H1957" s="4"/>
      <c r="I1957" s="4"/>
      <c r="J1957" s="4"/>
    </row>
    <row r="1958" spans="1:10" ht="15" customHeight="1" x14ac:dyDescent="0.2">
      <c r="A1958" s="4">
        <v>1957</v>
      </c>
      <c r="B1958" s="4">
        <v>1390</v>
      </c>
      <c r="C1958" s="4" t="s">
        <v>766</v>
      </c>
      <c r="D1958" s="4" t="s">
        <v>940</v>
      </c>
      <c r="E1958" s="4">
        <v>20</v>
      </c>
      <c r="F1958" s="4" t="s">
        <v>917</v>
      </c>
      <c r="G1958" s="4"/>
      <c r="H1958" s="4"/>
      <c r="I1958" s="4"/>
      <c r="J1958" s="4"/>
    </row>
    <row r="1959" spans="1:10" ht="15" customHeight="1" x14ac:dyDescent="0.2">
      <c r="A1959" s="4">
        <v>1958</v>
      </c>
      <c r="B1959" s="4">
        <v>1390</v>
      </c>
      <c r="C1959" s="4" t="s">
        <v>766</v>
      </c>
      <c r="D1959" s="4" t="s">
        <v>941</v>
      </c>
      <c r="E1959" s="4">
        <v>40</v>
      </c>
      <c r="F1959" s="4" t="s">
        <v>917</v>
      </c>
      <c r="G1959" s="4"/>
      <c r="H1959" s="4"/>
      <c r="I1959" s="4"/>
      <c r="J1959" s="4"/>
    </row>
    <row r="1960" spans="1:10" ht="15" customHeight="1" x14ac:dyDescent="0.2">
      <c r="A1960" s="4">
        <v>1959</v>
      </c>
      <c r="B1960" s="4">
        <v>1390</v>
      </c>
      <c r="C1960" s="4" t="s">
        <v>766</v>
      </c>
      <c r="D1960" s="4" t="s">
        <v>918</v>
      </c>
      <c r="E1960" s="4">
        <v>50</v>
      </c>
      <c r="F1960" s="4" t="s">
        <v>917</v>
      </c>
      <c r="G1960" s="4"/>
      <c r="H1960" s="4"/>
      <c r="I1960" s="4"/>
      <c r="J1960" s="4"/>
    </row>
    <row r="1961" spans="1:10" ht="15" customHeight="1" x14ac:dyDescent="0.2">
      <c r="A1961" s="4">
        <v>1960</v>
      </c>
      <c r="B1961" s="4">
        <v>1390</v>
      </c>
      <c r="C1961" s="4" t="s">
        <v>766</v>
      </c>
      <c r="D1961" s="4" t="s">
        <v>942</v>
      </c>
      <c r="E1961" s="4">
        <v>80</v>
      </c>
      <c r="F1961" s="4" t="s">
        <v>917</v>
      </c>
      <c r="G1961" s="4"/>
      <c r="H1961" s="4"/>
      <c r="I1961" s="4"/>
      <c r="J1961" s="4"/>
    </row>
    <row r="1962" spans="1:10" ht="15" customHeight="1" x14ac:dyDescent="0.2">
      <c r="A1962" s="4">
        <v>1961</v>
      </c>
      <c r="B1962" s="4">
        <v>1391</v>
      </c>
      <c r="C1962" s="4" t="s">
        <v>767</v>
      </c>
      <c r="D1962" s="4" t="s">
        <v>940</v>
      </c>
      <c r="E1962" s="4">
        <v>20</v>
      </c>
      <c r="F1962" s="4" t="s">
        <v>917</v>
      </c>
      <c r="G1962" s="4"/>
      <c r="H1962" s="4"/>
      <c r="I1962" s="4"/>
      <c r="J1962" s="4"/>
    </row>
    <row r="1963" spans="1:10" ht="15" customHeight="1" x14ac:dyDescent="0.2">
      <c r="A1963" s="4">
        <v>1962</v>
      </c>
      <c r="B1963" s="4">
        <v>1391</v>
      </c>
      <c r="C1963" s="4" t="s">
        <v>767</v>
      </c>
      <c r="D1963" s="4" t="s">
        <v>941</v>
      </c>
      <c r="E1963" s="4">
        <v>40</v>
      </c>
      <c r="F1963" s="4" t="s">
        <v>917</v>
      </c>
      <c r="G1963" s="4"/>
      <c r="H1963" s="4"/>
      <c r="I1963" s="4"/>
      <c r="J1963" s="4"/>
    </row>
    <row r="1964" spans="1:10" ht="15" customHeight="1" x14ac:dyDescent="0.2">
      <c r="A1964" s="4">
        <v>1963</v>
      </c>
      <c r="B1964" s="4">
        <v>1391</v>
      </c>
      <c r="C1964" s="4" t="s">
        <v>767</v>
      </c>
      <c r="D1964" s="4" t="s">
        <v>918</v>
      </c>
      <c r="E1964" s="4">
        <v>50</v>
      </c>
      <c r="F1964" s="4" t="s">
        <v>917</v>
      </c>
      <c r="G1964" s="4"/>
      <c r="H1964" s="4"/>
      <c r="I1964" s="4"/>
      <c r="J1964" s="4"/>
    </row>
    <row r="1965" spans="1:10" ht="15" customHeight="1" x14ac:dyDescent="0.2">
      <c r="A1965" s="4">
        <v>1964</v>
      </c>
      <c r="B1965" s="4">
        <v>1391</v>
      </c>
      <c r="C1965" s="4" t="s">
        <v>767</v>
      </c>
      <c r="D1965" s="4" t="s">
        <v>942</v>
      </c>
      <c r="E1965" s="4">
        <v>80</v>
      </c>
      <c r="F1965" s="4" t="s">
        <v>917</v>
      </c>
      <c r="G1965" s="4"/>
      <c r="H1965" s="4"/>
      <c r="I1965" s="4"/>
      <c r="J1965" s="4"/>
    </row>
    <row r="1966" spans="1:10" ht="15" customHeight="1" x14ac:dyDescent="0.2">
      <c r="A1966" s="4">
        <v>1965</v>
      </c>
      <c r="B1966" s="4">
        <v>1392</v>
      </c>
      <c r="C1966" s="4" t="s">
        <v>768</v>
      </c>
      <c r="D1966" s="4" t="s">
        <v>940</v>
      </c>
      <c r="E1966" s="4">
        <v>20</v>
      </c>
      <c r="F1966" s="4" t="s">
        <v>917</v>
      </c>
      <c r="G1966" s="4"/>
      <c r="H1966" s="4"/>
      <c r="I1966" s="4"/>
      <c r="J1966" s="4"/>
    </row>
    <row r="1967" spans="1:10" ht="15" customHeight="1" x14ac:dyDescent="0.2">
      <c r="A1967" s="4">
        <v>1966</v>
      </c>
      <c r="B1967" s="4">
        <v>1392</v>
      </c>
      <c r="C1967" s="4" t="s">
        <v>768</v>
      </c>
      <c r="D1967" s="4" t="s">
        <v>941</v>
      </c>
      <c r="E1967" s="4">
        <v>40</v>
      </c>
      <c r="F1967" s="4" t="s">
        <v>917</v>
      </c>
      <c r="G1967" s="4"/>
      <c r="H1967" s="4"/>
      <c r="I1967" s="4"/>
      <c r="J1967" s="4"/>
    </row>
    <row r="1968" spans="1:10" ht="15" customHeight="1" x14ac:dyDescent="0.2">
      <c r="A1968" s="4">
        <v>1967</v>
      </c>
      <c r="B1968" s="4">
        <v>1392</v>
      </c>
      <c r="C1968" s="4" t="s">
        <v>768</v>
      </c>
      <c r="D1968" s="4" t="s">
        <v>918</v>
      </c>
      <c r="E1968" s="4">
        <v>50</v>
      </c>
      <c r="F1968" s="4" t="s">
        <v>917</v>
      </c>
      <c r="G1968" s="4"/>
      <c r="H1968" s="4"/>
      <c r="I1968" s="4"/>
      <c r="J1968" s="4"/>
    </row>
    <row r="1969" spans="1:10" ht="15" customHeight="1" x14ac:dyDescent="0.2">
      <c r="A1969" s="4">
        <v>1968</v>
      </c>
      <c r="B1969" s="4">
        <v>1392</v>
      </c>
      <c r="C1969" s="4" t="s">
        <v>768</v>
      </c>
      <c r="D1969" s="4" t="s">
        <v>942</v>
      </c>
      <c r="E1969" s="4">
        <v>80</v>
      </c>
      <c r="F1969" s="4" t="s">
        <v>917</v>
      </c>
      <c r="G1969" s="4"/>
      <c r="H1969" s="4"/>
      <c r="I1969" s="4"/>
      <c r="J1969" s="4"/>
    </row>
    <row r="1970" spans="1:10" ht="15" customHeight="1" x14ac:dyDescent="0.2">
      <c r="A1970" s="4">
        <v>1969</v>
      </c>
      <c r="B1970" s="4">
        <v>1393</v>
      </c>
      <c r="C1970" s="4" t="s">
        <v>769</v>
      </c>
      <c r="D1970" s="4" t="s">
        <v>940</v>
      </c>
      <c r="E1970" s="4">
        <v>20</v>
      </c>
      <c r="F1970" s="4" t="s">
        <v>917</v>
      </c>
      <c r="G1970" s="4"/>
      <c r="H1970" s="4"/>
      <c r="I1970" s="4"/>
      <c r="J1970" s="4"/>
    </row>
    <row r="1971" spans="1:10" ht="15" customHeight="1" x14ac:dyDescent="0.2">
      <c r="A1971" s="4">
        <v>1970</v>
      </c>
      <c r="B1971" s="4">
        <v>1393</v>
      </c>
      <c r="C1971" s="4" t="s">
        <v>769</v>
      </c>
      <c r="D1971" s="4" t="s">
        <v>941</v>
      </c>
      <c r="E1971" s="4">
        <v>40</v>
      </c>
      <c r="F1971" s="4" t="s">
        <v>917</v>
      </c>
      <c r="G1971" s="4"/>
      <c r="H1971" s="4"/>
      <c r="I1971" s="4"/>
      <c r="J1971" s="4"/>
    </row>
    <row r="1972" spans="1:10" ht="15" customHeight="1" x14ac:dyDescent="0.2">
      <c r="A1972" s="4">
        <v>1971</v>
      </c>
      <c r="B1972" s="4">
        <v>1393</v>
      </c>
      <c r="C1972" s="4" t="s">
        <v>769</v>
      </c>
      <c r="D1972" s="4" t="s">
        <v>918</v>
      </c>
      <c r="E1972" s="4">
        <v>50</v>
      </c>
      <c r="F1972" s="4" t="s">
        <v>917</v>
      </c>
      <c r="G1972" s="4"/>
      <c r="H1972" s="4"/>
      <c r="I1972" s="4"/>
      <c r="J1972" s="4"/>
    </row>
    <row r="1973" spans="1:10" ht="15" customHeight="1" x14ac:dyDescent="0.2">
      <c r="A1973" s="4">
        <v>1972</v>
      </c>
      <c r="B1973" s="4">
        <v>1393</v>
      </c>
      <c r="C1973" s="4" t="s">
        <v>769</v>
      </c>
      <c r="D1973" s="4" t="s">
        <v>942</v>
      </c>
      <c r="E1973" s="4">
        <v>80</v>
      </c>
      <c r="F1973" s="4" t="s">
        <v>917</v>
      </c>
      <c r="G1973" s="4"/>
      <c r="H1973" s="4"/>
      <c r="I1973" s="4"/>
      <c r="J1973" s="4"/>
    </row>
    <row r="1974" spans="1:10" ht="15" customHeight="1" x14ac:dyDescent="0.2">
      <c r="A1974" s="4">
        <v>1973</v>
      </c>
      <c r="B1974" s="4">
        <v>1394</v>
      </c>
      <c r="C1974" s="4" t="s">
        <v>771</v>
      </c>
      <c r="D1974" s="4" t="s">
        <v>940</v>
      </c>
      <c r="E1974" s="4">
        <v>20</v>
      </c>
      <c r="F1974" s="4" t="s">
        <v>917</v>
      </c>
      <c r="G1974" s="4"/>
      <c r="H1974" s="4"/>
      <c r="I1974" s="4"/>
      <c r="J1974" s="4"/>
    </row>
    <row r="1975" spans="1:10" ht="15" customHeight="1" x14ac:dyDescent="0.2">
      <c r="A1975" s="4">
        <v>1974</v>
      </c>
      <c r="B1975" s="4">
        <v>1394</v>
      </c>
      <c r="C1975" s="4" t="s">
        <v>771</v>
      </c>
      <c r="D1975" s="4" t="s">
        <v>941</v>
      </c>
      <c r="E1975" s="4">
        <v>40</v>
      </c>
      <c r="F1975" s="4" t="s">
        <v>917</v>
      </c>
      <c r="G1975" s="4"/>
      <c r="H1975" s="4"/>
      <c r="I1975" s="4"/>
      <c r="J1975" s="4"/>
    </row>
    <row r="1976" spans="1:10" ht="15" customHeight="1" x14ac:dyDescent="0.2">
      <c r="A1976" s="4">
        <v>1975</v>
      </c>
      <c r="B1976" s="4">
        <v>1394</v>
      </c>
      <c r="C1976" s="4" t="s">
        <v>771</v>
      </c>
      <c r="D1976" s="4" t="s">
        <v>918</v>
      </c>
      <c r="E1976" s="4">
        <v>50</v>
      </c>
      <c r="F1976" s="4" t="s">
        <v>917</v>
      </c>
      <c r="G1976" s="4"/>
      <c r="H1976" s="4"/>
      <c r="I1976" s="4"/>
      <c r="J1976" s="4"/>
    </row>
    <row r="1977" spans="1:10" ht="15" customHeight="1" x14ac:dyDescent="0.2">
      <c r="A1977" s="4">
        <v>1976</v>
      </c>
      <c r="B1977" s="4">
        <v>1394</v>
      </c>
      <c r="C1977" s="4" t="s">
        <v>771</v>
      </c>
      <c r="D1977" s="4" t="s">
        <v>942</v>
      </c>
      <c r="E1977" s="4">
        <v>80</v>
      </c>
      <c r="F1977" s="4" t="s">
        <v>917</v>
      </c>
      <c r="G1977" s="4"/>
      <c r="H1977" s="4"/>
      <c r="I1977" s="4"/>
      <c r="J1977" s="4"/>
    </row>
    <row r="1978" spans="1:10" ht="15" customHeight="1" x14ac:dyDescent="0.2">
      <c r="A1978" s="4">
        <v>1977</v>
      </c>
      <c r="B1978" s="4">
        <v>1395</v>
      </c>
      <c r="C1978" s="4" t="s">
        <v>772</v>
      </c>
      <c r="D1978" s="4" t="s">
        <v>940</v>
      </c>
      <c r="E1978" s="4">
        <v>20</v>
      </c>
      <c r="F1978" s="4" t="s">
        <v>917</v>
      </c>
      <c r="G1978" s="4"/>
      <c r="H1978" s="4"/>
      <c r="I1978" s="4"/>
      <c r="J1978" s="4"/>
    </row>
    <row r="1979" spans="1:10" ht="15" customHeight="1" x14ac:dyDescent="0.2">
      <c r="A1979" s="4">
        <v>1978</v>
      </c>
      <c r="B1979" s="4">
        <v>1395</v>
      </c>
      <c r="C1979" s="4" t="s">
        <v>772</v>
      </c>
      <c r="D1979" s="4" t="s">
        <v>941</v>
      </c>
      <c r="E1979" s="4">
        <v>40</v>
      </c>
      <c r="F1979" s="4" t="s">
        <v>917</v>
      </c>
      <c r="G1979" s="4"/>
      <c r="H1979" s="4"/>
      <c r="I1979" s="4"/>
      <c r="J1979" s="4"/>
    </row>
    <row r="1980" spans="1:10" ht="15" customHeight="1" x14ac:dyDescent="0.2">
      <c r="A1980" s="4">
        <v>1979</v>
      </c>
      <c r="B1980" s="4">
        <v>1395</v>
      </c>
      <c r="C1980" s="4" t="s">
        <v>772</v>
      </c>
      <c r="D1980" s="4" t="s">
        <v>918</v>
      </c>
      <c r="E1980" s="4">
        <v>50</v>
      </c>
      <c r="F1980" s="4" t="s">
        <v>917</v>
      </c>
      <c r="G1980" s="4"/>
      <c r="H1980" s="4"/>
      <c r="I1980" s="4"/>
      <c r="J1980" s="4"/>
    </row>
    <row r="1981" spans="1:10" ht="15" customHeight="1" x14ac:dyDescent="0.2">
      <c r="A1981" s="4">
        <v>1980</v>
      </c>
      <c r="B1981" s="4">
        <v>1395</v>
      </c>
      <c r="C1981" s="4" t="s">
        <v>772</v>
      </c>
      <c r="D1981" s="4" t="s">
        <v>942</v>
      </c>
      <c r="E1981" s="4">
        <v>80</v>
      </c>
      <c r="F1981" s="4" t="s">
        <v>917</v>
      </c>
      <c r="G1981" s="4"/>
      <c r="H1981" s="4"/>
      <c r="I1981" s="4"/>
      <c r="J1981" s="4"/>
    </row>
    <row r="1982" spans="1:10" ht="15" customHeight="1" x14ac:dyDescent="0.2">
      <c r="A1982" s="4">
        <v>1981</v>
      </c>
      <c r="B1982" s="4">
        <v>1396</v>
      </c>
      <c r="C1982" s="4" t="s">
        <v>773</v>
      </c>
      <c r="D1982" s="4" t="s">
        <v>940</v>
      </c>
      <c r="E1982" s="4">
        <v>20</v>
      </c>
      <c r="F1982" s="4" t="s">
        <v>917</v>
      </c>
      <c r="G1982" s="4"/>
      <c r="H1982" s="4"/>
      <c r="I1982" s="4"/>
      <c r="J1982" s="4"/>
    </row>
    <row r="1983" spans="1:10" ht="15" customHeight="1" x14ac:dyDescent="0.2">
      <c r="A1983" s="4">
        <v>1982</v>
      </c>
      <c r="B1983" s="4">
        <v>1396</v>
      </c>
      <c r="C1983" s="4" t="s">
        <v>773</v>
      </c>
      <c r="D1983" s="4" t="s">
        <v>941</v>
      </c>
      <c r="E1983" s="4">
        <v>40</v>
      </c>
      <c r="F1983" s="4" t="s">
        <v>917</v>
      </c>
      <c r="G1983" s="4"/>
      <c r="H1983" s="4"/>
      <c r="I1983" s="4"/>
      <c r="J1983" s="4"/>
    </row>
    <row r="1984" spans="1:10" ht="15" customHeight="1" x14ac:dyDescent="0.2">
      <c r="A1984" s="4">
        <v>1983</v>
      </c>
      <c r="B1984" s="4">
        <v>1396</v>
      </c>
      <c r="C1984" s="4" t="s">
        <v>773</v>
      </c>
      <c r="D1984" s="4" t="s">
        <v>918</v>
      </c>
      <c r="E1984" s="4">
        <v>50</v>
      </c>
      <c r="F1984" s="4" t="s">
        <v>917</v>
      </c>
      <c r="G1984" s="4"/>
      <c r="H1984" s="4"/>
      <c r="I1984" s="4"/>
      <c r="J1984" s="4"/>
    </row>
    <row r="1985" spans="1:10" ht="15" customHeight="1" x14ac:dyDescent="0.2">
      <c r="A1985" s="4">
        <v>1984</v>
      </c>
      <c r="B1985" s="4">
        <v>1396</v>
      </c>
      <c r="C1985" s="4" t="s">
        <v>773</v>
      </c>
      <c r="D1985" s="4" t="s">
        <v>942</v>
      </c>
      <c r="E1985" s="4">
        <v>80</v>
      </c>
      <c r="F1985" s="4" t="s">
        <v>917</v>
      </c>
      <c r="G1985" s="4"/>
      <c r="H1985" s="4"/>
      <c r="I1985" s="4"/>
      <c r="J1985" s="4"/>
    </row>
    <row r="1986" spans="1:10" ht="15" customHeight="1" x14ac:dyDescent="0.2">
      <c r="A1986" s="4">
        <v>1985</v>
      </c>
      <c r="B1986" s="4">
        <v>1397</v>
      </c>
      <c r="C1986" s="4" t="s">
        <v>775</v>
      </c>
      <c r="D1986" s="4" t="s">
        <v>940</v>
      </c>
      <c r="E1986" s="4">
        <v>20</v>
      </c>
      <c r="F1986" s="4" t="s">
        <v>917</v>
      </c>
      <c r="G1986" s="4"/>
      <c r="H1986" s="4"/>
      <c r="I1986" s="4"/>
      <c r="J1986" s="4"/>
    </row>
    <row r="1987" spans="1:10" ht="15" customHeight="1" x14ac:dyDescent="0.2">
      <c r="A1987" s="4">
        <v>1986</v>
      </c>
      <c r="B1987" s="4">
        <v>1397</v>
      </c>
      <c r="C1987" s="4" t="s">
        <v>775</v>
      </c>
      <c r="D1987" s="4" t="s">
        <v>941</v>
      </c>
      <c r="E1987" s="4">
        <v>40</v>
      </c>
      <c r="F1987" s="4" t="s">
        <v>917</v>
      </c>
      <c r="G1987" s="4"/>
      <c r="H1987" s="4"/>
      <c r="I1987" s="4"/>
      <c r="J1987" s="4"/>
    </row>
    <row r="1988" spans="1:10" ht="15" customHeight="1" x14ac:dyDescent="0.2">
      <c r="A1988" s="4">
        <v>1987</v>
      </c>
      <c r="B1988" s="4">
        <v>1397</v>
      </c>
      <c r="C1988" s="4" t="s">
        <v>775</v>
      </c>
      <c r="D1988" s="4" t="s">
        <v>918</v>
      </c>
      <c r="E1988" s="4">
        <v>50</v>
      </c>
      <c r="F1988" s="4" t="s">
        <v>917</v>
      </c>
      <c r="G1988" s="4"/>
      <c r="H1988" s="4"/>
      <c r="I1988" s="4"/>
      <c r="J1988" s="4"/>
    </row>
    <row r="1989" spans="1:10" ht="15" customHeight="1" x14ac:dyDescent="0.2">
      <c r="A1989" s="4">
        <v>1988</v>
      </c>
      <c r="B1989" s="4">
        <v>1397</v>
      </c>
      <c r="C1989" s="4" t="s">
        <v>775</v>
      </c>
      <c r="D1989" s="4" t="s">
        <v>942</v>
      </c>
      <c r="E1989" s="4">
        <v>80</v>
      </c>
      <c r="F1989" s="4" t="s">
        <v>917</v>
      </c>
      <c r="G1989" s="4"/>
      <c r="H1989" s="4"/>
      <c r="I1989" s="4"/>
      <c r="J1989" s="4"/>
    </row>
    <row r="1990" spans="1:10" ht="15" customHeight="1" x14ac:dyDescent="0.2">
      <c r="A1990" s="4">
        <v>1989</v>
      </c>
      <c r="B1990" s="4">
        <v>1398</v>
      </c>
      <c r="C1990" s="4" t="s">
        <v>776</v>
      </c>
      <c r="D1990" s="4" t="s">
        <v>940</v>
      </c>
      <c r="E1990" s="4">
        <v>20</v>
      </c>
      <c r="F1990" s="4" t="s">
        <v>917</v>
      </c>
      <c r="G1990" s="4"/>
      <c r="H1990" s="4"/>
      <c r="I1990" s="4"/>
      <c r="J1990" s="4"/>
    </row>
    <row r="1991" spans="1:10" ht="15" customHeight="1" x14ac:dyDescent="0.2">
      <c r="A1991" s="4">
        <v>1990</v>
      </c>
      <c r="B1991" s="4">
        <v>1398</v>
      </c>
      <c r="C1991" s="4" t="s">
        <v>776</v>
      </c>
      <c r="D1991" s="4" t="s">
        <v>941</v>
      </c>
      <c r="E1991" s="4">
        <v>40</v>
      </c>
      <c r="F1991" s="4" t="s">
        <v>917</v>
      </c>
      <c r="G1991" s="4"/>
      <c r="H1991" s="4"/>
      <c r="I1991" s="4"/>
      <c r="J1991" s="4"/>
    </row>
    <row r="1992" spans="1:10" ht="15" customHeight="1" x14ac:dyDescent="0.2">
      <c r="A1992" s="4">
        <v>1991</v>
      </c>
      <c r="B1992" s="4">
        <v>1398</v>
      </c>
      <c r="C1992" s="4" t="s">
        <v>776</v>
      </c>
      <c r="D1992" s="4" t="s">
        <v>918</v>
      </c>
      <c r="E1992" s="4">
        <v>50</v>
      </c>
      <c r="F1992" s="4" t="s">
        <v>917</v>
      </c>
      <c r="G1992" s="4"/>
      <c r="H1992" s="4"/>
      <c r="I1992" s="4"/>
      <c r="J1992" s="4"/>
    </row>
    <row r="1993" spans="1:10" ht="15" customHeight="1" x14ac:dyDescent="0.2">
      <c r="A1993" s="4">
        <v>1992</v>
      </c>
      <c r="B1993" s="4">
        <v>1398</v>
      </c>
      <c r="C1993" s="4" t="s">
        <v>776</v>
      </c>
      <c r="D1993" s="4" t="s">
        <v>942</v>
      </c>
      <c r="E1993" s="4">
        <v>80</v>
      </c>
      <c r="F1993" s="4" t="s">
        <v>917</v>
      </c>
      <c r="G1993" s="4"/>
      <c r="H1993" s="4"/>
      <c r="I1993" s="4"/>
      <c r="J1993" s="4"/>
    </row>
    <row r="1994" spans="1:10" ht="15" customHeight="1" x14ac:dyDescent="0.2">
      <c r="A1994" s="4">
        <v>1993</v>
      </c>
      <c r="B1994" s="4">
        <v>1399</v>
      </c>
      <c r="C1994" s="4" t="s">
        <v>777</v>
      </c>
      <c r="D1994" s="4" t="s">
        <v>943</v>
      </c>
      <c r="E1994" s="4">
        <v>20</v>
      </c>
      <c r="F1994" s="4" t="s">
        <v>917</v>
      </c>
      <c r="G1994" s="4"/>
      <c r="H1994" s="4"/>
      <c r="I1994" s="4"/>
      <c r="J1994" s="4"/>
    </row>
    <row r="1995" spans="1:10" ht="15" customHeight="1" x14ac:dyDescent="0.2">
      <c r="A1995" s="4">
        <v>1994</v>
      </c>
      <c r="B1995" s="4">
        <v>1399</v>
      </c>
      <c r="C1995" s="4" t="s">
        <v>777</v>
      </c>
      <c r="D1995" s="4" t="s">
        <v>944</v>
      </c>
      <c r="E1995" s="4">
        <v>30</v>
      </c>
      <c r="F1995" s="4" t="s">
        <v>917</v>
      </c>
      <c r="G1995" s="4"/>
      <c r="H1995" s="4"/>
      <c r="I1995" s="4"/>
      <c r="J1995" s="4"/>
    </row>
    <row r="1996" spans="1:10" ht="15" customHeight="1" x14ac:dyDescent="0.2">
      <c r="A1996" s="4">
        <v>1995</v>
      </c>
      <c r="B1996" s="4">
        <v>1399</v>
      </c>
      <c r="C1996" s="4" t="s">
        <v>777</v>
      </c>
      <c r="D1996" s="4" t="s">
        <v>918</v>
      </c>
      <c r="E1996" s="4">
        <v>40</v>
      </c>
      <c r="F1996" s="4" t="s">
        <v>917</v>
      </c>
      <c r="G1996" s="4"/>
      <c r="H1996" s="4"/>
      <c r="I1996" s="4"/>
      <c r="J1996" s="4"/>
    </row>
    <row r="1997" spans="1:10" ht="27.75" customHeight="1" x14ac:dyDescent="0.2">
      <c r="A1997" s="4">
        <v>1996</v>
      </c>
      <c r="B1997" s="4">
        <v>1399</v>
      </c>
      <c r="C1997" s="4" t="s">
        <v>777</v>
      </c>
      <c r="D1997" s="4" t="s">
        <v>945</v>
      </c>
      <c r="E1997" s="4">
        <v>60</v>
      </c>
      <c r="F1997" s="4" t="s">
        <v>917</v>
      </c>
      <c r="G1997" s="4"/>
      <c r="H1997" s="4"/>
      <c r="I1997" s="4"/>
      <c r="J1997" s="4"/>
    </row>
    <row r="1998" spans="1:10" ht="15" customHeight="1" x14ac:dyDescent="0.2">
      <c r="A1998" s="4">
        <v>1997</v>
      </c>
      <c r="B1998" s="4">
        <v>1400</v>
      </c>
      <c r="C1998" s="4" t="s">
        <v>778</v>
      </c>
      <c r="D1998" s="4" t="s">
        <v>943</v>
      </c>
      <c r="E1998" s="4">
        <v>20</v>
      </c>
      <c r="F1998" s="4" t="s">
        <v>917</v>
      </c>
      <c r="G1998" s="4"/>
      <c r="H1998" s="4"/>
      <c r="I1998" s="4"/>
      <c r="J1998" s="4"/>
    </row>
    <row r="1999" spans="1:10" ht="15" customHeight="1" x14ac:dyDescent="0.2">
      <c r="A1999" s="4">
        <v>1998</v>
      </c>
      <c r="B1999" s="4">
        <v>1400</v>
      </c>
      <c r="C1999" s="4" t="s">
        <v>778</v>
      </c>
      <c r="D1999" s="4" t="s">
        <v>944</v>
      </c>
      <c r="E1999" s="4">
        <v>30</v>
      </c>
      <c r="F1999" s="4" t="s">
        <v>917</v>
      </c>
      <c r="G1999" s="4"/>
      <c r="H1999" s="4"/>
      <c r="I1999" s="4"/>
      <c r="J1999" s="4"/>
    </row>
    <row r="2000" spans="1:10" ht="15" customHeight="1" x14ac:dyDescent="0.2">
      <c r="A2000" s="4">
        <v>1999</v>
      </c>
      <c r="B2000" s="4">
        <v>1400</v>
      </c>
      <c r="C2000" s="4" t="s">
        <v>778</v>
      </c>
      <c r="D2000" s="4" t="s">
        <v>918</v>
      </c>
      <c r="E2000" s="4">
        <v>40</v>
      </c>
      <c r="F2000" s="4" t="s">
        <v>917</v>
      </c>
      <c r="G2000" s="4"/>
      <c r="H2000" s="4"/>
      <c r="I2000" s="4"/>
      <c r="J2000" s="4"/>
    </row>
    <row r="2001" spans="1:10" ht="27.75" customHeight="1" x14ac:dyDescent="0.2">
      <c r="A2001" s="4">
        <v>2000</v>
      </c>
      <c r="B2001" s="4">
        <v>1400</v>
      </c>
      <c r="C2001" s="4" t="s">
        <v>778</v>
      </c>
      <c r="D2001" s="4" t="s">
        <v>945</v>
      </c>
      <c r="E2001" s="4">
        <v>60</v>
      </c>
      <c r="F2001" s="4" t="s">
        <v>917</v>
      </c>
      <c r="G2001" s="4"/>
      <c r="H2001" s="4"/>
      <c r="I2001" s="4"/>
      <c r="J2001" s="4"/>
    </row>
    <row r="2002" spans="1:10" ht="15" customHeight="1" x14ac:dyDescent="0.2">
      <c r="A2002" s="4">
        <v>2001</v>
      </c>
      <c r="B2002" s="4">
        <v>1401</v>
      </c>
      <c r="C2002" s="4" t="s">
        <v>779</v>
      </c>
      <c r="D2002" s="4" t="s">
        <v>943</v>
      </c>
      <c r="E2002" s="4">
        <v>20</v>
      </c>
      <c r="F2002" s="4" t="s">
        <v>917</v>
      </c>
      <c r="G2002" s="4"/>
      <c r="H2002" s="4"/>
      <c r="I2002" s="4"/>
      <c r="J2002" s="4"/>
    </row>
    <row r="2003" spans="1:10" ht="15" customHeight="1" x14ac:dyDescent="0.2">
      <c r="A2003" s="4">
        <v>2002</v>
      </c>
      <c r="B2003" s="4">
        <v>1401</v>
      </c>
      <c r="C2003" s="4" t="s">
        <v>779</v>
      </c>
      <c r="D2003" s="4" t="s">
        <v>944</v>
      </c>
      <c r="E2003" s="4">
        <v>30</v>
      </c>
      <c r="F2003" s="4" t="s">
        <v>917</v>
      </c>
      <c r="G2003" s="4"/>
      <c r="H2003" s="4"/>
      <c r="I2003" s="4"/>
      <c r="J2003" s="4"/>
    </row>
    <row r="2004" spans="1:10" ht="15" customHeight="1" x14ac:dyDescent="0.2">
      <c r="A2004" s="4">
        <v>2003</v>
      </c>
      <c r="B2004" s="4">
        <v>1401</v>
      </c>
      <c r="C2004" s="4" t="s">
        <v>779</v>
      </c>
      <c r="D2004" s="4" t="s">
        <v>918</v>
      </c>
      <c r="E2004" s="4">
        <v>40</v>
      </c>
      <c r="F2004" s="4" t="s">
        <v>917</v>
      </c>
      <c r="G2004" s="4"/>
      <c r="H2004" s="4"/>
      <c r="I2004" s="4"/>
      <c r="J2004" s="4"/>
    </row>
    <row r="2005" spans="1:10" ht="27.75" customHeight="1" x14ac:dyDescent="0.2">
      <c r="A2005" s="4">
        <v>2004</v>
      </c>
      <c r="B2005" s="4">
        <v>1401</v>
      </c>
      <c r="C2005" s="4" t="s">
        <v>779</v>
      </c>
      <c r="D2005" s="4" t="s">
        <v>945</v>
      </c>
      <c r="E2005" s="4">
        <v>60</v>
      </c>
      <c r="F2005" s="4" t="s">
        <v>917</v>
      </c>
      <c r="G2005" s="4"/>
      <c r="H2005" s="4"/>
      <c r="I2005" s="4"/>
      <c r="J2005" s="4"/>
    </row>
    <row r="2006" spans="1:10" ht="15" customHeight="1" x14ac:dyDescent="0.2">
      <c r="A2006" s="4">
        <v>2005</v>
      </c>
      <c r="B2006" s="4">
        <v>1402</v>
      </c>
      <c r="C2006" s="4" t="s">
        <v>780</v>
      </c>
      <c r="D2006" s="4" t="s">
        <v>943</v>
      </c>
      <c r="E2006" s="4">
        <v>20</v>
      </c>
      <c r="F2006" s="4" t="s">
        <v>917</v>
      </c>
      <c r="G2006" s="4"/>
      <c r="H2006" s="4"/>
      <c r="I2006" s="4"/>
      <c r="J2006" s="4"/>
    </row>
    <row r="2007" spans="1:10" ht="15" customHeight="1" x14ac:dyDescent="0.2">
      <c r="A2007" s="4">
        <v>2006</v>
      </c>
      <c r="B2007" s="4">
        <v>1402</v>
      </c>
      <c r="C2007" s="4" t="s">
        <v>780</v>
      </c>
      <c r="D2007" s="4" t="s">
        <v>944</v>
      </c>
      <c r="E2007" s="4">
        <v>30</v>
      </c>
      <c r="F2007" s="4" t="s">
        <v>917</v>
      </c>
      <c r="G2007" s="4"/>
      <c r="H2007" s="4"/>
      <c r="I2007" s="4"/>
      <c r="J2007" s="4"/>
    </row>
    <row r="2008" spans="1:10" ht="15" customHeight="1" x14ac:dyDescent="0.2">
      <c r="A2008" s="4">
        <v>2007</v>
      </c>
      <c r="B2008" s="4">
        <v>1402</v>
      </c>
      <c r="C2008" s="4" t="s">
        <v>780</v>
      </c>
      <c r="D2008" s="4" t="s">
        <v>918</v>
      </c>
      <c r="E2008" s="4">
        <v>40</v>
      </c>
      <c r="F2008" s="4" t="s">
        <v>917</v>
      </c>
      <c r="G2008" s="4"/>
      <c r="H2008" s="4"/>
      <c r="I2008" s="4"/>
      <c r="J2008" s="4"/>
    </row>
    <row r="2009" spans="1:10" ht="27.75" customHeight="1" x14ac:dyDescent="0.2">
      <c r="A2009" s="4">
        <v>2008</v>
      </c>
      <c r="B2009" s="4">
        <v>1402</v>
      </c>
      <c r="C2009" s="4" t="s">
        <v>780</v>
      </c>
      <c r="D2009" s="4" t="s">
        <v>945</v>
      </c>
      <c r="E2009" s="4">
        <v>60</v>
      </c>
      <c r="F2009" s="4" t="s">
        <v>917</v>
      </c>
      <c r="G2009" s="4"/>
      <c r="H2009" s="4"/>
      <c r="I2009" s="4"/>
      <c r="J2009" s="4"/>
    </row>
    <row r="2010" spans="1:10" ht="15" customHeight="1" x14ac:dyDescent="0.2">
      <c r="A2010" s="4">
        <v>2009</v>
      </c>
      <c r="B2010" s="4">
        <v>1403</v>
      </c>
      <c r="C2010" s="4" t="s">
        <v>782</v>
      </c>
      <c r="D2010" s="4" t="s">
        <v>943</v>
      </c>
      <c r="E2010" s="4">
        <v>20</v>
      </c>
      <c r="F2010" s="4" t="s">
        <v>917</v>
      </c>
      <c r="G2010" s="4"/>
      <c r="H2010" s="4"/>
      <c r="I2010" s="4"/>
      <c r="J2010" s="4"/>
    </row>
    <row r="2011" spans="1:10" ht="15" customHeight="1" x14ac:dyDescent="0.2">
      <c r="A2011" s="4">
        <v>2010</v>
      </c>
      <c r="B2011" s="4">
        <v>1403</v>
      </c>
      <c r="C2011" s="4" t="s">
        <v>782</v>
      </c>
      <c r="D2011" s="4" t="s">
        <v>944</v>
      </c>
      <c r="E2011" s="4">
        <v>30</v>
      </c>
      <c r="F2011" s="4" t="s">
        <v>917</v>
      </c>
      <c r="G2011" s="4"/>
      <c r="H2011" s="4"/>
      <c r="I2011" s="4"/>
      <c r="J2011" s="4"/>
    </row>
    <row r="2012" spans="1:10" ht="15" customHeight="1" x14ac:dyDescent="0.2">
      <c r="A2012" s="4">
        <v>2011</v>
      </c>
      <c r="B2012" s="4">
        <v>1403</v>
      </c>
      <c r="C2012" s="4" t="s">
        <v>782</v>
      </c>
      <c r="D2012" s="4" t="s">
        <v>918</v>
      </c>
      <c r="E2012" s="4">
        <v>40</v>
      </c>
      <c r="F2012" s="4" t="s">
        <v>917</v>
      </c>
      <c r="G2012" s="4"/>
      <c r="H2012" s="4"/>
      <c r="I2012" s="4"/>
      <c r="J2012" s="4"/>
    </row>
    <row r="2013" spans="1:10" ht="27.75" customHeight="1" x14ac:dyDescent="0.2">
      <c r="A2013" s="4">
        <v>2012</v>
      </c>
      <c r="B2013" s="4">
        <v>1403</v>
      </c>
      <c r="C2013" s="4" t="s">
        <v>782</v>
      </c>
      <c r="D2013" s="4" t="s">
        <v>945</v>
      </c>
      <c r="E2013" s="4">
        <v>60</v>
      </c>
      <c r="F2013" s="4" t="s">
        <v>917</v>
      </c>
      <c r="G2013" s="4"/>
      <c r="H2013" s="4"/>
      <c r="I2013" s="4"/>
      <c r="J2013" s="4"/>
    </row>
    <row r="2014" spans="1:10" ht="15" customHeight="1" x14ac:dyDescent="0.2">
      <c r="A2014" s="4">
        <v>2013</v>
      </c>
      <c r="B2014" s="4">
        <v>1404</v>
      </c>
      <c r="C2014" s="4" t="s">
        <v>783</v>
      </c>
      <c r="D2014" s="4" t="s">
        <v>943</v>
      </c>
      <c r="E2014" s="4">
        <v>20</v>
      </c>
      <c r="F2014" s="4" t="s">
        <v>917</v>
      </c>
      <c r="G2014" s="4"/>
      <c r="H2014" s="4"/>
      <c r="I2014" s="4"/>
      <c r="J2014" s="4"/>
    </row>
    <row r="2015" spans="1:10" ht="15" customHeight="1" x14ac:dyDescent="0.2">
      <c r="A2015" s="4">
        <v>2014</v>
      </c>
      <c r="B2015" s="4">
        <v>1404</v>
      </c>
      <c r="C2015" s="4" t="s">
        <v>783</v>
      </c>
      <c r="D2015" s="4" t="s">
        <v>944</v>
      </c>
      <c r="E2015" s="4">
        <v>30</v>
      </c>
      <c r="F2015" s="4" t="s">
        <v>917</v>
      </c>
      <c r="G2015" s="4"/>
      <c r="H2015" s="4"/>
      <c r="I2015" s="4"/>
      <c r="J2015" s="4"/>
    </row>
    <row r="2016" spans="1:10" ht="15" customHeight="1" x14ac:dyDescent="0.2">
      <c r="A2016" s="4">
        <v>2015</v>
      </c>
      <c r="B2016" s="4">
        <v>1404</v>
      </c>
      <c r="C2016" s="4" t="s">
        <v>783</v>
      </c>
      <c r="D2016" s="4" t="s">
        <v>918</v>
      </c>
      <c r="E2016" s="4">
        <v>40</v>
      </c>
      <c r="F2016" s="4" t="s">
        <v>917</v>
      </c>
      <c r="G2016" s="4"/>
      <c r="H2016" s="4"/>
      <c r="I2016" s="4"/>
      <c r="J2016" s="4"/>
    </row>
    <row r="2017" spans="1:10" ht="27.75" customHeight="1" x14ac:dyDescent="0.2">
      <c r="A2017" s="4">
        <v>2016</v>
      </c>
      <c r="B2017" s="4">
        <v>1404</v>
      </c>
      <c r="C2017" s="4" t="s">
        <v>783</v>
      </c>
      <c r="D2017" s="4" t="s">
        <v>945</v>
      </c>
      <c r="E2017" s="4">
        <v>60</v>
      </c>
      <c r="F2017" s="4" t="s">
        <v>917</v>
      </c>
      <c r="G2017" s="4"/>
      <c r="H2017" s="4"/>
      <c r="I2017" s="4"/>
      <c r="J2017" s="4"/>
    </row>
    <row r="2018" spans="1:10" ht="15" customHeight="1" x14ac:dyDescent="0.2">
      <c r="A2018" s="4">
        <v>2017</v>
      </c>
      <c r="B2018" s="4">
        <v>1405</v>
      </c>
      <c r="C2018" s="4" t="s">
        <v>784</v>
      </c>
      <c r="D2018" s="4" t="s">
        <v>943</v>
      </c>
      <c r="E2018" s="4">
        <v>20</v>
      </c>
      <c r="F2018" s="4" t="s">
        <v>917</v>
      </c>
      <c r="G2018" s="4"/>
      <c r="H2018" s="4"/>
      <c r="I2018" s="4"/>
      <c r="J2018" s="4"/>
    </row>
    <row r="2019" spans="1:10" ht="15" customHeight="1" x14ac:dyDescent="0.2">
      <c r="A2019" s="4">
        <v>2018</v>
      </c>
      <c r="B2019" s="4">
        <v>1405</v>
      </c>
      <c r="C2019" s="4" t="s">
        <v>784</v>
      </c>
      <c r="D2019" s="4" t="s">
        <v>944</v>
      </c>
      <c r="E2019" s="4">
        <v>30</v>
      </c>
      <c r="F2019" s="4" t="s">
        <v>917</v>
      </c>
      <c r="G2019" s="4"/>
      <c r="H2019" s="4"/>
      <c r="I2019" s="4"/>
      <c r="J2019" s="4"/>
    </row>
    <row r="2020" spans="1:10" ht="15" customHeight="1" x14ac:dyDescent="0.2">
      <c r="A2020" s="4">
        <v>2019</v>
      </c>
      <c r="B2020" s="4">
        <v>1405</v>
      </c>
      <c r="C2020" s="4" t="s">
        <v>784</v>
      </c>
      <c r="D2020" s="4" t="s">
        <v>918</v>
      </c>
      <c r="E2020" s="4">
        <v>40</v>
      </c>
      <c r="F2020" s="4" t="s">
        <v>917</v>
      </c>
      <c r="G2020" s="4"/>
      <c r="H2020" s="4"/>
      <c r="I2020" s="4"/>
      <c r="J2020" s="4"/>
    </row>
    <row r="2021" spans="1:10" ht="27.75" customHeight="1" x14ac:dyDescent="0.2">
      <c r="A2021" s="4">
        <v>2020</v>
      </c>
      <c r="B2021" s="4">
        <v>1405</v>
      </c>
      <c r="C2021" s="4" t="s">
        <v>784</v>
      </c>
      <c r="D2021" s="4" t="s">
        <v>945</v>
      </c>
      <c r="E2021" s="4">
        <v>60</v>
      </c>
      <c r="F2021" s="4" t="s">
        <v>917</v>
      </c>
      <c r="G2021" s="4"/>
      <c r="H2021" s="4"/>
      <c r="I2021" s="4"/>
      <c r="J2021" s="4"/>
    </row>
    <row r="2022" spans="1:10" ht="15" customHeight="1" x14ac:dyDescent="0.2">
      <c r="A2022" s="4">
        <v>2021</v>
      </c>
      <c r="B2022" s="4">
        <v>1406</v>
      </c>
      <c r="C2022" s="4" t="s">
        <v>785</v>
      </c>
      <c r="D2022" s="4" t="s">
        <v>943</v>
      </c>
      <c r="E2022" s="4">
        <v>20</v>
      </c>
      <c r="F2022" s="4" t="s">
        <v>917</v>
      </c>
      <c r="G2022" s="4"/>
      <c r="H2022" s="4"/>
      <c r="I2022" s="4"/>
      <c r="J2022" s="4"/>
    </row>
    <row r="2023" spans="1:10" ht="15" customHeight="1" x14ac:dyDescent="0.2">
      <c r="A2023" s="4">
        <v>2022</v>
      </c>
      <c r="B2023" s="4">
        <v>1406</v>
      </c>
      <c r="C2023" s="4" t="s">
        <v>785</v>
      </c>
      <c r="D2023" s="4" t="s">
        <v>944</v>
      </c>
      <c r="E2023" s="4">
        <v>30</v>
      </c>
      <c r="F2023" s="4" t="s">
        <v>917</v>
      </c>
      <c r="G2023" s="4"/>
      <c r="H2023" s="4"/>
      <c r="I2023" s="4"/>
      <c r="J2023" s="4"/>
    </row>
    <row r="2024" spans="1:10" ht="15" customHeight="1" x14ac:dyDescent="0.2">
      <c r="A2024" s="4">
        <v>2023</v>
      </c>
      <c r="B2024" s="4">
        <v>1406</v>
      </c>
      <c r="C2024" s="4" t="s">
        <v>785</v>
      </c>
      <c r="D2024" s="4" t="s">
        <v>918</v>
      </c>
      <c r="E2024" s="4">
        <v>40</v>
      </c>
      <c r="F2024" s="4" t="s">
        <v>917</v>
      </c>
      <c r="G2024" s="4"/>
      <c r="H2024" s="4"/>
      <c r="I2024" s="4"/>
      <c r="J2024" s="4"/>
    </row>
    <row r="2025" spans="1:10" ht="27.75" customHeight="1" x14ac:dyDescent="0.2">
      <c r="A2025" s="4">
        <v>2024</v>
      </c>
      <c r="B2025" s="4">
        <v>1406</v>
      </c>
      <c r="C2025" s="4" t="s">
        <v>785</v>
      </c>
      <c r="D2025" s="4" t="s">
        <v>945</v>
      </c>
      <c r="E2025" s="4">
        <v>60</v>
      </c>
      <c r="F2025" s="4" t="s">
        <v>917</v>
      </c>
      <c r="G2025" s="4"/>
      <c r="H2025" s="4"/>
      <c r="I2025" s="4"/>
      <c r="J2025" s="4"/>
    </row>
    <row r="2026" spans="1:10" ht="15" customHeight="1" x14ac:dyDescent="0.2">
      <c r="A2026" s="4">
        <v>2025</v>
      </c>
      <c r="B2026" s="4">
        <v>1407</v>
      </c>
      <c r="C2026" s="4" t="s">
        <v>786</v>
      </c>
      <c r="D2026" s="4" t="s">
        <v>943</v>
      </c>
      <c r="E2026" s="4">
        <v>20</v>
      </c>
      <c r="F2026" s="4" t="s">
        <v>917</v>
      </c>
      <c r="G2026" s="4"/>
      <c r="H2026" s="4"/>
      <c r="I2026" s="4"/>
      <c r="J2026" s="4"/>
    </row>
    <row r="2027" spans="1:10" ht="15" customHeight="1" x14ac:dyDescent="0.2">
      <c r="A2027" s="4">
        <v>2026</v>
      </c>
      <c r="B2027" s="4">
        <v>1407</v>
      </c>
      <c r="C2027" s="4" t="s">
        <v>786</v>
      </c>
      <c r="D2027" s="4" t="s">
        <v>944</v>
      </c>
      <c r="E2027" s="4">
        <v>30</v>
      </c>
      <c r="F2027" s="4" t="s">
        <v>917</v>
      </c>
      <c r="G2027" s="4"/>
      <c r="H2027" s="4"/>
      <c r="I2027" s="4"/>
      <c r="J2027" s="4"/>
    </row>
    <row r="2028" spans="1:10" ht="15" customHeight="1" x14ac:dyDescent="0.2">
      <c r="A2028" s="4">
        <v>2027</v>
      </c>
      <c r="B2028" s="4">
        <v>1407</v>
      </c>
      <c r="C2028" s="4" t="s">
        <v>786</v>
      </c>
      <c r="D2028" s="4" t="s">
        <v>918</v>
      </c>
      <c r="E2028" s="4">
        <v>40</v>
      </c>
      <c r="F2028" s="4" t="s">
        <v>917</v>
      </c>
      <c r="G2028" s="4"/>
      <c r="H2028" s="4"/>
      <c r="I2028" s="4"/>
      <c r="J2028" s="4"/>
    </row>
    <row r="2029" spans="1:10" ht="27.75" customHeight="1" x14ac:dyDescent="0.2">
      <c r="A2029" s="4">
        <v>2028</v>
      </c>
      <c r="B2029" s="4">
        <v>1407</v>
      </c>
      <c r="C2029" s="4" t="s">
        <v>786</v>
      </c>
      <c r="D2029" s="4" t="s">
        <v>945</v>
      </c>
      <c r="E2029" s="4">
        <v>60</v>
      </c>
      <c r="F2029" s="4" t="s">
        <v>917</v>
      </c>
      <c r="G2029" s="4"/>
      <c r="H2029" s="4"/>
      <c r="I2029" s="4"/>
      <c r="J2029" s="4"/>
    </row>
    <row r="2030" spans="1:10" ht="15" customHeight="1" x14ac:dyDescent="0.2">
      <c r="A2030" s="4">
        <v>2029</v>
      </c>
      <c r="B2030" s="4">
        <v>1408</v>
      </c>
      <c r="C2030" s="4" t="s">
        <v>787</v>
      </c>
      <c r="D2030" s="4" t="s">
        <v>943</v>
      </c>
      <c r="E2030" s="4">
        <v>20</v>
      </c>
      <c r="F2030" s="4" t="s">
        <v>917</v>
      </c>
      <c r="G2030" s="4"/>
      <c r="H2030" s="4"/>
      <c r="I2030" s="4"/>
      <c r="J2030" s="4"/>
    </row>
    <row r="2031" spans="1:10" ht="15" customHeight="1" x14ac:dyDescent="0.2">
      <c r="A2031" s="4">
        <v>2030</v>
      </c>
      <c r="B2031" s="4">
        <v>1408</v>
      </c>
      <c r="C2031" s="4" t="s">
        <v>787</v>
      </c>
      <c r="D2031" s="4" t="s">
        <v>944</v>
      </c>
      <c r="E2031" s="4">
        <v>30</v>
      </c>
      <c r="F2031" s="4" t="s">
        <v>917</v>
      </c>
      <c r="G2031" s="4"/>
      <c r="H2031" s="4"/>
      <c r="I2031" s="4"/>
      <c r="J2031" s="4"/>
    </row>
    <row r="2032" spans="1:10" ht="15" customHeight="1" x14ac:dyDescent="0.2">
      <c r="A2032" s="4">
        <v>2031</v>
      </c>
      <c r="B2032" s="4">
        <v>1408</v>
      </c>
      <c r="C2032" s="4" t="s">
        <v>787</v>
      </c>
      <c r="D2032" s="4" t="s">
        <v>918</v>
      </c>
      <c r="E2032" s="4">
        <v>40</v>
      </c>
      <c r="F2032" s="4" t="s">
        <v>917</v>
      </c>
      <c r="G2032" s="4"/>
      <c r="H2032" s="4"/>
      <c r="I2032" s="4"/>
      <c r="J2032" s="4"/>
    </row>
    <row r="2033" spans="1:10" ht="27.75" customHeight="1" x14ac:dyDescent="0.2">
      <c r="A2033" s="4">
        <v>2032</v>
      </c>
      <c r="B2033" s="4">
        <v>1408</v>
      </c>
      <c r="C2033" s="4" t="s">
        <v>787</v>
      </c>
      <c r="D2033" s="4" t="s">
        <v>945</v>
      </c>
      <c r="E2033" s="4">
        <v>60</v>
      </c>
      <c r="F2033" s="4" t="s">
        <v>917</v>
      </c>
      <c r="G2033" s="4"/>
      <c r="H2033" s="4"/>
      <c r="I2033" s="4"/>
      <c r="J2033" s="4"/>
    </row>
    <row r="2034" spans="1:10" ht="15" customHeight="1" x14ac:dyDescent="0.2">
      <c r="A2034" s="4">
        <v>2033</v>
      </c>
      <c r="B2034" s="4">
        <v>1409</v>
      </c>
      <c r="C2034" s="4" t="s">
        <v>788</v>
      </c>
      <c r="D2034" s="4" t="s">
        <v>943</v>
      </c>
      <c r="E2034" s="4">
        <v>20</v>
      </c>
      <c r="F2034" s="4" t="s">
        <v>917</v>
      </c>
      <c r="G2034" s="4"/>
      <c r="H2034" s="4"/>
      <c r="I2034" s="4"/>
      <c r="J2034" s="4"/>
    </row>
    <row r="2035" spans="1:10" ht="15" customHeight="1" x14ac:dyDescent="0.2">
      <c r="A2035" s="4">
        <v>2034</v>
      </c>
      <c r="B2035" s="4">
        <v>1409</v>
      </c>
      <c r="C2035" s="4" t="s">
        <v>788</v>
      </c>
      <c r="D2035" s="4" t="s">
        <v>944</v>
      </c>
      <c r="E2035" s="4">
        <v>30</v>
      </c>
      <c r="F2035" s="4" t="s">
        <v>917</v>
      </c>
      <c r="G2035" s="4"/>
      <c r="H2035" s="4"/>
      <c r="I2035" s="4"/>
      <c r="J2035" s="4"/>
    </row>
    <row r="2036" spans="1:10" ht="15" customHeight="1" x14ac:dyDescent="0.2">
      <c r="A2036" s="4">
        <v>2035</v>
      </c>
      <c r="B2036" s="4">
        <v>1409</v>
      </c>
      <c r="C2036" s="4" t="s">
        <v>788</v>
      </c>
      <c r="D2036" s="4" t="s">
        <v>918</v>
      </c>
      <c r="E2036" s="4">
        <v>40</v>
      </c>
      <c r="F2036" s="4" t="s">
        <v>917</v>
      </c>
      <c r="G2036" s="4"/>
      <c r="H2036" s="4"/>
      <c r="I2036" s="4"/>
      <c r="J2036" s="4"/>
    </row>
    <row r="2037" spans="1:10" ht="27.75" customHeight="1" x14ac:dyDescent="0.2">
      <c r="A2037" s="4">
        <v>2036</v>
      </c>
      <c r="B2037" s="4">
        <v>1409</v>
      </c>
      <c r="C2037" s="4" t="s">
        <v>788</v>
      </c>
      <c r="D2037" s="4" t="s">
        <v>945</v>
      </c>
      <c r="E2037" s="4">
        <v>60</v>
      </c>
      <c r="F2037" s="4" t="s">
        <v>917</v>
      </c>
      <c r="G2037" s="4"/>
      <c r="H2037" s="4"/>
      <c r="I2037" s="4"/>
      <c r="J2037" s="4"/>
    </row>
    <row r="2038" spans="1:10" ht="15" customHeight="1" x14ac:dyDescent="0.2">
      <c r="A2038" s="4">
        <v>2037</v>
      </c>
      <c r="B2038" s="4">
        <v>1410</v>
      </c>
      <c r="C2038" s="4" t="s">
        <v>789</v>
      </c>
      <c r="D2038" s="4" t="s">
        <v>943</v>
      </c>
      <c r="E2038" s="4">
        <v>20</v>
      </c>
      <c r="F2038" s="4" t="s">
        <v>917</v>
      </c>
      <c r="G2038" s="4"/>
      <c r="H2038" s="4"/>
      <c r="I2038" s="4"/>
      <c r="J2038" s="4"/>
    </row>
    <row r="2039" spans="1:10" ht="15" customHeight="1" x14ac:dyDescent="0.2">
      <c r="A2039" s="4">
        <v>2038</v>
      </c>
      <c r="B2039" s="4">
        <v>1410</v>
      </c>
      <c r="C2039" s="4" t="s">
        <v>789</v>
      </c>
      <c r="D2039" s="4" t="s">
        <v>944</v>
      </c>
      <c r="E2039" s="4">
        <v>30</v>
      </c>
      <c r="F2039" s="4" t="s">
        <v>917</v>
      </c>
      <c r="G2039" s="4"/>
      <c r="H2039" s="4"/>
      <c r="I2039" s="4"/>
      <c r="J2039" s="4"/>
    </row>
    <row r="2040" spans="1:10" ht="15" customHeight="1" x14ac:dyDescent="0.2">
      <c r="A2040" s="4">
        <v>2039</v>
      </c>
      <c r="B2040" s="4">
        <v>1410</v>
      </c>
      <c r="C2040" s="4" t="s">
        <v>789</v>
      </c>
      <c r="D2040" s="4" t="s">
        <v>918</v>
      </c>
      <c r="E2040" s="4">
        <v>40</v>
      </c>
      <c r="F2040" s="4" t="s">
        <v>917</v>
      </c>
      <c r="G2040" s="4"/>
      <c r="H2040" s="4"/>
      <c r="I2040" s="4"/>
      <c r="J2040" s="4"/>
    </row>
    <row r="2041" spans="1:10" ht="27.75" customHeight="1" x14ac:dyDescent="0.2">
      <c r="A2041" s="4">
        <v>2040</v>
      </c>
      <c r="B2041" s="4">
        <v>1410</v>
      </c>
      <c r="C2041" s="4" t="s">
        <v>789</v>
      </c>
      <c r="D2041" s="4" t="s">
        <v>945</v>
      </c>
      <c r="E2041" s="4">
        <v>60</v>
      </c>
      <c r="F2041" s="4" t="s">
        <v>917</v>
      </c>
      <c r="G2041" s="4"/>
      <c r="H2041" s="4"/>
      <c r="I2041" s="4"/>
      <c r="J2041" s="4"/>
    </row>
    <row r="2042" spans="1:10" ht="15" customHeight="1" x14ac:dyDescent="0.2">
      <c r="A2042" s="4">
        <v>2041</v>
      </c>
      <c r="B2042" s="4">
        <v>1411</v>
      </c>
      <c r="C2042" s="4" t="s">
        <v>790</v>
      </c>
      <c r="D2042" s="4" t="s">
        <v>943</v>
      </c>
      <c r="E2042" s="4">
        <v>20</v>
      </c>
      <c r="F2042" s="4" t="s">
        <v>917</v>
      </c>
      <c r="G2042" s="4"/>
      <c r="H2042" s="4"/>
      <c r="I2042" s="4"/>
      <c r="J2042" s="4"/>
    </row>
    <row r="2043" spans="1:10" ht="15" customHeight="1" x14ac:dyDescent="0.2">
      <c r="A2043" s="4">
        <v>2042</v>
      </c>
      <c r="B2043" s="4">
        <v>1411</v>
      </c>
      <c r="C2043" s="4" t="s">
        <v>790</v>
      </c>
      <c r="D2043" s="4" t="s">
        <v>944</v>
      </c>
      <c r="E2043" s="4">
        <v>30</v>
      </c>
      <c r="F2043" s="4" t="s">
        <v>917</v>
      </c>
      <c r="G2043" s="4"/>
      <c r="H2043" s="4"/>
      <c r="I2043" s="4"/>
      <c r="J2043" s="4"/>
    </row>
    <row r="2044" spans="1:10" ht="15" customHeight="1" x14ac:dyDescent="0.2">
      <c r="A2044" s="4">
        <v>2043</v>
      </c>
      <c r="B2044" s="4">
        <v>1411</v>
      </c>
      <c r="C2044" s="4" t="s">
        <v>790</v>
      </c>
      <c r="D2044" s="4" t="s">
        <v>918</v>
      </c>
      <c r="E2044" s="4">
        <v>40</v>
      </c>
      <c r="F2044" s="4" t="s">
        <v>917</v>
      </c>
      <c r="G2044" s="4"/>
      <c r="H2044" s="4"/>
      <c r="I2044" s="4"/>
      <c r="J2044" s="4"/>
    </row>
    <row r="2045" spans="1:10" ht="27.75" customHeight="1" x14ac:dyDescent="0.2">
      <c r="A2045" s="4">
        <v>2044</v>
      </c>
      <c r="B2045" s="4">
        <v>1411</v>
      </c>
      <c r="C2045" s="4" t="s">
        <v>790</v>
      </c>
      <c r="D2045" s="4" t="s">
        <v>945</v>
      </c>
      <c r="E2045" s="4">
        <v>60</v>
      </c>
      <c r="F2045" s="4" t="s">
        <v>917</v>
      </c>
      <c r="G2045" s="4"/>
      <c r="H2045" s="4"/>
      <c r="I2045" s="4"/>
      <c r="J2045" s="4"/>
    </row>
    <row r="2046" spans="1:10" ht="15" customHeight="1" x14ac:dyDescent="0.2">
      <c r="A2046" s="4">
        <v>2045</v>
      </c>
      <c r="B2046" s="4">
        <v>1412</v>
      </c>
      <c r="C2046" s="4" t="s">
        <v>791</v>
      </c>
      <c r="D2046" s="4" t="s">
        <v>943</v>
      </c>
      <c r="E2046" s="4">
        <v>20</v>
      </c>
      <c r="F2046" s="4" t="s">
        <v>917</v>
      </c>
      <c r="G2046" s="4"/>
      <c r="H2046" s="4"/>
      <c r="I2046" s="4"/>
      <c r="J2046" s="4"/>
    </row>
    <row r="2047" spans="1:10" ht="15" customHeight="1" x14ac:dyDescent="0.2">
      <c r="A2047" s="4">
        <v>2046</v>
      </c>
      <c r="B2047" s="4">
        <v>1412</v>
      </c>
      <c r="C2047" s="4" t="s">
        <v>791</v>
      </c>
      <c r="D2047" s="4" t="s">
        <v>944</v>
      </c>
      <c r="E2047" s="4">
        <v>30</v>
      </c>
      <c r="F2047" s="4" t="s">
        <v>917</v>
      </c>
      <c r="G2047" s="4"/>
      <c r="H2047" s="4"/>
      <c r="I2047" s="4"/>
      <c r="J2047" s="4"/>
    </row>
    <row r="2048" spans="1:10" ht="15" customHeight="1" x14ac:dyDescent="0.2">
      <c r="A2048" s="4">
        <v>2047</v>
      </c>
      <c r="B2048" s="4">
        <v>1412</v>
      </c>
      <c r="C2048" s="4" t="s">
        <v>791</v>
      </c>
      <c r="D2048" s="4" t="s">
        <v>918</v>
      </c>
      <c r="E2048" s="4">
        <v>40</v>
      </c>
      <c r="F2048" s="4" t="s">
        <v>917</v>
      </c>
      <c r="G2048" s="4"/>
      <c r="H2048" s="4"/>
      <c r="I2048" s="4"/>
      <c r="J2048" s="4"/>
    </row>
    <row r="2049" spans="1:10" ht="27.75" customHeight="1" x14ac:dyDescent="0.2">
      <c r="A2049" s="4">
        <v>2048</v>
      </c>
      <c r="B2049" s="4">
        <v>1412</v>
      </c>
      <c r="C2049" s="4" t="s">
        <v>791</v>
      </c>
      <c r="D2049" s="4" t="s">
        <v>945</v>
      </c>
      <c r="E2049" s="4">
        <v>60</v>
      </c>
      <c r="F2049" s="4" t="s">
        <v>917</v>
      </c>
      <c r="G2049" s="4"/>
      <c r="H2049" s="4"/>
      <c r="I2049" s="4"/>
      <c r="J2049" s="4"/>
    </row>
    <row r="2050" spans="1:10" ht="15" customHeight="1" x14ac:dyDescent="0.2">
      <c r="A2050" s="4">
        <v>2049</v>
      </c>
      <c r="B2050" s="4">
        <v>1413</v>
      </c>
      <c r="C2050" s="4" t="s">
        <v>792</v>
      </c>
      <c r="D2050" s="4" t="s">
        <v>943</v>
      </c>
      <c r="E2050" s="4">
        <v>20</v>
      </c>
      <c r="F2050" s="4" t="s">
        <v>917</v>
      </c>
      <c r="G2050" s="4"/>
      <c r="H2050" s="4"/>
      <c r="I2050" s="4"/>
      <c r="J2050" s="4"/>
    </row>
    <row r="2051" spans="1:10" ht="15" customHeight="1" x14ac:dyDescent="0.2">
      <c r="A2051" s="4">
        <v>2050</v>
      </c>
      <c r="B2051" s="4">
        <v>1413</v>
      </c>
      <c r="C2051" s="4" t="s">
        <v>792</v>
      </c>
      <c r="D2051" s="4" t="s">
        <v>944</v>
      </c>
      <c r="E2051" s="4">
        <v>30</v>
      </c>
      <c r="F2051" s="4" t="s">
        <v>917</v>
      </c>
      <c r="G2051" s="4"/>
      <c r="H2051" s="4"/>
      <c r="I2051" s="4"/>
      <c r="J2051" s="4"/>
    </row>
    <row r="2052" spans="1:10" ht="15" customHeight="1" x14ac:dyDescent="0.2">
      <c r="A2052" s="4">
        <v>2051</v>
      </c>
      <c r="B2052" s="4">
        <v>1413</v>
      </c>
      <c r="C2052" s="4" t="s">
        <v>792</v>
      </c>
      <c r="D2052" s="4" t="s">
        <v>918</v>
      </c>
      <c r="E2052" s="4">
        <v>40</v>
      </c>
      <c r="F2052" s="4" t="s">
        <v>917</v>
      </c>
      <c r="G2052" s="4"/>
      <c r="H2052" s="4"/>
      <c r="I2052" s="4"/>
      <c r="J2052" s="4"/>
    </row>
    <row r="2053" spans="1:10" ht="27.75" customHeight="1" x14ac:dyDescent="0.2">
      <c r="A2053" s="4">
        <v>2052</v>
      </c>
      <c r="B2053" s="4">
        <v>1413</v>
      </c>
      <c r="C2053" s="4" t="s">
        <v>792</v>
      </c>
      <c r="D2053" s="4" t="s">
        <v>945</v>
      </c>
      <c r="E2053" s="4">
        <v>60</v>
      </c>
      <c r="F2053" s="4" t="s">
        <v>917</v>
      </c>
      <c r="G2053" s="4"/>
      <c r="H2053" s="4"/>
      <c r="I2053" s="4"/>
      <c r="J2053" s="4"/>
    </row>
    <row r="2054" spans="1:10" ht="15" customHeight="1" x14ac:dyDescent="0.2">
      <c r="A2054" s="4">
        <v>2053</v>
      </c>
      <c r="B2054" s="4">
        <v>1414</v>
      </c>
      <c r="C2054" s="4" t="s">
        <v>793</v>
      </c>
      <c r="D2054" s="4" t="s">
        <v>943</v>
      </c>
      <c r="E2054" s="4">
        <v>20</v>
      </c>
      <c r="F2054" s="4" t="s">
        <v>917</v>
      </c>
      <c r="G2054" s="4"/>
      <c r="H2054" s="4"/>
      <c r="I2054" s="4"/>
      <c r="J2054" s="4"/>
    </row>
    <row r="2055" spans="1:10" ht="15" customHeight="1" x14ac:dyDescent="0.2">
      <c r="A2055" s="4">
        <v>2054</v>
      </c>
      <c r="B2055" s="4">
        <v>1414</v>
      </c>
      <c r="C2055" s="4" t="s">
        <v>793</v>
      </c>
      <c r="D2055" s="4" t="s">
        <v>944</v>
      </c>
      <c r="E2055" s="4">
        <v>30</v>
      </c>
      <c r="F2055" s="4" t="s">
        <v>917</v>
      </c>
      <c r="G2055" s="4"/>
      <c r="H2055" s="4"/>
      <c r="I2055" s="4"/>
      <c r="J2055" s="4"/>
    </row>
    <row r="2056" spans="1:10" ht="15" customHeight="1" x14ac:dyDescent="0.2">
      <c r="A2056" s="4">
        <v>2055</v>
      </c>
      <c r="B2056" s="4">
        <v>1414</v>
      </c>
      <c r="C2056" s="4" t="s">
        <v>793</v>
      </c>
      <c r="D2056" s="4" t="s">
        <v>918</v>
      </c>
      <c r="E2056" s="4">
        <v>40</v>
      </c>
      <c r="F2056" s="4" t="s">
        <v>917</v>
      </c>
      <c r="G2056" s="4"/>
      <c r="H2056" s="4"/>
      <c r="I2056" s="4"/>
      <c r="J2056" s="4"/>
    </row>
    <row r="2057" spans="1:10" ht="27.75" customHeight="1" x14ac:dyDescent="0.2">
      <c r="A2057" s="4">
        <v>2056</v>
      </c>
      <c r="B2057" s="4">
        <v>1414</v>
      </c>
      <c r="C2057" s="4" t="s">
        <v>793</v>
      </c>
      <c r="D2057" s="4" t="s">
        <v>945</v>
      </c>
      <c r="E2057" s="4">
        <v>60</v>
      </c>
      <c r="F2057" s="4" t="s">
        <v>917</v>
      </c>
      <c r="G2057" s="4"/>
      <c r="H2057" s="4"/>
      <c r="I2057" s="4"/>
      <c r="J2057" s="4"/>
    </row>
    <row r="2058" spans="1:10" ht="15" customHeight="1" x14ac:dyDescent="0.2">
      <c r="A2058" s="4">
        <v>2057</v>
      </c>
      <c r="B2058" s="4">
        <v>1415</v>
      </c>
      <c r="C2058" s="4" t="s">
        <v>794</v>
      </c>
      <c r="D2058" s="4" t="s">
        <v>943</v>
      </c>
      <c r="E2058" s="4">
        <v>20</v>
      </c>
      <c r="F2058" s="4" t="s">
        <v>917</v>
      </c>
      <c r="G2058" s="4"/>
      <c r="H2058" s="4"/>
      <c r="I2058" s="4"/>
      <c r="J2058" s="4"/>
    </row>
    <row r="2059" spans="1:10" ht="15" customHeight="1" x14ac:dyDescent="0.2">
      <c r="A2059" s="4">
        <v>2058</v>
      </c>
      <c r="B2059" s="4">
        <v>1415</v>
      </c>
      <c r="C2059" s="4" t="s">
        <v>794</v>
      </c>
      <c r="D2059" s="4" t="s">
        <v>944</v>
      </c>
      <c r="E2059" s="4">
        <v>30</v>
      </c>
      <c r="F2059" s="4" t="s">
        <v>917</v>
      </c>
      <c r="G2059" s="4"/>
      <c r="H2059" s="4"/>
      <c r="I2059" s="4"/>
      <c r="J2059" s="4"/>
    </row>
    <row r="2060" spans="1:10" ht="15" customHeight="1" x14ac:dyDescent="0.2">
      <c r="A2060" s="4">
        <v>2059</v>
      </c>
      <c r="B2060" s="4">
        <v>1415</v>
      </c>
      <c r="C2060" s="4" t="s">
        <v>794</v>
      </c>
      <c r="D2060" s="4" t="s">
        <v>918</v>
      </c>
      <c r="E2060" s="4">
        <v>40</v>
      </c>
      <c r="F2060" s="4" t="s">
        <v>917</v>
      </c>
      <c r="G2060" s="4"/>
      <c r="H2060" s="4"/>
      <c r="I2060" s="4"/>
      <c r="J2060" s="4"/>
    </row>
    <row r="2061" spans="1:10" ht="27.75" customHeight="1" x14ac:dyDescent="0.2">
      <c r="A2061" s="4">
        <v>2060</v>
      </c>
      <c r="B2061" s="4">
        <v>1415</v>
      </c>
      <c r="C2061" s="4" t="s">
        <v>794</v>
      </c>
      <c r="D2061" s="4" t="s">
        <v>945</v>
      </c>
      <c r="E2061" s="4">
        <v>60</v>
      </c>
      <c r="F2061" s="4" t="s">
        <v>917</v>
      </c>
      <c r="G2061" s="4"/>
      <c r="H2061" s="4"/>
      <c r="I2061" s="4"/>
      <c r="J2061" s="4"/>
    </row>
    <row r="2062" spans="1:10" ht="15" customHeight="1" x14ac:dyDescent="0.2">
      <c r="A2062" s="4">
        <v>2061</v>
      </c>
      <c r="B2062" s="4">
        <v>1416</v>
      </c>
      <c r="C2062" s="4" t="s">
        <v>795</v>
      </c>
      <c r="D2062" s="4" t="s">
        <v>943</v>
      </c>
      <c r="E2062" s="4">
        <v>20</v>
      </c>
      <c r="F2062" s="4" t="s">
        <v>917</v>
      </c>
      <c r="G2062" s="4"/>
      <c r="H2062" s="4"/>
      <c r="I2062" s="4"/>
      <c r="J2062" s="4"/>
    </row>
    <row r="2063" spans="1:10" ht="15" customHeight="1" x14ac:dyDescent="0.2">
      <c r="A2063" s="4">
        <v>2062</v>
      </c>
      <c r="B2063" s="4">
        <v>1416</v>
      </c>
      <c r="C2063" s="4" t="s">
        <v>795</v>
      </c>
      <c r="D2063" s="4" t="s">
        <v>944</v>
      </c>
      <c r="E2063" s="4">
        <v>30</v>
      </c>
      <c r="F2063" s="4" t="s">
        <v>917</v>
      </c>
      <c r="G2063" s="4"/>
      <c r="H2063" s="4"/>
      <c r="I2063" s="4"/>
      <c r="J2063" s="4"/>
    </row>
    <row r="2064" spans="1:10" ht="15" customHeight="1" x14ac:dyDescent="0.2">
      <c r="A2064" s="4">
        <v>2063</v>
      </c>
      <c r="B2064" s="4">
        <v>1416</v>
      </c>
      <c r="C2064" s="4" t="s">
        <v>795</v>
      </c>
      <c r="D2064" s="4" t="s">
        <v>918</v>
      </c>
      <c r="E2064" s="4">
        <v>40</v>
      </c>
      <c r="F2064" s="4" t="s">
        <v>917</v>
      </c>
      <c r="G2064" s="4"/>
      <c r="H2064" s="4"/>
      <c r="I2064" s="4"/>
      <c r="J2064" s="4"/>
    </row>
    <row r="2065" spans="1:10" ht="27.75" customHeight="1" x14ac:dyDescent="0.2">
      <c r="A2065" s="4">
        <v>2064</v>
      </c>
      <c r="B2065" s="4">
        <v>1416</v>
      </c>
      <c r="C2065" s="4" t="s">
        <v>795</v>
      </c>
      <c r="D2065" s="4" t="s">
        <v>945</v>
      </c>
      <c r="E2065" s="4">
        <v>60</v>
      </c>
      <c r="F2065" s="4" t="s">
        <v>917</v>
      </c>
      <c r="G2065" s="4"/>
      <c r="H2065" s="4"/>
      <c r="I2065" s="4"/>
      <c r="J2065" s="4"/>
    </row>
    <row r="2066" spans="1:10" ht="15" customHeight="1" x14ac:dyDescent="0.2">
      <c r="A2066" s="4">
        <v>2065</v>
      </c>
      <c r="B2066" s="4">
        <v>1417</v>
      </c>
      <c r="C2066" s="4" t="s">
        <v>796</v>
      </c>
      <c r="D2066" s="4" t="s">
        <v>943</v>
      </c>
      <c r="E2066" s="4">
        <v>20</v>
      </c>
      <c r="F2066" s="4" t="s">
        <v>917</v>
      </c>
      <c r="G2066" s="4"/>
      <c r="H2066" s="4"/>
      <c r="I2066" s="4"/>
      <c r="J2066" s="4"/>
    </row>
    <row r="2067" spans="1:10" ht="15" customHeight="1" x14ac:dyDescent="0.2">
      <c r="A2067" s="4">
        <v>2066</v>
      </c>
      <c r="B2067" s="4">
        <v>1417</v>
      </c>
      <c r="C2067" s="4" t="s">
        <v>796</v>
      </c>
      <c r="D2067" s="4" t="s">
        <v>944</v>
      </c>
      <c r="E2067" s="4">
        <v>30</v>
      </c>
      <c r="F2067" s="4" t="s">
        <v>917</v>
      </c>
      <c r="G2067" s="4"/>
      <c r="H2067" s="4"/>
      <c r="I2067" s="4"/>
      <c r="J2067" s="4"/>
    </row>
    <row r="2068" spans="1:10" ht="15" customHeight="1" x14ac:dyDescent="0.2">
      <c r="A2068" s="4">
        <v>2067</v>
      </c>
      <c r="B2068" s="4">
        <v>1417</v>
      </c>
      <c r="C2068" s="4" t="s">
        <v>796</v>
      </c>
      <c r="D2068" s="4" t="s">
        <v>918</v>
      </c>
      <c r="E2068" s="4">
        <v>40</v>
      </c>
      <c r="F2068" s="4" t="s">
        <v>917</v>
      </c>
      <c r="G2068" s="4"/>
      <c r="H2068" s="4"/>
      <c r="I2068" s="4"/>
      <c r="J2068" s="4"/>
    </row>
    <row r="2069" spans="1:10" ht="27.75" customHeight="1" x14ac:dyDescent="0.2">
      <c r="A2069" s="4">
        <v>2068</v>
      </c>
      <c r="B2069" s="4">
        <v>1417</v>
      </c>
      <c r="C2069" s="4" t="s">
        <v>796</v>
      </c>
      <c r="D2069" s="4" t="s">
        <v>945</v>
      </c>
      <c r="E2069" s="4">
        <v>60</v>
      </c>
      <c r="F2069" s="4" t="s">
        <v>917</v>
      </c>
      <c r="G2069" s="4"/>
      <c r="H2069" s="4"/>
      <c r="I2069" s="4"/>
      <c r="J2069" s="4"/>
    </row>
    <row r="2070" spans="1:10" ht="15" customHeight="1" x14ac:dyDescent="0.2">
      <c r="A2070" s="4">
        <v>2069</v>
      </c>
      <c r="B2070" s="4">
        <v>1418</v>
      </c>
      <c r="C2070" s="4" t="s">
        <v>797</v>
      </c>
      <c r="D2070" s="4" t="s">
        <v>943</v>
      </c>
      <c r="E2070" s="4">
        <v>20</v>
      </c>
      <c r="F2070" s="4" t="s">
        <v>917</v>
      </c>
      <c r="G2070" s="4"/>
      <c r="H2070" s="4"/>
      <c r="I2070" s="4"/>
      <c r="J2070" s="4"/>
    </row>
    <row r="2071" spans="1:10" ht="15" customHeight="1" x14ac:dyDescent="0.2">
      <c r="A2071" s="4">
        <v>2070</v>
      </c>
      <c r="B2071" s="4">
        <v>1418</v>
      </c>
      <c r="C2071" s="4" t="s">
        <v>797</v>
      </c>
      <c r="D2071" s="4" t="s">
        <v>944</v>
      </c>
      <c r="E2071" s="4">
        <v>30</v>
      </c>
      <c r="F2071" s="4" t="s">
        <v>917</v>
      </c>
      <c r="G2071" s="4"/>
      <c r="H2071" s="4"/>
      <c r="I2071" s="4"/>
      <c r="J2071" s="4"/>
    </row>
    <row r="2072" spans="1:10" ht="15" customHeight="1" x14ac:dyDescent="0.2">
      <c r="A2072" s="4">
        <v>2071</v>
      </c>
      <c r="B2072" s="4">
        <v>1418</v>
      </c>
      <c r="C2072" s="4" t="s">
        <v>797</v>
      </c>
      <c r="D2072" s="4" t="s">
        <v>918</v>
      </c>
      <c r="E2072" s="4">
        <v>40</v>
      </c>
      <c r="F2072" s="4" t="s">
        <v>917</v>
      </c>
      <c r="G2072" s="4"/>
      <c r="H2072" s="4"/>
      <c r="I2072" s="4"/>
      <c r="J2072" s="4"/>
    </row>
    <row r="2073" spans="1:10" ht="27.75" customHeight="1" x14ac:dyDescent="0.2">
      <c r="A2073" s="4">
        <v>2072</v>
      </c>
      <c r="B2073" s="4">
        <v>1418</v>
      </c>
      <c r="C2073" s="4" t="s">
        <v>797</v>
      </c>
      <c r="D2073" s="4" t="s">
        <v>945</v>
      </c>
      <c r="E2073" s="4">
        <v>60</v>
      </c>
      <c r="F2073" s="4" t="s">
        <v>917</v>
      </c>
      <c r="G2073" s="4"/>
      <c r="H2073" s="4"/>
      <c r="I2073" s="4"/>
      <c r="J2073" s="4"/>
    </row>
    <row r="2074" spans="1:10" ht="15" customHeight="1" x14ac:dyDescent="0.2">
      <c r="A2074" s="4">
        <v>2073</v>
      </c>
      <c r="B2074" s="4">
        <v>1419</v>
      </c>
      <c r="C2074" s="4" t="s">
        <v>798</v>
      </c>
      <c r="D2074" s="4" t="s">
        <v>943</v>
      </c>
      <c r="E2074" s="4">
        <v>20</v>
      </c>
      <c r="F2074" s="4" t="s">
        <v>917</v>
      </c>
      <c r="G2074" s="4"/>
      <c r="H2074" s="4"/>
      <c r="I2074" s="4"/>
      <c r="J2074" s="4"/>
    </row>
    <row r="2075" spans="1:10" ht="15" customHeight="1" x14ac:dyDescent="0.2">
      <c r="A2075" s="4">
        <v>2074</v>
      </c>
      <c r="B2075" s="4">
        <v>1419</v>
      </c>
      <c r="C2075" s="4" t="s">
        <v>798</v>
      </c>
      <c r="D2075" s="4" t="s">
        <v>944</v>
      </c>
      <c r="E2075" s="4">
        <v>30</v>
      </c>
      <c r="F2075" s="4" t="s">
        <v>917</v>
      </c>
      <c r="G2075" s="4"/>
      <c r="H2075" s="4"/>
      <c r="I2075" s="4"/>
      <c r="J2075" s="4"/>
    </row>
    <row r="2076" spans="1:10" ht="15" customHeight="1" x14ac:dyDescent="0.2">
      <c r="A2076" s="4">
        <v>2075</v>
      </c>
      <c r="B2076" s="4">
        <v>1419</v>
      </c>
      <c r="C2076" s="4" t="s">
        <v>798</v>
      </c>
      <c r="D2076" s="4" t="s">
        <v>918</v>
      </c>
      <c r="E2076" s="4">
        <v>40</v>
      </c>
      <c r="F2076" s="4" t="s">
        <v>917</v>
      </c>
      <c r="G2076" s="4"/>
      <c r="H2076" s="4"/>
      <c r="I2076" s="4"/>
      <c r="J2076" s="4"/>
    </row>
    <row r="2077" spans="1:10" ht="27.75" customHeight="1" x14ac:dyDescent="0.2">
      <c r="A2077" s="4">
        <v>2076</v>
      </c>
      <c r="B2077" s="4">
        <v>1419</v>
      </c>
      <c r="C2077" s="4" t="s">
        <v>798</v>
      </c>
      <c r="D2077" s="4" t="s">
        <v>945</v>
      </c>
      <c r="E2077" s="4">
        <v>60</v>
      </c>
      <c r="F2077" s="4" t="s">
        <v>917</v>
      </c>
      <c r="G2077" s="4"/>
      <c r="H2077" s="4"/>
      <c r="I2077" s="4"/>
      <c r="J2077" s="4"/>
    </row>
    <row r="2078" spans="1:10" ht="15" customHeight="1" x14ac:dyDescent="0.2">
      <c r="A2078" s="4">
        <v>2077</v>
      </c>
      <c r="B2078" s="4">
        <v>1420</v>
      </c>
      <c r="C2078" s="4" t="s">
        <v>799</v>
      </c>
      <c r="D2078" s="4" t="s">
        <v>946</v>
      </c>
      <c r="E2078" s="4">
        <v>100</v>
      </c>
      <c r="F2078" s="4" t="s">
        <v>917</v>
      </c>
      <c r="G2078" s="4"/>
      <c r="H2078" s="4"/>
      <c r="I2078" s="4"/>
      <c r="J2078" s="4"/>
    </row>
    <row r="2079" spans="1:10" ht="15" customHeight="1" x14ac:dyDescent="0.2">
      <c r="A2079" s="4">
        <v>2078</v>
      </c>
      <c r="B2079" s="4">
        <v>1420</v>
      </c>
      <c r="C2079" s="4" t="s">
        <v>799</v>
      </c>
      <c r="D2079" s="4" t="s">
        <v>947</v>
      </c>
      <c r="E2079" s="4">
        <v>150</v>
      </c>
      <c r="F2079" s="4" t="s">
        <v>917</v>
      </c>
      <c r="G2079" s="4"/>
      <c r="H2079" s="4"/>
      <c r="I2079" s="4"/>
      <c r="J2079" s="4"/>
    </row>
    <row r="2080" spans="1:10" ht="15" customHeight="1" x14ac:dyDescent="0.2">
      <c r="A2080" s="4">
        <v>2079</v>
      </c>
      <c r="B2080" s="4">
        <v>1420</v>
      </c>
      <c r="C2080" s="4" t="s">
        <v>799</v>
      </c>
      <c r="D2080" s="4" t="s">
        <v>919</v>
      </c>
      <c r="E2080" s="4">
        <v>200</v>
      </c>
      <c r="F2080" s="4" t="s">
        <v>917</v>
      </c>
      <c r="G2080" s="4"/>
      <c r="H2080" s="4"/>
      <c r="I2080" s="4"/>
      <c r="J2080" s="4"/>
    </row>
    <row r="2081" spans="1:10" ht="27.75" customHeight="1" x14ac:dyDescent="0.2">
      <c r="A2081" s="4">
        <v>2080</v>
      </c>
      <c r="B2081" s="4">
        <v>1420</v>
      </c>
      <c r="C2081" s="4" t="s">
        <v>799</v>
      </c>
      <c r="D2081" s="4" t="s">
        <v>948</v>
      </c>
      <c r="E2081" s="4">
        <v>250</v>
      </c>
      <c r="F2081" s="4" t="s">
        <v>917</v>
      </c>
      <c r="G2081" s="4"/>
      <c r="H2081" s="4"/>
      <c r="I2081" s="4"/>
      <c r="J2081" s="4"/>
    </row>
    <row r="2082" spans="1:10" ht="15" customHeight="1" x14ac:dyDescent="0.2">
      <c r="A2082" s="4">
        <v>2081</v>
      </c>
      <c r="B2082" s="4">
        <v>1421</v>
      </c>
      <c r="C2082" s="4" t="s">
        <v>801</v>
      </c>
      <c r="D2082" s="4" t="s">
        <v>946</v>
      </c>
      <c r="E2082" s="4">
        <v>100</v>
      </c>
      <c r="F2082" s="4" t="s">
        <v>917</v>
      </c>
      <c r="G2082" s="4"/>
      <c r="H2082" s="4"/>
      <c r="I2082" s="4"/>
      <c r="J2082" s="4"/>
    </row>
    <row r="2083" spans="1:10" ht="15" customHeight="1" x14ac:dyDescent="0.2">
      <c r="A2083" s="4">
        <v>2082</v>
      </c>
      <c r="B2083" s="4">
        <v>1421</v>
      </c>
      <c r="C2083" s="4" t="s">
        <v>801</v>
      </c>
      <c r="D2083" s="4" t="s">
        <v>947</v>
      </c>
      <c r="E2083" s="4">
        <v>150</v>
      </c>
      <c r="F2083" s="4" t="s">
        <v>917</v>
      </c>
      <c r="G2083" s="4"/>
      <c r="H2083" s="4"/>
      <c r="I2083" s="4"/>
      <c r="J2083" s="4"/>
    </row>
    <row r="2084" spans="1:10" ht="15" customHeight="1" x14ac:dyDescent="0.2">
      <c r="A2084" s="4">
        <v>2083</v>
      </c>
      <c r="B2084" s="4">
        <v>1421</v>
      </c>
      <c r="C2084" s="4" t="s">
        <v>801</v>
      </c>
      <c r="D2084" s="4" t="s">
        <v>919</v>
      </c>
      <c r="E2084" s="4">
        <v>200</v>
      </c>
      <c r="F2084" s="4" t="s">
        <v>917</v>
      </c>
      <c r="G2084" s="4"/>
      <c r="H2084" s="4"/>
      <c r="I2084" s="4"/>
      <c r="J2084" s="4"/>
    </row>
    <row r="2085" spans="1:10" ht="27.75" customHeight="1" x14ac:dyDescent="0.2">
      <c r="A2085" s="4">
        <v>2084</v>
      </c>
      <c r="B2085" s="4">
        <v>1421</v>
      </c>
      <c r="C2085" s="4" t="s">
        <v>801</v>
      </c>
      <c r="D2085" s="4" t="s">
        <v>948</v>
      </c>
      <c r="E2085" s="4">
        <v>250</v>
      </c>
      <c r="F2085" s="4" t="s">
        <v>917</v>
      </c>
      <c r="G2085" s="4"/>
      <c r="H2085" s="4"/>
      <c r="I2085" s="4"/>
      <c r="J2085" s="4"/>
    </row>
    <row r="2086" spans="1:10" ht="15" customHeight="1" x14ac:dyDescent="0.2">
      <c r="A2086" s="4">
        <v>2085</v>
      </c>
      <c r="B2086" s="4">
        <v>1422</v>
      </c>
      <c r="C2086" s="4" t="s">
        <v>802</v>
      </c>
      <c r="D2086" s="4" t="s">
        <v>946</v>
      </c>
      <c r="E2086" s="4">
        <v>100</v>
      </c>
      <c r="F2086" s="4" t="s">
        <v>917</v>
      </c>
      <c r="G2086" s="4"/>
      <c r="H2086" s="4"/>
      <c r="I2086" s="4"/>
      <c r="J2086" s="4"/>
    </row>
    <row r="2087" spans="1:10" ht="15" customHeight="1" x14ac:dyDescent="0.2">
      <c r="A2087" s="4">
        <v>2086</v>
      </c>
      <c r="B2087" s="4">
        <v>1422</v>
      </c>
      <c r="C2087" s="4" t="s">
        <v>802</v>
      </c>
      <c r="D2087" s="4" t="s">
        <v>947</v>
      </c>
      <c r="E2087" s="4">
        <v>150</v>
      </c>
      <c r="F2087" s="4" t="s">
        <v>917</v>
      </c>
      <c r="G2087" s="4"/>
      <c r="H2087" s="4"/>
      <c r="I2087" s="4"/>
      <c r="J2087" s="4"/>
    </row>
    <row r="2088" spans="1:10" ht="15" customHeight="1" x14ac:dyDescent="0.2">
      <c r="A2088" s="4">
        <v>2087</v>
      </c>
      <c r="B2088" s="4">
        <v>1422</v>
      </c>
      <c r="C2088" s="4" t="s">
        <v>802</v>
      </c>
      <c r="D2088" s="4" t="s">
        <v>919</v>
      </c>
      <c r="E2088" s="4">
        <v>200</v>
      </c>
      <c r="F2088" s="4" t="s">
        <v>917</v>
      </c>
      <c r="G2088" s="4"/>
      <c r="H2088" s="4"/>
      <c r="I2088" s="4"/>
      <c r="J2088" s="4"/>
    </row>
    <row r="2089" spans="1:10" ht="27.75" customHeight="1" x14ac:dyDescent="0.2">
      <c r="A2089" s="4">
        <v>2088</v>
      </c>
      <c r="B2089" s="4">
        <v>1422</v>
      </c>
      <c r="C2089" s="4" t="s">
        <v>802</v>
      </c>
      <c r="D2089" s="4" t="s">
        <v>948</v>
      </c>
      <c r="E2089" s="4">
        <v>250</v>
      </c>
      <c r="F2089" s="4" t="s">
        <v>917</v>
      </c>
      <c r="G2089" s="4"/>
      <c r="H2089" s="4"/>
      <c r="I2089" s="4"/>
      <c r="J2089" s="4"/>
    </row>
    <row r="2090" spans="1:10" ht="15" customHeight="1" x14ac:dyDescent="0.2">
      <c r="A2090" s="4">
        <v>2089</v>
      </c>
      <c r="B2090" s="4">
        <v>1423</v>
      </c>
      <c r="C2090" s="4" t="s">
        <v>803</v>
      </c>
      <c r="D2090" s="4" t="s">
        <v>946</v>
      </c>
      <c r="E2090" s="4">
        <v>100</v>
      </c>
      <c r="F2090" s="4" t="s">
        <v>917</v>
      </c>
      <c r="G2090" s="4"/>
      <c r="H2090" s="4"/>
      <c r="I2090" s="4"/>
      <c r="J2090" s="4"/>
    </row>
    <row r="2091" spans="1:10" ht="15" customHeight="1" x14ac:dyDescent="0.2">
      <c r="A2091" s="4">
        <v>2090</v>
      </c>
      <c r="B2091" s="4">
        <v>1423</v>
      </c>
      <c r="C2091" s="4" t="s">
        <v>803</v>
      </c>
      <c r="D2091" s="4" t="s">
        <v>947</v>
      </c>
      <c r="E2091" s="4">
        <v>150</v>
      </c>
      <c r="F2091" s="4" t="s">
        <v>917</v>
      </c>
      <c r="G2091" s="4"/>
      <c r="H2091" s="4"/>
      <c r="I2091" s="4"/>
      <c r="J2091" s="4"/>
    </row>
    <row r="2092" spans="1:10" ht="15" customHeight="1" x14ac:dyDescent="0.2">
      <c r="A2092" s="4">
        <v>2091</v>
      </c>
      <c r="B2092" s="4">
        <v>1423</v>
      </c>
      <c r="C2092" s="4" t="s">
        <v>803</v>
      </c>
      <c r="D2092" s="4" t="s">
        <v>919</v>
      </c>
      <c r="E2092" s="4">
        <v>200</v>
      </c>
      <c r="F2092" s="4" t="s">
        <v>917</v>
      </c>
      <c r="G2092" s="4"/>
      <c r="H2092" s="4"/>
      <c r="I2092" s="4"/>
      <c r="J2092" s="4"/>
    </row>
    <row r="2093" spans="1:10" ht="27.75" customHeight="1" x14ac:dyDescent="0.2">
      <c r="A2093" s="4">
        <v>2092</v>
      </c>
      <c r="B2093" s="4">
        <v>1423</v>
      </c>
      <c r="C2093" s="4" t="s">
        <v>803</v>
      </c>
      <c r="D2093" s="4" t="s">
        <v>948</v>
      </c>
      <c r="E2093" s="4">
        <v>250</v>
      </c>
      <c r="F2093" s="4" t="s">
        <v>917</v>
      </c>
      <c r="G2093" s="4"/>
      <c r="H2093" s="4"/>
      <c r="I2093" s="4"/>
      <c r="J2093" s="4"/>
    </row>
    <row r="2094" spans="1:10" ht="15" customHeight="1" x14ac:dyDescent="0.2">
      <c r="A2094" s="4">
        <v>2093</v>
      </c>
      <c r="B2094" s="4">
        <v>1424</v>
      </c>
      <c r="C2094" s="4" t="s">
        <v>804</v>
      </c>
      <c r="D2094" s="4" t="s">
        <v>946</v>
      </c>
      <c r="E2094" s="4">
        <v>100</v>
      </c>
      <c r="F2094" s="4" t="s">
        <v>917</v>
      </c>
      <c r="G2094" s="4"/>
      <c r="H2094" s="4"/>
      <c r="I2094" s="4"/>
      <c r="J2094" s="4"/>
    </row>
    <row r="2095" spans="1:10" ht="15" customHeight="1" x14ac:dyDescent="0.2">
      <c r="A2095" s="4">
        <v>2094</v>
      </c>
      <c r="B2095" s="4">
        <v>1424</v>
      </c>
      <c r="C2095" s="4" t="s">
        <v>804</v>
      </c>
      <c r="D2095" s="4" t="s">
        <v>947</v>
      </c>
      <c r="E2095" s="4">
        <v>150</v>
      </c>
      <c r="F2095" s="4" t="s">
        <v>917</v>
      </c>
      <c r="G2095" s="4"/>
      <c r="H2095" s="4"/>
      <c r="I2095" s="4"/>
      <c r="J2095" s="4"/>
    </row>
    <row r="2096" spans="1:10" ht="15" customHeight="1" x14ac:dyDescent="0.2">
      <c r="A2096" s="4">
        <v>2095</v>
      </c>
      <c r="B2096" s="4">
        <v>1424</v>
      </c>
      <c r="C2096" s="4" t="s">
        <v>804</v>
      </c>
      <c r="D2096" s="4" t="s">
        <v>919</v>
      </c>
      <c r="E2096" s="4">
        <v>200</v>
      </c>
      <c r="F2096" s="4" t="s">
        <v>917</v>
      </c>
      <c r="G2096" s="4"/>
      <c r="H2096" s="4"/>
      <c r="I2096" s="4"/>
      <c r="J2096" s="4"/>
    </row>
    <row r="2097" spans="1:10" ht="27.75" customHeight="1" x14ac:dyDescent="0.2">
      <c r="A2097" s="4">
        <v>2096</v>
      </c>
      <c r="B2097" s="4">
        <v>1424</v>
      </c>
      <c r="C2097" s="4" t="s">
        <v>804</v>
      </c>
      <c r="D2097" s="4" t="s">
        <v>948</v>
      </c>
      <c r="E2097" s="4">
        <v>250</v>
      </c>
      <c r="F2097" s="4" t="s">
        <v>917</v>
      </c>
      <c r="G2097" s="4"/>
      <c r="H2097" s="4"/>
      <c r="I2097" s="4"/>
      <c r="J2097" s="4"/>
    </row>
    <row r="2098" spans="1:10" ht="15" customHeight="1" x14ac:dyDescent="0.2">
      <c r="A2098" s="4">
        <v>2097</v>
      </c>
      <c r="B2098" s="4">
        <v>1425</v>
      </c>
      <c r="C2098" s="4" t="s">
        <v>805</v>
      </c>
      <c r="D2098" s="4" t="s">
        <v>946</v>
      </c>
      <c r="E2098" s="4">
        <v>100</v>
      </c>
      <c r="F2098" s="4" t="s">
        <v>917</v>
      </c>
      <c r="G2098" s="4"/>
      <c r="H2098" s="4"/>
      <c r="I2098" s="4"/>
      <c r="J2098" s="4"/>
    </row>
    <row r="2099" spans="1:10" ht="15" customHeight="1" x14ac:dyDescent="0.2">
      <c r="A2099" s="4">
        <v>2098</v>
      </c>
      <c r="B2099" s="4">
        <v>1425</v>
      </c>
      <c r="C2099" s="4" t="s">
        <v>805</v>
      </c>
      <c r="D2099" s="4" t="s">
        <v>947</v>
      </c>
      <c r="E2099" s="4">
        <v>150</v>
      </c>
      <c r="F2099" s="4" t="s">
        <v>917</v>
      </c>
      <c r="G2099" s="4"/>
      <c r="H2099" s="4"/>
      <c r="I2099" s="4"/>
      <c r="J2099" s="4"/>
    </row>
    <row r="2100" spans="1:10" ht="15" customHeight="1" x14ac:dyDescent="0.2">
      <c r="A2100" s="4">
        <v>2099</v>
      </c>
      <c r="B2100" s="4">
        <v>1425</v>
      </c>
      <c r="C2100" s="4" t="s">
        <v>805</v>
      </c>
      <c r="D2100" s="4" t="s">
        <v>919</v>
      </c>
      <c r="E2100" s="4">
        <v>200</v>
      </c>
      <c r="F2100" s="4" t="s">
        <v>917</v>
      </c>
      <c r="G2100" s="4"/>
      <c r="H2100" s="4"/>
      <c r="I2100" s="4"/>
      <c r="J2100" s="4"/>
    </row>
    <row r="2101" spans="1:10" ht="27.75" customHeight="1" x14ac:dyDescent="0.2">
      <c r="A2101" s="4">
        <v>2100</v>
      </c>
      <c r="B2101" s="4">
        <v>1425</v>
      </c>
      <c r="C2101" s="4" t="s">
        <v>805</v>
      </c>
      <c r="D2101" s="4" t="s">
        <v>948</v>
      </c>
      <c r="E2101" s="4">
        <v>250</v>
      </c>
      <c r="F2101" s="4" t="s">
        <v>917</v>
      </c>
      <c r="G2101" s="4"/>
      <c r="H2101" s="4"/>
      <c r="I2101" s="4"/>
      <c r="J2101" s="4"/>
    </row>
    <row r="2102" spans="1:10" ht="15" customHeight="1" x14ac:dyDescent="0.2">
      <c r="A2102" s="4">
        <v>2101</v>
      </c>
      <c r="B2102" s="4">
        <v>1426</v>
      </c>
      <c r="C2102" s="4" t="s">
        <v>806</v>
      </c>
      <c r="D2102" s="4" t="s">
        <v>946</v>
      </c>
      <c r="E2102" s="4">
        <v>100</v>
      </c>
      <c r="F2102" s="4" t="s">
        <v>917</v>
      </c>
      <c r="G2102" s="4"/>
      <c r="H2102" s="4"/>
      <c r="I2102" s="4"/>
      <c r="J2102" s="4"/>
    </row>
    <row r="2103" spans="1:10" ht="15" customHeight="1" x14ac:dyDescent="0.2">
      <c r="A2103" s="4">
        <v>2102</v>
      </c>
      <c r="B2103" s="4">
        <v>1426</v>
      </c>
      <c r="C2103" s="4" t="s">
        <v>806</v>
      </c>
      <c r="D2103" s="4" t="s">
        <v>947</v>
      </c>
      <c r="E2103" s="4">
        <v>150</v>
      </c>
      <c r="F2103" s="4" t="s">
        <v>917</v>
      </c>
      <c r="G2103" s="4"/>
      <c r="H2103" s="4"/>
      <c r="I2103" s="4"/>
      <c r="J2103" s="4"/>
    </row>
    <row r="2104" spans="1:10" ht="15" customHeight="1" x14ac:dyDescent="0.2">
      <c r="A2104" s="4">
        <v>2103</v>
      </c>
      <c r="B2104" s="4">
        <v>1426</v>
      </c>
      <c r="C2104" s="4" t="s">
        <v>806</v>
      </c>
      <c r="D2104" s="4" t="s">
        <v>919</v>
      </c>
      <c r="E2104" s="4">
        <v>200</v>
      </c>
      <c r="F2104" s="4" t="s">
        <v>917</v>
      </c>
      <c r="G2104" s="4"/>
      <c r="H2104" s="4"/>
      <c r="I2104" s="4"/>
      <c r="J2104" s="4"/>
    </row>
    <row r="2105" spans="1:10" ht="27.75" customHeight="1" x14ac:dyDescent="0.2">
      <c r="A2105" s="4">
        <v>2104</v>
      </c>
      <c r="B2105" s="4">
        <v>1426</v>
      </c>
      <c r="C2105" s="4" t="s">
        <v>806</v>
      </c>
      <c r="D2105" s="4" t="s">
        <v>948</v>
      </c>
      <c r="E2105" s="4">
        <v>250</v>
      </c>
      <c r="F2105" s="4" t="s">
        <v>917</v>
      </c>
      <c r="G2105" s="4"/>
      <c r="H2105" s="4"/>
      <c r="I2105" s="4"/>
      <c r="J2105" s="4"/>
    </row>
    <row r="2106" spans="1:10" ht="15" customHeight="1" x14ac:dyDescent="0.2">
      <c r="A2106" s="4">
        <v>2105</v>
      </c>
      <c r="B2106" s="4">
        <v>1427</v>
      </c>
      <c r="C2106" s="4" t="s">
        <v>807</v>
      </c>
      <c r="D2106" s="4" t="s">
        <v>946</v>
      </c>
      <c r="E2106" s="4">
        <v>100</v>
      </c>
      <c r="F2106" s="4" t="s">
        <v>917</v>
      </c>
      <c r="G2106" s="4"/>
      <c r="H2106" s="4"/>
      <c r="I2106" s="4"/>
      <c r="J2106" s="4"/>
    </row>
    <row r="2107" spans="1:10" ht="15" customHeight="1" x14ac:dyDescent="0.2">
      <c r="A2107" s="4">
        <v>2106</v>
      </c>
      <c r="B2107" s="4">
        <v>1427</v>
      </c>
      <c r="C2107" s="4" t="s">
        <v>807</v>
      </c>
      <c r="D2107" s="4" t="s">
        <v>947</v>
      </c>
      <c r="E2107" s="4">
        <v>150</v>
      </c>
      <c r="F2107" s="4" t="s">
        <v>917</v>
      </c>
      <c r="G2107" s="4"/>
      <c r="H2107" s="4"/>
      <c r="I2107" s="4"/>
      <c r="J2107" s="4"/>
    </row>
    <row r="2108" spans="1:10" ht="15" customHeight="1" x14ac:dyDescent="0.2">
      <c r="A2108" s="4">
        <v>2107</v>
      </c>
      <c r="B2108" s="4">
        <v>1427</v>
      </c>
      <c r="C2108" s="4" t="s">
        <v>807</v>
      </c>
      <c r="D2108" s="4" t="s">
        <v>919</v>
      </c>
      <c r="E2108" s="4">
        <v>200</v>
      </c>
      <c r="F2108" s="4" t="s">
        <v>917</v>
      </c>
      <c r="G2108" s="4"/>
      <c r="H2108" s="4"/>
      <c r="I2108" s="4"/>
      <c r="J2108" s="4"/>
    </row>
    <row r="2109" spans="1:10" ht="27.75" customHeight="1" x14ac:dyDescent="0.2">
      <c r="A2109" s="4">
        <v>2108</v>
      </c>
      <c r="B2109" s="4">
        <v>1427</v>
      </c>
      <c r="C2109" s="4" t="s">
        <v>807</v>
      </c>
      <c r="D2109" s="4" t="s">
        <v>948</v>
      </c>
      <c r="E2109" s="4">
        <v>250</v>
      </c>
      <c r="F2109" s="4" t="s">
        <v>917</v>
      </c>
      <c r="G2109" s="4"/>
      <c r="H2109" s="4"/>
      <c r="I2109" s="4"/>
      <c r="J2109" s="4"/>
    </row>
    <row r="2110" spans="1:10" ht="15" customHeight="1" x14ac:dyDescent="0.2">
      <c r="A2110" s="4">
        <v>2109</v>
      </c>
      <c r="B2110" s="4">
        <v>1428</v>
      </c>
      <c r="C2110" s="4" t="s">
        <v>808</v>
      </c>
      <c r="D2110" s="4" t="s">
        <v>946</v>
      </c>
      <c r="E2110" s="4">
        <v>100</v>
      </c>
      <c r="F2110" s="4" t="s">
        <v>917</v>
      </c>
      <c r="G2110" s="4"/>
      <c r="H2110" s="4"/>
      <c r="I2110" s="4"/>
      <c r="J2110" s="4"/>
    </row>
    <row r="2111" spans="1:10" ht="15" customHeight="1" x14ac:dyDescent="0.2">
      <c r="A2111" s="4">
        <v>2110</v>
      </c>
      <c r="B2111" s="4">
        <v>1428</v>
      </c>
      <c r="C2111" s="4" t="s">
        <v>808</v>
      </c>
      <c r="D2111" s="4" t="s">
        <v>947</v>
      </c>
      <c r="E2111" s="4">
        <v>150</v>
      </c>
      <c r="F2111" s="4" t="s">
        <v>917</v>
      </c>
      <c r="G2111" s="4"/>
      <c r="H2111" s="4"/>
      <c r="I2111" s="4"/>
      <c r="J2111" s="4"/>
    </row>
    <row r="2112" spans="1:10" ht="15" customHeight="1" x14ac:dyDescent="0.2">
      <c r="A2112" s="4">
        <v>2111</v>
      </c>
      <c r="B2112" s="4">
        <v>1428</v>
      </c>
      <c r="C2112" s="4" t="s">
        <v>808</v>
      </c>
      <c r="D2112" s="4" t="s">
        <v>919</v>
      </c>
      <c r="E2112" s="4">
        <v>200</v>
      </c>
      <c r="F2112" s="4" t="s">
        <v>917</v>
      </c>
      <c r="G2112" s="4"/>
      <c r="H2112" s="4"/>
      <c r="I2112" s="4"/>
      <c r="J2112" s="4"/>
    </row>
    <row r="2113" spans="1:10" ht="27.75" customHeight="1" x14ac:dyDescent="0.2">
      <c r="A2113" s="4">
        <v>2112</v>
      </c>
      <c r="B2113" s="4">
        <v>1428</v>
      </c>
      <c r="C2113" s="4" t="s">
        <v>808</v>
      </c>
      <c r="D2113" s="4" t="s">
        <v>948</v>
      </c>
      <c r="E2113" s="4">
        <v>250</v>
      </c>
      <c r="F2113" s="4" t="s">
        <v>917</v>
      </c>
      <c r="G2113" s="4"/>
      <c r="H2113" s="4"/>
      <c r="I2113" s="4"/>
      <c r="J2113" s="4"/>
    </row>
    <row r="2114" spans="1:10" ht="15" customHeight="1" x14ac:dyDescent="0.2">
      <c r="A2114" s="4">
        <v>2113</v>
      </c>
      <c r="B2114" s="4">
        <v>1429</v>
      </c>
      <c r="C2114" s="4" t="s">
        <v>809</v>
      </c>
      <c r="D2114" s="4" t="s">
        <v>946</v>
      </c>
      <c r="E2114" s="4">
        <v>100</v>
      </c>
      <c r="F2114" s="4" t="s">
        <v>917</v>
      </c>
      <c r="G2114" s="4"/>
      <c r="H2114" s="4"/>
      <c r="I2114" s="4"/>
      <c r="J2114" s="4"/>
    </row>
    <row r="2115" spans="1:10" ht="15" customHeight="1" x14ac:dyDescent="0.2">
      <c r="A2115" s="4">
        <v>2114</v>
      </c>
      <c r="B2115" s="4">
        <v>1429</v>
      </c>
      <c r="C2115" s="4" t="s">
        <v>809</v>
      </c>
      <c r="D2115" s="4" t="s">
        <v>947</v>
      </c>
      <c r="E2115" s="4">
        <v>150</v>
      </c>
      <c r="F2115" s="4" t="s">
        <v>917</v>
      </c>
      <c r="G2115" s="4"/>
      <c r="H2115" s="4"/>
      <c r="I2115" s="4"/>
      <c r="J2115" s="4"/>
    </row>
    <row r="2116" spans="1:10" ht="15" customHeight="1" x14ac:dyDescent="0.2">
      <c r="A2116" s="4">
        <v>2115</v>
      </c>
      <c r="B2116" s="4">
        <v>1429</v>
      </c>
      <c r="C2116" s="4" t="s">
        <v>809</v>
      </c>
      <c r="D2116" s="4" t="s">
        <v>919</v>
      </c>
      <c r="E2116" s="4">
        <v>200</v>
      </c>
      <c r="F2116" s="4" t="s">
        <v>917</v>
      </c>
      <c r="G2116" s="4"/>
      <c r="H2116" s="4"/>
      <c r="I2116" s="4"/>
      <c r="J2116" s="4"/>
    </row>
    <row r="2117" spans="1:10" ht="27.75" customHeight="1" x14ac:dyDescent="0.2">
      <c r="A2117" s="4">
        <v>2116</v>
      </c>
      <c r="B2117" s="4">
        <v>1429</v>
      </c>
      <c r="C2117" s="4" t="s">
        <v>809</v>
      </c>
      <c r="D2117" s="4" t="s">
        <v>948</v>
      </c>
      <c r="E2117" s="4">
        <v>250</v>
      </c>
      <c r="F2117" s="4" t="s">
        <v>917</v>
      </c>
      <c r="G2117" s="4"/>
      <c r="H2117" s="4"/>
      <c r="I2117" s="4"/>
      <c r="J2117" s="4"/>
    </row>
    <row r="2118" spans="1:10" ht="15" customHeight="1" x14ac:dyDescent="0.2">
      <c r="A2118" s="4">
        <v>2117</v>
      </c>
      <c r="B2118" s="4">
        <v>1430</v>
      </c>
      <c r="C2118" s="4" t="s">
        <v>810</v>
      </c>
      <c r="D2118" s="4" t="s">
        <v>946</v>
      </c>
      <c r="E2118" s="4">
        <v>100</v>
      </c>
      <c r="F2118" s="4" t="s">
        <v>917</v>
      </c>
      <c r="G2118" s="4"/>
      <c r="H2118" s="4"/>
      <c r="I2118" s="4"/>
      <c r="J2118" s="4"/>
    </row>
    <row r="2119" spans="1:10" ht="15" customHeight="1" x14ac:dyDescent="0.2">
      <c r="A2119" s="4">
        <v>2118</v>
      </c>
      <c r="B2119" s="4">
        <v>1430</v>
      </c>
      <c r="C2119" s="4" t="s">
        <v>810</v>
      </c>
      <c r="D2119" s="4" t="s">
        <v>947</v>
      </c>
      <c r="E2119" s="4">
        <v>150</v>
      </c>
      <c r="F2119" s="4" t="s">
        <v>917</v>
      </c>
      <c r="G2119" s="4"/>
      <c r="H2119" s="4"/>
      <c r="I2119" s="4"/>
      <c r="J2119" s="4"/>
    </row>
    <row r="2120" spans="1:10" ht="15" customHeight="1" x14ac:dyDescent="0.2">
      <c r="A2120" s="4">
        <v>2119</v>
      </c>
      <c r="B2120" s="4">
        <v>1430</v>
      </c>
      <c r="C2120" s="4" t="s">
        <v>810</v>
      </c>
      <c r="D2120" s="4" t="s">
        <v>919</v>
      </c>
      <c r="E2120" s="4">
        <v>200</v>
      </c>
      <c r="F2120" s="4" t="s">
        <v>917</v>
      </c>
      <c r="G2120" s="4"/>
      <c r="H2120" s="4"/>
      <c r="I2120" s="4"/>
      <c r="J2120" s="4"/>
    </row>
    <row r="2121" spans="1:10" ht="27.75" customHeight="1" x14ac:dyDescent="0.2">
      <c r="A2121" s="4">
        <v>2120</v>
      </c>
      <c r="B2121" s="4">
        <v>1430</v>
      </c>
      <c r="C2121" s="4" t="s">
        <v>810</v>
      </c>
      <c r="D2121" s="4" t="s">
        <v>948</v>
      </c>
      <c r="E2121" s="4">
        <v>250</v>
      </c>
      <c r="F2121" s="4" t="s">
        <v>917</v>
      </c>
      <c r="G2121" s="4"/>
      <c r="H2121" s="4"/>
      <c r="I2121" s="4"/>
      <c r="J2121" s="4"/>
    </row>
    <row r="2122" spans="1:10" ht="15" customHeight="1" x14ac:dyDescent="0.2">
      <c r="A2122" s="4">
        <v>2121</v>
      </c>
      <c r="B2122" s="4">
        <v>1431</v>
      </c>
      <c r="C2122" s="4" t="s">
        <v>811</v>
      </c>
      <c r="D2122" s="4" t="s">
        <v>946</v>
      </c>
      <c r="E2122" s="4">
        <v>100</v>
      </c>
      <c r="F2122" s="4" t="s">
        <v>917</v>
      </c>
      <c r="G2122" s="4"/>
      <c r="H2122" s="4"/>
      <c r="I2122" s="4"/>
      <c r="J2122" s="4"/>
    </row>
    <row r="2123" spans="1:10" ht="15" customHeight="1" x14ac:dyDescent="0.2">
      <c r="A2123" s="4">
        <v>2122</v>
      </c>
      <c r="B2123" s="4">
        <v>1431</v>
      </c>
      <c r="C2123" s="4" t="s">
        <v>811</v>
      </c>
      <c r="D2123" s="4" t="s">
        <v>947</v>
      </c>
      <c r="E2123" s="4">
        <v>150</v>
      </c>
      <c r="F2123" s="4" t="s">
        <v>917</v>
      </c>
      <c r="G2123" s="4"/>
      <c r="H2123" s="4"/>
      <c r="I2123" s="4"/>
      <c r="J2123" s="4"/>
    </row>
    <row r="2124" spans="1:10" ht="15" customHeight="1" x14ac:dyDescent="0.2">
      <c r="A2124" s="4">
        <v>2123</v>
      </c>
      <c r="B2124" s="4">
        <v>1431</v>
      </c>
      <c r="C2124" s="4" t="s">
        <v>811</v>
      </c>
      <c r="D2124" s="4" t="s">
        <v>919</v>
      </c>
      <c r="E2124" s="4">
        <v>200</v>
      </c>
      <c r="F2124" s="4" t="s">
        <v>917</v>
      </c>
      <c r="G2124" s="4"/>
      <c r="H2124" s="4"/>
      <c r="I2124" s="4"/>
      <c r="J2124" s="4"/>
    </row>
    <row r="2125" spans="1:10" ht="27.75" customHeight="1" x14ac:dyDescent="0.2">
      <c r="A2125" s="4">
        <v>2124</v>
      </c>
      <c r="B2125" s="4">
        <v>1431</v>
      </c>
      <c r="C2125" s="4" t="s">
        <v>811</v>
      </c>
      <c r="D2125" s="4" t="s">
        <v>948</v>
      </c>
      <c r="E2125" s="4">
        <v>250</v>
      </c>
      <c r="F2125" s="4" t="s">
        <v>917</v>
      </c>
      <c r="G2125" s="4"/>
      <c r="H2125" s="4"/>
      <c r="I2125" s="4"/>
      <c r="J2125" s="4"/>
    </row>
    <row r="2126" spans="1:10" ht="15" customHeight="1" x14ac:dyDescent="0.2">
      <c r="A2126" s="4">
        <v>2125</v>
      </c>
      <c r="B2126" s="4">
        <v>1432</v>
      </c>
      <c r="C2126" s="4" t="s">
        <v>812</v>
      </c>
      <c r="D2126" s="4" t="s">
        <v>946</v>
      </c>
      <c r="E2126" s="4">
        <v>100</v>
      </c>
      <c r="F2126" s="4" t="s">
        <v>917</v>
      </c>
      <c r="G2126" s="4"/>
      <c r="H2126" s="4"/>
      <c r="I2126" s="4"/>
      <c r="J2126" s="4"/>
    </row>
    <row r="2127" spans="1:10" ht="15" customHeight="1" x14ac:dyDescent="0.2">
      <c r="A2127" s="4">
        <v>2126</v>
      </c>
      <c r="B2127" s="4">
        <v>1432</v>
      </c>
      <c r="C2127" s="4" t="s">
        <v>812</v>
      </c>
      <c r="D2127" s="4" t="s">
        <v>947</v>
      </c>
      <c r="E2127" s="4">
        <v>150</v>
      </c>
      <c r="F2127" s="4" t="s">
        <v>917</v>
      </c>
      <c r="G2127" s="4"/>
      <c r="H2127" s="4"/>
      <c r="I2127" s="4"/>
      <c r="J2127" s="4"/>
    </row>
    <row r="2128" spans="1:10" ht="15" customHeight="1" x14ac:dyDescent="0.2">
      <c r="A2128" s="4">
        <v>2127</v>
      </c>
      <c r="B2128" s="4">
        <v>1432</v>
      </c>
      <c r="C2128" s="4" t="s">
        <v>812</v>
      </c>
      <c r="D2128" s="4" t="s">
        <v>919</v>
      </c>
      <c r="E2128" s="4">
        <v>200</v>
      </c>
      <c r="F2128" s="4" t="s">
        <v>917</v>
      </c>
      <c r="G2128" s="4"/>
      <c r="H2128" s="4"/>
      <c r="I2128" s="4"/>
      <c r="J2128" s="4"/>
    </row>
    <row r="2129" spans="1:10" ht="27.75" customHeight="1" x14ac:dyDescent="0.2">
      <c r="A2129" s="4">
        <v>2128</v>
      </c>
      <c r="B2129" s="4">
        <v>1432</v>
      </c>
      <c r="C2129" s="4" t="s">
        <v>812</v>
      </c>
      <c r="D2129" s="4" t="s">
        <v>948</v>
      </c>
      <c r="E2129" s="4">
        <v>250</v>
      </c>
      <c r="F2129" s="4" t="s">
        <v>917</v>
      </c>
      <c r="G2129" s="4"/>
      <c r="H2129" s="4"/>
      <c r="I2129" s="4"/>
      <c r="J2129" s="4"/>
    </row>
    <row r="2130" spans="1:10" ht="15" customHeight="1" x14ac:dyDescent="0.2">
      <c r="A2130" s="4">
        <v>2129</v>
      </c>
      <c r="B2130" s="4">
        <v>1433</v>
      </c>
      <c r="C2130" s="4" t="s">
        <v>813</v>
      </c>
      <c r="D2130" s="4" t="s">
        <v>946</v>
      </c>
      <c r="E2130" s="4">
        <v>100</v>
      </c>
      <c r="F2130" s="4" t="s">
        <v>917</v>
      </c>
      <c r="G2130" s="4"/>
      <c r="H2130" s="4"/>
      <c r="I2130" s="4"/>
      <c r="J2130" s="4"/>
    </row>
    <row r="2131" spans="1:10" ht="15" customHeight="1" x14ac:dyDescent="0.2">
      <c r="A2131" s="4">
        <v>2130</v>
      </c>
      <c r="B2131" s="4">
        <v>1433</v>
      </c>
      <c r="C2131" s="4" t="s">
        <v>813</v>
      </c>
      <c r="D2131" s="4" t="s">
        <v>947</v>
      </c>
      <c r="E2131" s="4">
        <v>150</v>
      </c>
      <c r="F2131" s="4" t="s">
        <v>917</v>
      </c>
      <c r="G2131" s="4"/>
      <c r="H2131" s="4"/>
      <c r="I2131" s="4"/>
      <c r="J2131" s="4"/>
    </row>
    <row r="2132" spans="1:10" ht="15" customHeight="1" x14ac:dyDescent="0.2">
      <c r="A2132" s="4">
        <v>2131</v>
      </c>
      <c r="B2132" s="4">
        <v>1433</v>
      </c>
      <c r="C2132" s="4" t="s">
        <v>813</v>
      </c>
      <c r="D2132" s="4" t="s">
        <v>919</v>
      </c>
      <c r="E2132" s="4">
        <v>200</v>
      </c>
      <c r="F2132" s="4" t="s">
        <v>917</v>
      </c>
      <c r="G2132" s="4"/>
      <c r="H2132" s="4"/>
      <c r="I2132" s="4"/>
      <c r="J2132" s="4"/>
    </row>
    <row r="2133" spans="1:10" ht="27.75" customHeight="1" x14ac:dyDescent="0.2">
      <c r="A2133" s="4">
        <v>2132</v>
      </c>
      <c r="B2133" s="4">
        <v>1433</v>
      </c>
      <c r="C2133" s="4" t="s">
        <v>813</v>
      </c>
      <c r="D2133" s="4" t="s">
        <v>948</v>
      </c>
      <c r="E2133" s="4">
        <v>250</v>
      </c>
      <c r="F2133" s="4" t="s">
        <v>917</v>
      </c>
      <c r="G2133" s="4"/>
      <c r="H2133" s="4"/>
      <c r="I2133" s="4"/>
      <c r="J2133" s="4"/>
    </row>
    <row r="2134" spans="1:10" ht="15" customHeight="1" x14ac:dyDescent="0.2">
      <c r="A2134" s="4">
        <v>2133</v>
      </c>
      <c r="B2134" s="4">
        <v>1434</v>
      </c>
      <c r="C2134" s="4" t="s">
        <v>814</v>
      </c>
      <c r="D2134" s="4" t="s">
        <v>946</v>
      </c>
      <c r="E2134" s="4">
        <v>100</v>
      </c>
      <c r="F2134" s="4" t="s">
        <v>917</v>
      </c>
      <c r="G2134" s="4"/>
      <c r="H2134" s="4"/>
      <c r="I2134" s="4"/>
      <c r="J2134" s="4"/>
    </row>
    <row r="2135" spans="1:10" ht="15" customHeight="1" x14ac:dyDescent="0.2">
      <c r="A2135" s="4">
        <v>2134</v>
      </c>
      <c r="B2135" s="4">
        <v>1434</v>
      </c>
      <c r="C2135" s="4" t="s">
        <v>814</v>
      </c>
      <c r="D2135" s="4" t="s">
        <v>947</v>
      </c>
      <c r="E2135" s="4">
        <v>150</v>
      </c>
      <c r="F2135" s="4" t="s">
        <v>917</v>
      </c>
      <c r="G2135" s="4"/>
      <c r="H2135" s="4"/>
      <c r="I2135" s="4"/>
      <c r="J2135" s="4"/>
    </row>
    <row r="2136" spans="1:10" ht="15" customHeight="1" x14ac:dyDescent="0.2">
      <c r="A2136" s="4">
        <v>2135</v>
      </c>
      <c r="B2136" s="4">
        <v>1434</v>
      </c>
      <c r="C2136" s="4" t="s">
        <v>814</v>
      </c>
      <c r="D2136" s="4" t="s">
        <v>919</v>
      </c>
      <c r="E2136" s="4">
        <v>200</v>
      </c>
      <c r="F2136" s="4" t="s">
        <v>917</v>
      </c>
      <c r="G2136" s="4"/>
      <c r="H2136" s="4"/>
      <c r="I2136" s="4"/>
      <c r="J2136" s="4"/>
    </row>
    <row r="2137" spans="1:10" ht="27.75" customHeight="1" x14ac:dyDescent="0.2">
      <c r="A2137" s="4">
        <v>2136</v>
      </c>
      <c r="B2137" s="4">
        <v>1434</v>
      </c>
      <c r="C2137" s="4" t="s">
        <v>814</v>
      </c>
      <c r="D2137" s="4" t="s">
        <v>948</v>
      </c>
      <c r="E2137" s="4">
        <v>250</v>
      </c>
      <c r="F2137" s="4" t="s">
        <v>917</v>
      </c>
      <c r="G2137" s="4"/>
      <c r="H2137" s="4"/>
      <c r="I2137" s="4"/>
      <c r="J2137" s="4"/>
    </row>
    <row r="2138" spans="1:10" ht="15" customHeight="1" x14ac:dyDescent="0.2">
      <c r="A2138" s="4">
        <v>2137</v>
      </c>
      <c r="B2138" s="4">
        <v>1435</v>
      </c>
      <c r="C2138" s="4" t="s">
        <v>815</v>
      </c>
      <c r="D2138" s="4" t="s">
        <v>946</v>
      </c>
      <c r="E2138" s="4">
        <v>100</v>
      </c>
      <c r="F2138" s="4" t="s">
        <v>917</v>
      </c>
      <c r="G2138" s="4"/>
      <c r="H2138" s="4"/>
      <c r="I2138" s="4"/>
      <c r="J2138" s="4"/>
    </row>
    <row r="2139" spans="1:10" ht="15" customHeight="1" x14ac:dyDescent="0.2">
      <c r="A2139" s="4">
        <v>2138</v>
      </c>
      <c r="B2139" s="4">
        <v>1435</v>
      </c>
      <c r="C2139" s="4" t="s">
        <v>815</v>
      </c>
      <c r="D2139" s="4" t="s">
        <v>947</v>
      </c>
      <c r="E2139" s="4">
        <v>150</v>
      </c>
      <c r="F2139" s="4" t="s">
        <v>917</v>
      </c>
      <c r="G2139" s="4"/>
      <c r="H2139" s="4"/>
      <c r="I2139" s="4"/>
      <c r="J2139" s="4"/>
    </row>
    <row r="2140" spans="1:10" ht="15" customHeight="1" x14ac:dyDescent="0.2">
      <c r="A2140" s="4">
        <v>2139</v>
      </c>
      <c r="B2140" s="4">
        <v>1435</v>
      </c>
      <c r="C2140" s="4" t="s">
        <v>815</v>
      </c>
      <c r="D2140" s="4" t="s">
        <v>919</v>
      </c>
      <c r="E2140" s="4">
        <v>200</v>
      </c>
      <c r="F2140" s="4" t="s">
        <v>917</v>
      </c>
      <c r="G2140" s="4"/>
      <c r="H2140" s="4"/>
      <c r="I2140" s="4"/>
      <c r="J2140" s="4"/>
    </row>
    <row r="2141" spans="1:10" ht="27.75" customHeight="1" x14ac:dyDescent="0.2">
      <c r="A2141" s="4">
        <v>2140</v>
      </c>
      <c r="B2141" s="4">
        <v>1435</v>
      </c>
      <c r="C2141" s="4" t="s">
        <v>815</v>
      </c>
      <c r="D2141" s="4" t="s">
        <v>948</v>
      </c>
      <c r="E2141" s="4">
        <v>250</v>
      </c>
      <c r="F2141" s="4" t="s">
        <v>917</v>
      </c>
      <c r="G2141" s="4"/>
      <c r="H2141" s="4"/>
      <c r="I2141" s="4"/>
      <c r="J2141" s="4"/>
    </row>
    <row r="2142" spans="1:10" ht="15" customHeight="1" x14ac:dyDescent="0.2">
      <c r="A2142" s="4">
        <v>2141</v>
      </c>
      <c r="B2142" s="4">
        <v>1436</v>
      </c>
      <c r="C2142" s="4" t="s">
        <v>816</v>
      </c>
      <c r="D2142" s="4" t="s">
        <v>946</v>
      </c>
      <c r="E2142" s="4">
        <v>100</v>
      </c>
      <c r="F2142" s="4" t="s">
        <v>917</v>
      </c>
      <c r="G2142" s="4"/>
      <c r="H2142" s="4"/>
      <c r="I2142" s="4"/>
      <c r="J2142" s="4"/>
    </row>
    <row r="2143" spans="1:10" ht="15" customHeight="1" x14ac:dyDescent="0.2">
      <c r="A2143" s="4">
        <v>2142</v>
      </c>
      <c r="B2143" s="4">
        <v>1436</v>
      </c>
      <c r="C2143" s="4" t="s">
        <v>816</v>
      </c>
      <c r="D2143" s="4" t="s">
        <v>947</v>
      </c>
      <c r="E2143" s="4">
        <v>150</v>
      </c>
      <c r="F2143" s="4" t="s">
        <v>917</v>
      </c>
      <c r="G2143" s="4"/>
      <c r="H2143" s="4"/>
      <c r="I2143" s="4"/>
      <c r="J2143" s="4"/>
    </row>
    <row r="2144" spans="1:10" ht="15" customHeight="1" x14ac:dyDescent="0.2">
      <c r="A2144" s="4">
        <v>2143</v>
      </c>
      <c r="B2144" s="4">
        <v>1436</v>
      </c>
      <c r="C2144" s="4" t="s">
        <v>816</v>
      </c>
      <c r="D2144" s="4" t="s">
        <v>919</v>
      </c>
      <c r="E2144" s="4">
        <v>200</v>
      </c>
      <c r="F2144" s="4" t="s">
        <v>917</v>
      </c>
      <c r="G2144" s="4"/>
      <c r="H2144" s="4"/>
      <c r="I2144" s="4"/>
      <c r="J2144" s="4"/>
    </row>
    <row r="2145" spans="1:10" ht="27.75" customHeight="1" x14ac:dyDescent="0.2">
      <c r="A2145" s="4">
        <v>2144</v>
      </c>
      <c r="B2145" s="4">
        <v>1436</v>
      </c>
      <c r="C2145" s="4" t="s">
        <v>816</v>
      </c>
      <c r="D2145" s="4" t="s">
        <v>948</v>
      </c>
      <c r="E2145" s="4">
        <v>250</v>
      </c>
      <c r="F2145" s="4" t="s">
        <v>917</v>
      </c>
      <c r="G2145" s="4"/>
      <c r="H2145" s="4"/>
      <c r="I2145" s="4"/>
      <c r="J2145" s="4"/>
    </row>
    <row r="2146" spans="1:10" ht="15" customHeight="1" x14ac:dyDescent="0.2">
      <c r="A2146" s="4">
        <v>2145</v>
      </c>
      <c r="B2146" s="4">
        <v>1437</v>
      </c>
      <c r="C2146" s="4" t="s">
        <v>817</v>
      </c>
      <c r="D2146" s="4" t="s">
        <v>946</v>
      </c>
      <c r="E2146" s="4">
        <v>100</v>
      </c>
      <c r="F2146" s="4" t="s">
        <v>917</v>
      </c>
      <c r="G2146" s="4"/>
      <c r="H2146" s="4"/>
      <c r="I2146" s="4"/>
      <c r="J2146" s="4"/>
    </row>
    <row r="2147" spans="1:10" ht="15" customHeight="1" x14ac:dyDescent="0.2">
      <c r="A2147" s="4">
        <v>2146</v>
      </c>
      <c r="B2147" s="4">
        <v>1437</v>
      </c>
      <c r="C2147" s="4" t="s">
        <v>817</v>
      </c>
      <c r="D2147" s="4" t="s">
        <v>947</v>
      </c>
      <c r="E2147" s="4">
        <v>150</v>
      </c>
      <c r="F2147" s="4" t="s">
        <v>917</v>
      </c>
      <c r="G2147" s="4"/>
      <c r="H2147" s="4"/>
      <c r="I2147" s="4"/>
      <c r="J2147" s="4"/>
    </row>
    <row r="2148" spans="1:10" ht="15" customHeight="1" x14ac:dyDescent="0.2">
      <c r="A2148" s="4">
        <v>2147</v>
      </c>
      <c r="B2148" s="4">
        <v>1437</v>
      </c>
      <c r="C2148" s="4" t="s">
        <v>817</v>
      </c>
      <c r="D2148" s="4" t="s">
        <v>919</v>
      </c>
      <c r="E2148" s="4">
        <v>200</v>
      </c>
      <c r="F2148" s="4" t="s">
        <v>917</v>
      </c>
      <c r="G2148" s="4"/>
      <c r="H2148" s="4"/>
      <c r="I2148" s="4"/>
      <c r="J2148" s="4"/>
    </row>
    <row r="2149" spans="1:10" ht="27.75" customHeight="1" x14ac:dyDescent="0.2">
      <c r="A2149" s="4">
        <v>2148</v>
      </c>
      <c r="B2149" s="4">
        <v>1437</v>
      </c>
      <c r="C2149" s="4" t="s">
        <v>817</v>
      </c>
      <c r="D2149" s="4" t="s">
        <v>948</v>
      </c>
      <c r="E2149" s="4">
        <v>250</v>
      </c>
      <c r="F2149" s="4" t="s">
        <v>917</v>
      </c>
      <c r="G2149" s="4"/>
      <c r="H2149" s="4"/>
      <c r="I2149" s="4"/>
      <c r="J2149" s="4"/>
    </row>
    <row r="2150" spans="1:10" ht="15" customHeight="1" x14ac:dyDescent="0.2">
      <c r="A2150" s="4">
        <v>2149</v>
      </c>
      <c r="B2150" s="4">
        <v>1438</v>
      </c>
      <c r="C2150" s="4" t="s">
        <v>818</v>
      </c>
      <c r="D2150" s="4" t="s">
        <v>946</v>
      </c>
      <c r="E2150" s="4">
        <v>100</v>
      </c>
      <c r="F2150" s="4" t="s">
        <v>917</v>
      </c>
      <c r="G2150" s="4"/>
      <c r="H2150" s="4"/>
      <c r="I2150" s="4"/>
      <c r="J2150" s="4"/>
    </row>
    <row r="2151" spans="1:10" ht="15" customHeight="1" x14ac:dyDescent="0.2">
      <c r="A2151" s="4">
        <v>2150</v>
      </c>
      <c r="B2151" s="4">
        <v>1438</v>
      </c>
      <c r="C2151" s="4" t="s">
        <v>818</v>
      </c>
      <c r="D2151" s="4" t="s">
        <v>947</v>
      </c>
      <c r="E2151" s="4">
        <v>150</v>
      </c>
      <c r="F2151" s="4" t="s">
        <v>917</v>
      </c>
      <c r="G2151" s="4"/>
      <c r="H2151" s="4"/>
      <c r="I2151" s="4"/>
      <c r="J2151" s="4"/>
    </row>
    <row r="2152" spans="1:10" ht="15" customHeight="1" x14ac:dyDescent="0.2">
      <c r="A2152" s="4">
        <v>2151</v>
      </c>
      <c r="B2152" s="4">
        <v>1438</v>
      </c>
      <c r="C2152" s="4" t="s">
        <v>818</v>
      </c>
      <c r="D2152" s="4" t="s">
        <v>919</v>
      </c>
      <c r="E2152" s="4">
        <v>200</v>
      </c>
      <c r="F2152" s="4" t="s">
        <v>917</v>
      </c>
      <c r="G2152" s="4"/>
      <c r="H2152" s="4"/>
      <c r="I2152" s="4"/>
      <c r="J2152" s="4"/>
    </row>
    <row r="2153" spans="1:10" ht="27.75" customHeight="1" x14ac:dyDescent="0.2">
      <c r="A2153" s="4">
        <v>2152</v>
      </c>
      <c r="B2153" s="4">
        <v>1438</v>
      </c>
      <c r="C2153" s="4" t="s">
        <v>818</v>
      </c>
      <c r="D2153" s="4" t="s">
        <v>948</v>
      </c>
      <c r="E2153" s="4">
        <v>250</v>
      </c>
      <c r="F2153" s="4" t="s">
        <v>917</v>
      </c>
      <c r="G2153" s="4"/>
      <c r="H2153" s="4"/>
      <c r="I2153" s="4"/>
      <c r="J2153" s="4"/>
    </row>
    <row r="2154" spans="1:10" ht="15" customHeight="1" x14ac:dyDescent="0.2">
      <c r="A2154" s="4">
        <v>2153</v>
      </c>
      <c r="B2154" s="4">
        <v>1439</v>
      </c>
      <c r="C2154" s="4" t="s">
        <v>819</v>
      </c>
      <c r="D2154" s="4" t="s">
        <v>946</v>
      </c>
      <c r="E2154" s="4">
        <v>100</v>
      </c>
      <c r="F2154" s="4" t="s">
        <v>917</v>
      </c>
      <c r="G2154" s="4"/>
      <c r="H2154" s="4"/>
      <c r="I2154" s="4"/>
      <c r="J2154" s="4"/>
    </row>
    <row r="2155" spans="1:10" ht="15" customHeight="1" x14ac:dyDescent="0.2">
      <c r="A2155" s="4">
        <v>2154</v>
      </c>
      <c r="B2155" s="4">
        <v>1439</v>
      </c>
      <c r="C2155" s="4" t="s">
        <v>819</v>
      </c>
      <c r="D2155" s="4" t="s">
        <v>947</v>
      </c>
      <c r="E2155" s="4">
        <v>150</v>
      </c>
      <c r="F2155" s="4" t="s">
        <v>917</v>
      </c>
      <c r="G2155" s="4"/>
      <c r="H2155" s="4"/>
      <c r="I2155" s="4"/>
      <c r="J2155" s="4"/>
    </row>
    <row r="2156" spans="1:10" ht="15" customHeight="1" x14ac:dyDescent="0.2">
      <c r="A2156" s="4">
        <v>2155</v>
      </c>
      <c r="B2156" s="4">
        <v>1439</v>
      </c>
      <c r="C2156" s="4" t="s">
        <v>819</v>
      </c>
      <c r="D2156" s="4" t="s">
        <v>919</v>
      </c>
      <c r="E2156" s="4">
        <v>200</v>
      </c>
      <c r="F2156" s="4" t="s">
        <v>917</v>
      </c>
      <c r="G2156" s="4"/>
      <c r="H2156" s="4"/>
      <c r="I2156" s="4"/>
      <c r="J2156" s="4"/>
    </row>
    <row r="2157" spans="1:10" ht="27.75" customHeight="1" x14ac:dyDescent="0.2">
      <c r="A2157" s="4">
        <v>2156</v>
      </c>
      <c r="B2157" s="4">
        <v>1439</v>
      </c>
      <c r="C2157" s="4" t="s">
        <v>819</v>
      </c>
      <c r="D2157" s="4" t="s">
        <v>948</v>
      </c>
      <c r="E2157" s="4">
        <v>250</v>
      </c>
      <c r="F2157" s="4" t="s">
        <v>917</v>
      </c>
      <c r="G2157" s="4"/>
      <c r="H2157" s="4"/>
      <c r="I2157" s="4"/>
      <c r="J2157" s="4"/>
    </row>
    <row r="2158" spans="1:10" ht="15" customHeight="1" x14ac:dyDescent="0.2">
      <c r="A2158" s="4">
        <v>2157</v>
      </c>
      <c r="B2158" s="4">
        <v>1440</v>
      </c>
      <c r="C2158" s="4" t="s">
        <v>820</v>
      </c>
      <c r="D2158" s="4" t="s">
        <v>946</v>
      </c>
      <c r="E2158" s="4">
        <v>100</v>
      </c>
      <c r="F2158" s="4" t="s">
        <v>917</v>
      </c>
      <c r="G2158" s="4"/>
      <c r="H2158" s="4"/>
      <c r="I2158" s="4"/>
      <c r="J2158" s="4"/>
    </row>
    <row r="2159" spans="1:10" ht="15" customHeight="1" x14ac:dyDescent="0.2">
      <c r="A2159" s="4">
        <v>2158</v>
      </c>
      <c r="B2159" s="4">
        <v>1440</v>
      </c>
      <c r="C2159" s="4" t="s">
        <v>820</v>
      </c>
      <c r="D2159" s="4" t="s">
        <v>947</v>
      </c>
      <c r="E2159" s="4">
        <v>150</v>
      </c>
      <c r="F2159" s="4" t="s">
        <v>917</v>
      </c>
      <c r="G2159" s="4"/>
      <c r="H2159" s="4"/>
      <c r="I2159" s="4"/>
      <c r="J2159" s="4"/>
    </row>
    <row r="2160" spans="1:10" ht="15" customHeight="1" x14ac:dyDescent="0.2">
      <c r="A2160" s="4">
        <v>2159</v>
      </c>
      <c r="B2160" s="4">
        <v>1440</v>
      </c>
      <c r="C2160" s="4" t="s">
        <v>820</v>
      </c>
      <c r="D2160" s="4" t="s">
        <v>919</v>
      </c>
      <c r="E2160" s="4">
        <v>200</v>
      </c>
      <c r="F2160" s="4" t="s">
        <v>917</v>
      </c>
      <c r="G2160" s="4"/>
      <c r="H2160" s="4"/>
      <c r="I2160" s="4"/>
      <c r="J2160" s="4"/>
    </row>
    <row r="2161" spans="1:10" ht="27.75" customHeight="1" x14ac:dyDescent="0.2">
      <c r="A2161" s="4">
        <v>2160</v>
      </c>
      <c r="B2161" s="4">
        <v>1440</v>
      </c>
      <c r="C2161" s="4" t="s">
        <v>820</v>
      </c>
      <c r="D2161" s="4" t="s">
        <v>948</v>
      </c>
      <c r="E2161" s="4">
        <v>250</v>
      </c>
      <c r="F2161" s="4" t="s">
        <v>917</v>
      </c>
      <c r="G2161" s="4"/>
      <c r="H2161" s="4"/>
      <c r="I2161" s="4"/>
      <c r="J2161" s="4"/>
    </row>
    <row r="2162" spans="1:10" ht="15" customHeight="1" x14ac:dyDescent="0.2">
      <c r="A2162" s="4">
        <v>2161</v>
      </c>
      <c r="B2162" s="4">
        <v>1441</v>
      </c>
      <c r="C2162" s="4" t="s">
        <v>821</v>
      </c>
      <c r="D2162" s="4" t="s">
        <v>946</v>
      </c>
      <c r="E2162" s="4">
        <v>100</v>
      </c>
      <c r="F2162" s="4" t="s">
        <v>917</v>
      </c>
      <c r="G2162" s="4"/>
      <c r="H2162" s="4"/>
      <c r="I2162" s="4"/>
      <c r="J2162" s="4"/>
    </row>
    <row r="2163" spans="1:10" ht="15" customHeight="1" x14ac:dyDescent="0.2">
      <c r="A2163" s="4">
        <v>2162</v>
      </c>
      <c r="B2163" s="4">
        <v>1441</v>
      </c>
      <c r="C2163" s="4" t="s">
        <v>821</v>
      </c>
      <c r="D2163" s="4" t="s">
        <v>947</v>
      </c>
      <c r="E2163" s="4">
        <v>150</v>
      </c>
      <c r="F2163" s="4" t="s">
        <v>917</v>
      </c>
      <c r="G2163" s="4"/>
      <c r="H2163" s="4"/>
      <c r="I2163" s="4"/>
      <c r="J2163" s="4"/>
    </row>
    <row r="2164" spans="1:10" ht="15" customHeight="1" x14ac:dyDescent="0.2">
      <c r="A2164" s="4">
        <v>2163</v>
      </c>
      <c r="B2164" s="4">
        <v>1441</v>
      </c>
      <c r="C2164" s="4" t="s">
        <v>821</v>
      </c>
      <c r="D2164" s="4" t="s">
        <v>919</v>
      </c>
      <c r="E2164" s="4">
        <v>200</v>
      </c>
      <c r="F2164" s="4" t="s">
        <v>917</v>
      </c>
      <c r="G2164" s="4"/>
      <c r="H2164" s="4"/>
      <c r="I2164" s="4"/>
      <c r="J2164" s="4"/>
    </row>
    <row r="2165" spans="1:10" ht="27.75" customHeight="1" x14ac:dyDescent="0.2">
      <c r="A2165" s="4">
        <v>2164</v>
      </c>
      <c r="B2165" s="4">
        <v>1441</v>
      </c>
      <c r="C2165" s="4" t="s">
        <v>821</v>
      </c>
      <c r="D2165" s="4" t="s">
        <v>948</v>
      </c>
      <c r="E2165" s="4">
        <v>250</v>
      </c>
      <c r="F2165" s="4" t="s">
        <v>917</v>
      </c>
      <c r="G2165" s="4"/>
      <c r="H2165" s="4"/>
      <c r="I2165" s="4"/>
      <c r="J2165" s="4"/>
    </row>
    <row r="2166" spans="1:10" ht="15" customHeight="1" x14ac:dyDescent="0.2">
      <c r="A2166" s="4">
        <v>2165</v>
      </c>
      <c r="B2166" s="4">
        <v>1442</v>
      </c>
      <c r="C2166" s="4" t="s">
        <v>822</v>
      </c>
      <c r="D2166" s="4" t="s">
        <v>946</v>
      </c>
      <c r="E2166" s="4">
        <v>100</v>
      </c>
      <c r="F2166" s="4" t="s">
        <v>917</v>
      </c>
      <c r="G2166" s="4"/>
      <c r="H2166" s="4"/>
      <c r="I2166" s="4"/>
      <c r="J2166" s="4"/>
    </row>
    <row r="2167" spans="1:10" ht="15" customHeight="1" x14ac:dyDescent="0.2">
      <c r="A2167" s="4">
        <v>2166</v>
      </c>
      <c r="B2167" s="4">
        <v>1442</v>
      </c>
      <c r="C2167" s="4" t="s">
        <v>822</v>
      </c>
      <c r="D2167" s="4" t="s">
        <v>947</v>
      </c>
      <c r="E2167" s="4">
        <v>150</v>
      </c>
      <c r="F2167" s="4" t="s">
        <v>917</v>
      </c>
      <c r="G2167" s="4"/>
      <c r="H2167" s="4"/>
      <c r="I2167" s="4"/>
      <c r="J2167" s="4"/>
    </row>
    <row r="2168" spans="1:10" ht="15" customHeight="1" x14ac:dyDescent="0.2">
      <c r="A2168" s="4">
        <v>2167</v>
      </c>
      <c r="B2168" s="4">
        <v>1442</v>
      </c>
      <c r="C2168" s="4" t="s">
        <v>822</v>
      </c>
      <c r="D2168" s="4" t="s">
        <v>919</v>
      </c>
      <c r="E2168" s="4">
        <v>200</v>
      </c>
      <c r="F2168" s="4" t="s">
        <v>917</v>
      </c>
      <c r="G2168" s="4"/>
      <c r="H2168" s="4"/>
      <c r="I2168" s="4"/>
      <c r="J2168" s="4"/>
    </row>
    <row r="2169" spans="1:10" ht="27.75" customHeight="1" x14ac:dyDescent="0.2">
      <c r="A2169" s="4">
        <v>2168</v>
      </c>
      <c r="B2169" s="4">
        <v>1442</v>
      </c>
      <c r="C2169" s="4" t="s">
        <v>822</v>
      </c>
      <c r="D2169" s="4" t="s">
        <v>948</v>
      </c>
      <c r="E2169" s="4">
        <v>250</v>
      </c>
      <c r="F2169" s="4" t="s">
        <v>917</v>
      </c>
      <c r="G2169" s="4"/>
      <c r="H2169" s="4"/>
      <c r="I2169" s="4"/>
      <c r="J2169" s="4"/>
    </row>
    <row r="2170" spans="1:10" ht="15" customHeight="1" x14ac:dyDescent="0.2">
      <c r="A2170" s="4">
        <v>2169</v>
      </c>
      <c r="B2170" s="4">
        <v>1443</v>
      </c>
      <c r="C2170" s="4" t="s">
        <v>823</v>
      </c>
      <c r="D2170" s="4" t="s">
        <v>946</v>
      </c>
      <c r="E2170" s="4">
        <v>100</v>
      </c>
      <c r="F2170" s="4" t="s">
        <v>917</v>
      </c>
      <c r="G2170" s="4"/>
      <c r="H2170" s="4"/>
      <c r="I2170" s="4"/>
      <c r="J2170" s="4"/>
    </row>
    <row r="2171" spans="1:10" ht="15" customHeight="1" x14ac:dyDescent="0.2">
      <c r="A2171" s="4">
        <v>2170</v>
      </c>
      <c r="B2171" s="4">
        <v>1443</v>
      </c>
      <c r="C2171" s="4" t="s">
        <v>823</v>
      </c>
      <c r="D2171" s="4" t="s">
        <v>947</v>
      </c>
      <c r="E2171" s="4">
        <v>150</v>
      </c>
      <c r="F2171" s="4" t="s">
        <v>917</v>
      </c>
      <c r="G2171" s="4"/>
      <c r="H2171" s="4"/>
      <c r="I2171" s="4"/>
      <c r="J2171" s="4"/>
    </row>
    <row r="2172" spans="1:10" ht="15" customHeight="1" x14ac:dyDescent="0.2">
      <c r="A2172" s="4">
        <v>2171</v>
      </c>
      <c r="B2172" s="4">
        <v>1443</v>
      </c>
      <c r="C2172" s="4" t="s">
        <v>823</v>
      </c>
      <c r="D2172" s="4" t="s">
        <v>919</v>
      </c>
      <c r="E2172" s="4">
        <v>200</v>
      </c>
      <c r="F2172" s="4" t="s">
        <v>917</v>
      </c>
      <c r="G2172" s="4"/>
      <c r="H2172" s="4"/>
      <c r="I2172" s="4"/>
      <c r="J2172" s="4"/>
    </row>
    <row r="2173" spans="1:10" ht="27.75" customHeight="1" x14ac:dyDescent="0.2">
      <c r="A2173" s="4">
        <v>2172</v>
      </c>
      <c r="B2173" s="4">
        <v>1443</v>
      </c>
      <c r="C2173" s="4" t="s">
        <v>823</v>
      </c>
      <c r="D2173" s="4" t="s">
        <v>948</v>
      </c>
      <c r="E2173" s="4">
        <v>250</v>
      </c>
      <c r="F2173" s="4" t="s">
        <v>917</v>
      </c>
      <c r="G2173" s="4"/>
      <c r="H2173" s="4"/>
      <c r="I2173" s="4"/>
      <c r="J2173" s="4"/>
    </row>
    <row r="2174" spans="1:10" ht="15" customHeight="1" x14ac:dyDescent="0.2">
      <c r="A2174" s="4">
        <v>2173</v>
      </c>
      <c r="B2174" s="4">
        <v>1444</v>
      </c>
      <c r="C2174" s="4" t="s">
        <v>824</v>
      </c>
      <c r="D2174" s="4" t="s">
        <v>946</v>
      </c>
      <c r="E2174" s="4">
        <v>100</v>
      </c>
      <c r="F2174" s="4" t="s">
        <v>917</v>
      </c>
      <c r="G2174" s="4"/>
      <c r="H2174" s="4"/>
      <c r="I2174" s="4"/>
      <c r="J2174" s="4"/>
    </row>
    <row r="2175" spans="1:10" ht="15" customHeight="1" x14ac:dyDescent="0.2">
      <c r="A2175" s="4">
        <v>2174</v>
      </c>
      <c r="B2175" s="4">
        <v>1444</v>
      </c>
      <c r="C2175" s="4" t="s">
        <v>824</v>
      </c>
      <c r="D2175" s="4" t="s">
        <v>947</v>
      </c>
      <c r="E2175" s="4">
        <v>150</v>
      </c>
      <c r="F2175" s="4" t="s">
        <v>917</v>
      </c>
      <c r="G2175" s="4"/>
      <c r="H2175" s="4"/>
      <c r="I2175" s="4"/>
      <c r="J2175" s="4"/>
    </row>
    <row r="2176" spans="1:10" ht="15" customHeight="1" x14ac:dyDescent="0.2">
      <c r="A2176" s="4">
        <v>2175</v>
      </c>
      <c r="B2176" s="4">
        <v>1444</v>
      </c>
      <c r="C2176" s="4" t="s">
        <v>824</v>
      </c>
      <c r="D2176" s="4" t="s">
        <v>919</v>
      </c>
      <c r="E2176" s="4">
        <v>200</v>
      </c>
      <c r="F2176" s="4" t="s">
        <v>917</v>
      </c>
      <c r="G2176" s="4"/>
      <c r="H2176" s="4"/>
      <c r="I2176" s="4"/>
      <c r="J2176" s="4"/>
    </row>
    <row r="2177" spans="1:10" ht="27.75" customHeight="1" x14ac:dyDescent="0.2">
      <c r="A2177" s="4">
        <v>2176</v>
      </c>
      <c r="B2177" s="4">
        <v>1444</v>
      </c>
      <c r="C2177" s="4" t="s">
        <v>824</v>
      </c>
      <c r="D2177" s="4" t="s">
        <v>948</v>
      </c>
      <c r="E2177" s="4">
        <v>250</v>
      </c>
      <c r="F2177" s="4" t="s">
        <v>917</v>
      </c>
      <c r="G2177" s="4"/>
      <c r="H2177" s="4"/>
      <c r="I2177" s="4"/>
      <c r="J2177" s="4"/>
    </row>
    <row r="2178" spans="1:10" ht="15" customHeight="1" x14ac:dyDescent="0.2">
      <c r="A2178" s="4">
        <v>2177</v>
      </c>
      <c r="B2178" s="4">
        <v>1445</v>
      </c>
      <c r="C2178" s="4" t="s">
        <v>825</v>
      </c>
      <c r="D2178" s="4" t="s">
        <v>946</v>
      </c>
      <c r="E2178" s="4">
        <v>100</v>
      </c>
      <c r="F2178" s="4" t="s">
        <v>917</v>
      </c>
      <c r="G2178" s="4"/>
      <c r="H2178" s="4"/>
      <c r="I2178" s="4"/>
      <c r="J2178" s="4"/>
    </row>
    <row r="2179" spans="1:10" ht="15" customHeight="1" x14ac:dyDescent="0.2">
      <c r="A2179" s="4">
        <v>2178</v>
      </c>
      <c r="B2179" s="4">
        <v>1445</v>
      </c>
      <c r="C2179" s="4" t="s">
        <v>825</v>
      </c>
      <c r="D2179" s="4" t="s">
        <v>947</v>
      </c>
      <c r="E2179" s="4">
        <v>150</v>
      </c>
      <c r="F2179" s="4" t="s">
        <v>917</v>
      </c>
      <c r="G2179" s="4"/>
      <c r="H2179" s="4"/>
      <c r="I2179" s="4"/>
      <c r="J2179" s="4"/>
    </row>
    <row r="2180" spans="1:10" ht="15" customHeight="1" x14ac:dyDescent="0.2">
      <c r="A2180" s="4">
        <v>2179</v>
      </c>
      <c r="B2180" s="4">
        <v>1445</v>
      </c>
      <c r="C2180" s="4" t="s">
        <v>825</v>
      </c>
      <c r="D2180" s="4" t="s">
        <v>919</v>
      </c>
      <c r="E2180" s="4">
        <v>200</v>
      </c>
      <c r="F2180" s="4" t="s">
        <v>917</v>
      </c>
      <c r="G2180" s="4"/>
      <c r="H2180" s="4"/>
      <c r="I2180" s="4"/>
      <c r="J2180" s="4"/>
    </row>
    <row r="2181" spans="1:10" ht="27.75" customHeight="1" x14ac:dyDescent="0.2">
      <c r="A2181" s="4">
        <v>2180</v>
      </c>
      <c r="B2181" s="4">
        <v>1445</v>
      </c>
      <c r="C2181" s="4" t="s">
        <v>825</v>
      </c>
      <c r="D2181" s="4" t="s">
        <v>948</v>
      </c>
      <c r="E2181" s="4">
        <v>250</v>
      </c>
      <c r="F2181" s="4" t="s">
        <v>917</v>
      </c>
      <c r="G2181" s="4"/>
      <c r="H2181" s="4"/>
      <c r="I2181" s="4"/>
      <c r="J2181" s="4"/>
    </row>
    <row r="2182" spans="1:10" ht="15" customHeight="1" x14ac:dyDescent="0.2">
      <c r="A2182" s="4">
        <v>2181</v>
      </c>
      <c r="B2182" s="4">
        <v>1446</v>
      </c>
      <c r="C2182" s="4" t="s">
        <v>826</v>
      </c>
      <c r="D2182" s="4" t="s">
        <v>946</v>
      </c>
      <c r="E2182" s="4">
        <v>100</v>
      </c>
      <c r="F2182" s="4" t="s">
        <v>917</v>
      </c>
      <c r="G2182" s="4"/>
      <c r="H2182" s="4"/>
      <c r="I2182" s="4"/>
      <c r="J2182" s="4"/>
    </row>
    <row r="2183" spans="1:10" ht="15" customHeight="1" x14ac:dyDescent="0.2">
      <c r="A2183" s="4">
        <v>2182</v>
      </c>
      <c r="B2183" s="4">
        <v>1446</v>
      </c>
      <c r="C2183" s="4" t="s">
        <v>826</v>
      </c>
      <c r="D2183" s="4" t="s">
        <v>947</v>
      </c>
      <c r="E2183" s="4">
        <v>150</v>
      </c>
      <c r="F2183" s="4" t="s">
        <v>917</v>
      </c>
      <c r="G2183" s="4"/>
      <c r="H2183" s="4"/>
      <c r="I2183" s="4"/>
      <c r="J2183" s="4"/>
    </row>
    <row r="2184" spans="1:10" ht="15" customHeight="1" x14ac:dyDescent="0.2">
      <c r="A2184" s="4">
        <v>2183</v>
      </c>
      <c r="B2184" s="4">
        <v>1446</v>
      </c>
      <c r="C2184" s="4" t="s">
        <v>826</v>
      </c>
      <c r="D2184" s="4" t="s">
        <v>919</v>
      </c>
      <c r="E2184" s="4">
        <v>200</v>
      </c>
      <c r="F2184" s="4" t="s">
        <v>917</v>
      </c>
      <c r="G2184" s="4"/>
      <c r="H2184" s="4"/>
      <c r="I2184" s="4"/>
      <c r="J2184" s="4"/>
    </row>
    <row r="2185" spans="1:10" ht="27.75" customHeight="1" x14ac:dyDescent="0.2">
      <c r="A2185" s="4">
        <v>2184</v>
      </c>
      <c r="B2185" s="4">
        <v>1446</v>
      </c>
      <c r="C2185" s="4" t="s">
        <v>826</v>
      </c>
      <c r="D2185" s="4" t="s">
        <v>948</v>
      </c>
      <c r="E2185" s="4">
        <v>250</v>
      </c>
      <c r="F2185" s="4" t="s">
        <v>917</v>
      </c>
      <c r="G2185" s="4"/>
      <c r="H2185" s="4"/>
      <c r="I2185" s="4"/>
      <c r="J2185" s="4"/>
    </row>
    <row r="2186" spans="1:10" ht="15" customHeight="1" x14ac:dyDescent="0.2">
      <c r="A2186" s="4">
        <v>2185</v>
      </c>
      <c r="B2186" s="4">
        <v>1447</v>
      </c>
      <c r="C2186" s="4" t="s">
        <v>827</v>
      </c>
      <c r="D2186" s="4" t="s">
        <v>946</v>
      </c>
      <c r="E2186" s="4">
        <v>100</v>
      </c>
      <c r="F2186" s="4" t="s">
        <v>917</v>
      </c>
      <c r="G2186" s="4"/>
      <c r="H2186" s="4"/>
      <c r="I2186" s="4"/>
      <c r="J2186" s="4"/>
    </row>
    <row r="2187" spans="1:10" ht="15" customHeight="1" x14ac:dyDescent="0.2">
      <c r="A2187" s="4">
        <v>2186</v>
      </c>
      <c r="B2187" s="4">
        <v>1447</v>
      </c>
      <c r="C2187" s="4" t="s">
        <v>827</v>
      </c>
      <c r="D2187" s="4" t="s">
        <v>947</v>
      </c>
      <c r="E2187" s="4">
        <v>150</v>
      </c>
      <c r="F2187" s="4" t="s">
        <v>917</v>
      </c>
      <c r="G2187" s="4"/>
      <c r="H2187" s="4"/>
      <c r="I2187" s="4"/>
      <c r="J2187" s="4"/>
    </row>
    <row r="2188" spans="1:10" ht="15" customHeight="1" x14ac:dyDescent="0.2">
      <c r="A2188" s="4">
        <v>2187</v>
      </c>
      <c r="B2188" s="4">
        <v>1447</v>
      </c>
      <c r="C2188" s="4" t="s">
        <v>827</v>
      </c>
      <c r="D2188" s="4" t="s">
        <v>919</v>
      </c>
      <c r="E2188" s="4">
        <v>200</v>
      </c>
      <c r="F2188" s="4" t="s">
        <v>917</v>
      </c>
      <c r="G2188" s="4"/>
      <c r="H2188" s="4"/>
      <c r="I2188" s="4"/>
      <c r="J2188" s="4"/>
    </row>
    <row r="2189" spans="1:10" ht="27.75" customHeight="1" x14ac:dyDescent="0.2">
      <c r="A2189" s="4">
        <v>2188</v>
      </c>
      <c r="B2189" s="4">
        <v>1447</v>
      </c>
      <c r="C2189" s="4" t="s">
        <v>827</v>
      </c>
      <c r="D2189" s="4" t="s">
        <v>948</v>
      </c>
      <c r="E2189" s="4">
        <v>250</v>
      </c>
      <c r="F2189" s="4" t="s">
        <v>917</v>
      </c>
      <c r="G2189" s="4"/>
      <c r="H2189" s="4"/>
      <c r="I2189" s="4"/>
      <c r="J2189" s="4"/>
    </row>
    <row r="2190" spans="1:10" ht="15" customHeight="1" x14ac:dyDescent="0.2">
      <c r="A2190" s="4">
        <v>2189</v>
      </c>
      <c r="B2190" s="4">
        <v>1448</v>
      </c>
      <c r="C2190" s="4" t="s">
        <v>828</v>
      </c>
      <c r="D2190" s="4" t="s">
        <v>946</v>
      </c>
      <c r="E2190" s="4">
        <v>100</v>
      </c>
      <c r="F2190" s="4" t="s">
        <v>917</v>
      </c>
      <c r="G2190" s="4"/>
      <c r="H2190" s="4"/>
      <c r="I2190" s="4"/>
      <c r="J2190" s="4"/>
    </row>
    <row r="2191" spans="1:10" ht="15" customHeight="1" x14ac:dyDescent="0.2">
      <c r="A2191" s="4">
        <v>2190</v>
      </c>
      <c r="B2191" s="4">
        <v>1448</v>
      </c>
      <c r="C2191" s="4" t="s">
        <v>828</v>
      </c>
      <c r="D2191" s="4" t="s">
        <v>947</v>
      </c>
      <c r="E2191" s="4">
        <v>150</v>
      </c>
      <c r="F2191" s="4" t="s">
        <v>917</v>
      </c>
      <c r="G2191" s="4"/>
      <c r="H2191" s="4"/>
      <c r="I2191" s="4"/>
      <c r="J2191" s="4"/>
    </row>
    <row r="2192" spans="1:10" ht="15" customHeight="1" x14ac:dyDescent="0.2">
      <c r="A2192" s="4">
        <v>2191</v>
      </c>
      <c r="B2192" s="4">
        <v>1448</v>
      </c>
      <c r="C2192" s="4" t="s">
        <v>828</v>
      </c>
      <c r="D2192" s="4" t="s">
        <v>919</v>
      </c>
      <c r="E2192" s="4">
        <v>200</v>
      </c>
      <c r="F2192" s="4" t="s">
        <v>917</v>
      </c>
      <c r="G2192" s="4"/>
      <c r="H2192" s="4"/>
      <c r="I2192" s="4"/>
      <c r="J2192" s="4"/>
    </row>
    <row r="2193" spans="1:10" ht="27.75" customHeight="1" x14ac:dyDescent="0.2">
      <c r="A2193" s="4">
        <v>2192</v>
      </c>
      <c r="B2193" s="4">
        <v>1448</v>
      </c>
      <c r="C2193" s="4" t="s">
        <v>828</v>
      </c>
      <c r="D2193" s="4" t="s">
        <v>948</v>
      </c>
      <c r="E2193" s="4">
        <v>250</v>
      </c>
      <c r="F2193" s="4" t="s">
        <v>917</v>
      </c>
      <c r="G2193" s="4"/>
      <c r="H2193" s="4"/>
      <c r="I2193" s="4"/>
      <c r="J2193" s="4"/>
    </row>
    <row r="2194" spans="1:10" ht="15" customHeight="1" x14ac:dyDescent="0.2">
      <c r="A2194" s="4">
        <v>2193</v>
      </c>
      <c r="B2194" s="4">
        <v>1449</v>
      </c>
      <c r="C2194" s="4" t="s">
        <v>829</v>
      </c>
      <c r="D2194" s="4" t="s">
        <v>946</v>
      </c>
      <c r="E2194" s="4">
        <v>100</v>
      </c>
      <c r="F2194" s="4" t="s">
        <v>917</v>
      </c>
      <c r="G2194" s="4"/>
      <c r="H2194" s="4"/>
      <c r="I2194" s="4"/>
      <c r="J2194" s="4"/>
    </row>
    <row r="2195" spans="1:10" ht="15" customHeight="1" x14ac:dyDescent="0.2">
      <c r="A2195" s="4">
        <v>2194</v>
      </c>
      <c r="B2195" s="4">
        <v>1449</v>
      </c>
      <c r="C2195" s="4" t="s">
        <v>829</v>
      </c>
      <c r="D2195" s="4" t="s">
        <v>947</v>
      </c>
      <c r="E2195" s="4">
        <v>150</v>
      </c>
      <c r="F2195" s="4" t="s">
        <v>917</v>
      </c>
      <c r="G2195" s="4"/>
      <c r="H2195" s="4"/>
      <c r="I2195" s="4"/>
      <c r="J2195" s="4"/>
    </row>
    <row r="2196" spans="1:10" ht="15" customHeight="1" x14ac:dyDescent="0.2">
      <c r="A2196" s="4">
        <v>2195</v>
      </c>
      <c r="B2196" s="4">
        <v>1449</v>
      </c>
      <c r="C2196" s="4" t="s">
        <v>829</v>
      </c>
      <c r="D2196" s="4" t="s">
        <v>919</v>
      </c>
      <c r="E2196" s="4">
        <v>200</v>
      </c>
      <c r="F2196" s="4" t="s">
        <v>917</v>
      </c>
      <c r="G2196" s="4"/>
      <c r="H2196" s="4"/>
      <c r="I2196" s="4"/>
      <c r="J2196" s="4"/>
    </row>
    <row r="2197" spans="1:10" ht="27.75" customHeight="1" x14ac:dyDescent="0.2">
      <c r="A2197" s="4">
        <v>2196</v>
      </c>
      <c r="B2197" s="4">
        <v>1449</v>
      </c>
      <c r="C2197" s="4" t="s">
        <v>829</v>
      </c>
      <c r="D2197" s="4" t="s">
        <v>948</v>
      </c>
      <c r="E2197" s="4">
        <v>250</v>
      </c>
      <c r="F2197" s="4" t="s">
        <v>917</v>
      </c>
      <c r="G2197" s="4"/>
      <c r="H2197" s="4"/>
      <c r="I2197" s="4"/>
      <c r="J2197" s="4"/>
    </row>
    <row r="2198" spans="1:10" ht="15" customHeight="1" x14ac:dyDescent="0.2">
      <c r="A2198" s="4">
        <v>2197</v>
      </c>
      <c r="B2198" s="4">
        <v>1450</v>
      </c>
      <c r="C2198" s="4" t="s">
        <v>830</v>
      </c>
      <c r="D2198" s="4" t="s">
        <v>946</v>
      </c>
      <c r="E2198" s="4">
        <v>100</v>
      </c>
      <c r="F2198" s="4" t="s">
        <v>917</v>
      </c>
      <c r="G2198" s="4"/>
      <c r="H2198" s="4"/>
      <c r="I2198" s="4"/>
      <c r="J2198" s="4"/>
    </row>
    <row r="2199" spans="1:10" ht="15" customHeight="1" x14ac:dyDescent="0.2">
      <c r="A2199" s="4">
        <v>2198</v>
      </c>
      <c r="B2199" s="4">
        <v>1450</v>
      </c>
      <c r="C2199" s="4" t="s">
        <v>830</v>
      </c>
      <c r="D2199" s="4" t="s">
        <v>947</v>
      </c>
      <c r="E2199" s="4">
        <v>150</v>
      </c>
      <c r="F2199" s="4" t="s">
        <v>917</v>
      </c>
      <c r="G2199" s="4"/>
      <c r="H2199" s="4"/>
      <c r="I2199" s="4"/>
      <c r="J2199" s="4"/>
    </row>
    <row r="2200" spans="1:10" ht="15" customHeight="1" x14ac:dyDescent="0.2">
      <c r="A2200" s="4">
        <v>2199</v>
      </c>
      <c r="B2200" s="4">
        <v>1450</v>
      </c>
      <c r="C2200" s="4" t="s">
        <v>830</v>
      </c>
      <c r="D2200" s="4" t="s">
        <v>919</v>
      </c>
      <c r="E2200" s="4">
        <v>200</v>
      </c>
      <c r="F2200" s="4" t="s">
        <v>917</v>
      </c>
      <c r="G2200" s="4"/>
      <c r="H2200" s="4"/>
      <c r="I2200" s="4"/>
      <c r="J2200" s="4"/>
    </row>
    <row r="2201" spans="1:10" ht="27.75" customHeight="1" x14ac:dyDescent="0.2">
      <c r="A2201" s="4">
        <v>2200</v>
      </c>
      <c r="B2201" s="4">
        <v>1450</v>
      </c>
      <c r="C2201" s="4" t="s">
        <v>830</v>
      </c>
      <c r="D2201" s="4" t="s">
        <v>948</v>
      </c>
      <c r="E2201" s="4">
        <v>250</v>
      </c>
      <c r="F2201" s="4" t="s">
        <v>917</v>
      </c>
      <c r="G2201" s="4"/>
      <c r="H2201" s="4"/>
      <c r="I2201" s="4"/>
      <c r="J2201" s="4"/>
    </row>
    <row r="2202" spans="1:10" ht="15" customHeight="1" x14ac:dyDescent="0.2">
      <c r="A2202" s="4">
        <v>2201</v>
      </c>
      <c r="B2202" s="4">
        <v>1451</v>
      </c>
      <c r="C2202" s="4" t="s">
        <v>831</v>
      </c>
      <c r="D2202" s="4" t="s">
        <v>946</v>
      </c>
      <c r="E2202" s="4">
        <v>100</v>
      </c>
      <c r="F2202" s="4" t="s">
        <v>917</v>
      </c>
      <c r="G2202" s="4"/>
      <c r="H2202" s="4"/>
      <c r="I2202" s="4"/>
      <c r="J2202" s="4"/>
    </row>
    <row r="2203" spans="1:10" ht="15" customHeight="1" x14ac:dyDescent="0.2">
      <c r="A2203" s="4">
        <v>2202</v>
      </c>
      <c r="B2203" s="4">
        <v>1451</v>
      </c>
      <c r="C2203" s="4" t="s">
        <v>831</v>
      </c>
      <c r="D2203" s="4" t="s">
        <v>947</v>
      </c>
      <c r="E2203" s="4">
        <v>150</v>
      </c>
      <c r="F2203" s="4" t="s">
        <v>917</v>
      </c>
      <c r="G2203" s="4"/>
      <c r="H2203" s="4"/>
      <c r="I2203" s="4"/>
      <c r="J2203" s="4"/>
    </row>
    <row r="2204" spans="1:10" ht="15" customHeight="1" x14ac:dyDescent="0.2">
      <c r="A2204" s="4">
        <v>2203</v>
      </c>
      <c r="B2204" s="4">
        <v>1451</v>
      </c>
      <c r="C2204" s="4" t="s">
        <v>831</v>
      </c>
      <c r="D2204" s="4" t="s">
        <v>919</v>
      </c>
      <c r="E2204" s="4">
        <v>200</v>
      </c>
      <c r="F2204" s="4" t="s">
        <v>917</v>
      </c>
      <c r="G2204" s="4"/>
      <c r="H2204" s="4"/>
      <c r="I2204" s="4"/>
      <c r="J2204" s="4"/>
    </row>
    <row r="2205" spans="1:10" ht="27.75" customHeight="1" x14ac:dyDescent="0.2">
      <c r="A2205" s="4">
        <v>2204</v>
      </c>
      <c r="B2205" s="4">
        <v>1451</v>
      </c>
      <c r="C2205" s="4" t="s">
        <v>831</v>
      </c>
      <c r="D2205" s="4" t="s">
        <v>948</v>
      </c>
      <c r="E2205" s="4">
        <v>250</v>
      </c>
      <c r="F2205" s="4" t="s">
        <v>917</v>
      </c>
      <c r="G2205" s="4"/>
      <c r="H2205" s="4"/>
      <c r="I2205" s="4"/>
      <c r="J2205" s="4"/>
    </row>
    <row r="2206" spans="1:10" ht="15" customHeight="1" x14ac:dyDescent="0.2">
      <c r="A2206" s="4">
        <v>2205</v>
      </c>
      <c r="B2206" s="4">
        <v>1452</v>
      </c>
      <c r="C2206" s="4" t="s">
        <v>832</v>
      </c>
      <c r="D2206" s="4" t="s">
        <v>946</v>
      </c>
      <c r="E2206" s="4">
        <v>100</v>
      </c>
      <c r="F2206" s="4" t="s">
        <v>917</v>
      </c>
      <c r="G2206" s="4"/>
      <c r="H2206" s="4"/>
      <c r="I2206" s="4"/>
      <c r="J2206" s="4"/>
    </row>
    <row r="2207" spans="1:10" ht="15" customHeight="1" x14ac:dyDescent="0.2">
      <c r="A2207" s="4">
        <v>2206</v>
      </c>
      <c r="B2207" s="4">
        <v>1452</v>
      </c>
      <c r="C2207" s="4" t="s">
        <v>832</v>
      </c>
      <c r="D2207" s="4" t="s">
        <v>947</v>
      </c>
      <c r="E2207" s="4">
        <v>150</v>
      </c>
      <c r="F2207" s="4" t="s">
        <v>917</v>
      </c>
      <c r="G2207" s="4"/>
      <c r="H2207" s="4"/>
      <c r="I2207" s="4"/>
      <c r="J2207" s="4"/>
    </row>
    <row r="2208" spans="1:10" ht="15" customHeight="1" x14ac:dyDescent="0.2">
      <c r="A2208" s="4">
        <v>2207</v>
      </c>
      <c r="B2208" s="4">
        <v>1452</v>
      </c>
      <c r="C2208" s="4" t="s">
        <v>832</v>
      </c>
      <c r="D2208" s="4" t="s">
        <v>919</v>
      </c>
      <c r="E2208" s="4">
        <v>200</v>
      </c>
      <c r="F2208" s="4" t="s">
        <v>917</v>
      </c>
      <c r="G2208" s="4"/>
      <c r="H2208" s="4"/>
      <c r="I2208" s="4"/>
      <c r="J2208" s="4"/>
    </row>
    <row r="2209" spans="1:10" ht="27.75" customHeight="1" x14ac:dyDescent="0.2">
      <c r="A2209" s="4">
        <v>2208</v>
      </c>
      <c r="B2209" s="4">
        <v>1452</v>
      </c>
      <c r="C2209" s="4" t="s">
        <v>832</v>
      </c>
      <c r="D2209" s="4" t="s">
        <v>948</v>
      </c>
      <c r="E2209" s="4">
        <v>250</v>
      </c>
      <c r="F2209" s="4" t="s">
        <v>917</v>
      </c>
      <c r="G2209" s="4"/>
      <c r="H2209" s="4"/>
      <c r="I2209" s="4"/>
      <c r="J2209" s="4"/>
    </row>
    <row r="2210" spans="1:10" ht="15" customHeight="1" x14ac:dyDescent="0.2">
      <c r="A2210" s="4">
        <v>2209</v>
      </c>
      <c r="B2210" s="4">
        <v>1453</v>
      </c>
      <c r="C2210" s="4" t="s">
        <v>833</v>
      </c>
      <c r="D2210" s="4" t="s">
        <v>946</v>
      </c>
      <c r="E2210" s="4">
        <v>100</v>
      </c>
      <c r="F2210" s="4" t="s">
        <v>917</v>
      </c>
      <c r="G2210" s="4"/>
      <c r="H2210" s="4"/>
      <c r="I2210" s="4"/>
      <c r="J2210" s="4"/>
    </row>
    <row r="2211" spans="1:10" ht="15" customHeight="1" x14ac:dyDescent="0.2">
      <c r="A2211" s="4">
        <v>2210</v>
      </c>
      <c r="B2211" s="4">
        <v>1453</v>
      </c>
      <c r="C2211" s="4" t="s">
        <v>833</v>
      </c>
      <c r="D2211" s="4" t="s">
        <v>947</v>
      </c>
      <c r="E2211" s="4">
        <v>150</v>
      </c>
      <c r="F2211" s="4" t="s">
        <v>917</v>
      </c>
      <c r="G2211" s="4"/>
      <c r="H2211" s="4"/>
      <c r="I2211" s="4"/>
      <c r="J2211" s="4"/>
    </row>
    <row r="2212" spans="1:10" ht="15" customHeight="1" x14ac:dyDescent="0.2">
      <c r="A2212" s="4">
        <v>2211</v>
      </c>
      <c r="B2212" s="4">
        <v>1453</v>
      </c>
      <c r="C2212" s="4" t="s">
        <v>833</v>
      </c>
      <c r="D2212" s="4" t="s">
        <v>919</v>
      </c>
      <c r="E2212" s="4">
        <v>200</v>
      </c>
      <c r="F2212" s="4" t="s">
        <v>917</v>
      </c>
      <c r="G2212" s="4"/>
      <c r="H2212" s="4"/>
      <c r="I2212" s="4"/>
      <c r="J2212" s="4"/>
    </row>
    <row r="2213" spans="1:10" ht="27.75" customHeight="1" x14ac:dyDescent="0.2">
      <c r="A2213" s="4">
        <v>2212</v>
      </c>
      <c r="B2213" s="4">
        <v>1453</v>
      </c>
      <c r="C2213" s="4" t="s">
        <v>833</v>
      </c>
      <c r="D2213" s="4" t="s">
        <v>948</v>
      </c>
      <c r="E2213" s="4">
        <v>250</v>
      </c>
      <c r="F2213" s="4" t="s">
        <v>917</v>
      </c>
      <c r="G2213" s="4"/>
      <c r="H2213" s="4"/>
      <c r="I2213" s="4"/>
      <c r="J2213" s="4"/>
    </row>
    <row r="2214" spans="1:10" ht="15" customHeight="1" x14ac:dyDescent="0.2">
      <c r="A2214" s="4">
        <v>2213</v>
      </c>
      <c r="B2214" s="4">
        <v>1454</v>
      </c>
      <c r="C2214" s="4" t="s">
        <v>834</v>
      </c>
      <c r="D2214" s="4" t="s">
        <v>946</v>
      </c>
      <c r="E2214" s="4">
        <v>100</v>
      </c>
      <c r="F2214" s="4" t="s">
        <v>917</v>
      </c>
      <c r="G2214" s="4"/>
      <c r="H2214" s="4"/>
      <c r="I2214" s="4"/>
      <c r="J2214" s="4"/>
    </row>
    <row r="2215" spans="1:10" ht="15" customHeight="1" x14ac:dyDescent="0.2">
      <c r="A2215" s="4">
        <v>2214</v>
      </c>
      <c r="B2215" s="4">
        <v>1454</v>
      </c>
      <c r="C2215" s="4" t="s">
        <v>834</v>
      </c>
      <c r="D2215" s="4" t="s">
        <v>947</v>
      </c>
      <c r="E2215" s="4">
        <v>150</v>
      </c>
      <c r="F2215" s="4" t="s">
        <v>917</v>
      </c>
      <c r="G2215" s="4"/>
      <c r="H2215" s="4"/>
      <c r="I2215" s="4"/>
      <c r="J2215" s="4"/>
    </row>
    <row r="2216" spans="1:10" ht="15" customHeight="1" x14ac:dyDescent="0.2">
      <c r="A2216" s="4">
        <v>2215</v>
      </c>
      <c r="B2216" s="4">
        <v>1454</v>
      </c>
      <c r="C2216" s="4" t="s">
        <v>834</v>
      </c>
      <c r="D2216" s="4" t="s">
        <v>919</v>
      </c>
      <c r="E2216" s="4">
        <v>200</v>
      </c>
      <c r="F2216" s="4" t="s">
        <v>917</v>
      </c>
      <c r="G2216" s="4"/>
      <c r="H2216" s="4"/>
      <c r="I2216" s="4"/>
      <c r="J2216" s="4"/>
    </row>
    <row r="2217" spans="1:10" ht="27.75" customHeight="1" x14ac:dyDescent="0.2">
      <c r="A2217" s="4">
        <v>2216</v>
      </c>
      <c r="B2217" s="4">
        <v>1454</v>
      </c>
      <c r="C2217" s="4" t="s">
        <v>834</v>
      </c>
      <c r="D2217" s="4" t="s">
        <v>948</v>
      </c>
      <c r="E2217" s="4">
        <v>250</v>
      </c>
      <c r="F2217" s="4" t="s">
        <v>917</v>
      </c>
      <c r="G2217" s="4"/>
      <c r="H2217" s="4"/>
      <c r="I2217" s="4"/>
      <c r="J2217" s="4"/>
    </row>
    <row r="2218" spans="1:10" ht="15" customHeight="1" x14ac:dyDescent="0.2">
      <c r="A2218" s="4">
        <v>2217</v>
      </c>
      <c r="B2218" s="4">
        <v>1455</v>
      </c>
      <c r="C2218" s="4" t="s">
        <v>835</v>
      </c>
      <c r="D2218" s="4" t="s">
        <v>946</v>
      </c>
      <c r="E2218" s="4">
        <v>100</v>
      </c>
      <c r="F2218" s="4" t="s">
        <v>917</v>
      </c>
      <c r="G2218" s="4"/>
      <c r="H2218" s="4"/>
      <c r="I2218" s="4"/>
      <c r="J2218" s="4"/>
    </row>
    <row r="2219" spans="1:10" ht="15" customHeight="1" x14ac:dyDescent="0.2">
      <c r="A2219" s="4">
        <v>2218</v>
      </c>
      <c r="B2219" s="4">
        <v>1455</v>
      </c>
      <c r="C2219" s="4" t="s">
        <v>835</v>
      </c>
      <c r="D2219" s="4" t="s">
        <v>947</v>
      </c>
      <c r="E2219" s="4">
        <v>150</v>
      </c>
      <c r="F2219" s="4" t="s">
        <v>917</v>
      </c>
      <c r="G2219" s="4"/>
      <c r="H2219" s="4"/>
      <c r="I2219" s="4"/>
      <c r="J2219" s="4"/>
    </row>
    <row r="2220" spans="1:10" ht="15" customHeight="1" x14ac:dyDescent="0.2">
      <c r="A2220" s="4">
        <v>2219</v>
      </c>
      <c r="B2220" s="4">
        <v>1455</v>
      </c>
      <c r="C2220" s="4" t="s">
        <v>835</v>
      </c>
      <c r="D2220" s="4" t="s">
        <v>919</v>
      </c>
      <c r="E2220" s="4">
        <v>200</v>
      </c>
      <c r="F2220" s="4" t="s">
        <v>917</v>
      </c>
      <c r="G2220" s="4"/>
      <c r="H2220" s="4"/>
      <c r="I2220" s="4"/>
      <c r="J2220" s="4"/>
    </row>
    <row r="2221" spans="1:10" ht="27.75" customHeight="1" x14ac:dyDescent="0.2">
      <c r="A2221" s="4">
        <v>2220</v>
      </c>
      <c r="B2221" s="4">
        <v>1455</v>
      </c>
      <c r="C2221" s="4" t="s">
        <v>835</v>
      </c>
      <c r="D2221" s="4" t="s">
        <v>948</v>
      </c>
      <c r="E2221" s="4">
        <v>250</v>
      </c>
      <c r="F2221" s="4" t="s">
        <v>917</v>
      </c>
      <c r="G2221" s="4"/>
      <c r="H2221" s="4"/>
      <c r="I2221" s="4"/>
      <c r="J2221" s="4"/>
    </row>
    <row r="2222" spans="1:10" ht="15" customHeight="1" x14ac:dyDescent="0.2">
      <c r="A2222" s="4">
        <v>2221</v>
      </c>
      <c r="B2222" s="4">
        <v>1456</v>
      </c>
      <c r="C2222" s="4" t="s">
        <v>836</v>
      </c>
      <c r="D2222" s="4" t="s">
        <v>946</v>
      </c>
      <c r="E2222" s="4">
        <v>100</v>
      </c>
      <c r="F2222" s="4" t="s">
        <v>917</v>
      </c>
      <c r="G2222" s="4"/>
      <c r="H2222" s="4"/>
      <c r="I2222" s="4"/>
      <c r="J2222" s="4"/>
    </row>
    <row r="2223" spans="1:10" ht="15" customHeight="1" x14ac:dyDescent="0.2">
      <c r="A2223" s="4">
        <v>2222</v>
      </c>
      <c r="B2223" s="4">
        <v>1456</v>
      </c>
      <c r="C2223" s="4" t="s">
        <v>836</v>
      </c>
      <c r="D2223" s="4" t="s">
        <v>947</v>
      </c>
      <c r="E2223" s="4">
        <v>150</v>
      </c>
      <c r="F2223" s="4" t="s">
        <v>917</v>
      </c>
      <c r="G2223" s="4"/>
      <c r="H2223" s="4"/>
      <c r="I2223" s="4"/>
      <c r="J2223" s="4"/>
    </row>
    <row r="2224" spans="1:10" ht="15" customHeight="1" x14ac:dyDescent="0.2">
      <c r="A2224" s="4">
        <v>2223</v>
      </c>
      <c r="B2224" s="4">
        <v>1456</v>
      </c>
      <c r="C2224" s="4" t="s">
        <v>836</v>
      </c>
      <c r="D2224" s="4" t="s">
        <v>919</v>
      </c>
      <c r="E2224" s="4">
        <v>200</v>
      </c>
      <c r="F2224" s="4" t="s">
        <v>917</v>
      </c>
      <c r="G2224" s="4"/>
      <c r="H2224" s="4"/>
      <c r="I2224" s="4"/>
      <c r="J2224" s="4"/>
    </row>
    <row r="2225" spans="1:10" ht="27.75" customHeight="1" x14ac:dyDescent="0.2">
      <c r="A2225" s="4">
        <v>2224</v>
      </c>
      <c r="B2225" s="4">
        <v>1456</v>
      </c>
      <c r="C2225" s="4" t="s">
        <v>836</v>
      </c>
      <c r="D2225" s="4" t="s">
        <v>948</v>
      </c>
      <c r="E2225" s="4">
        <v>250</v>
      </c>
      <c r="F2225" s="4" t="s">
        <v>917</v>
      </c>
      <c r="G2225" s="4"/>
      <c r="H2225" s="4"/>
      <c r="I2225" s="4"/>
      <c r="J2225" s="4"/>
    </row>
    <row r="2226" spans="1:10" ht="15" customHeight="1" x14ac:dyDescent="0.2">
      <c r="A2226" s="4">
        <v>2225</v>
      </c>
      <c r="B2226" s="4">
        <v>1457</v>
      </c>
      <c r="C2226" s="4" t="s">
        <v>837</v>
      </c>
      <c r="D2226" s="4" t="s">
        <v>946</v>
      </c>
      <c r="E2226" s="4">
        <v>100</v>
      </c>
      <c r="F2226" s="4" t="s">
        <v>917</v>
      </c>
      <c r="G2226" s="4"/>
      <c r="H2226" s="4"/>
      <c r="I2226" s="4"/>
      <c r="J2226" s="4"/>
    </row>
    <row r="2227" spans="1:10" ht="15" customHeight="1" x14ac:dyDescent="0.2">
      <c r="A2227" s="4">
        <v>2226</v>
      </c>
      <c r="B2227" s="4">
        <v>1457</v>
      </c>
      <c r="C2227" s="4" t="s">
        <v>837</v>
      </c>
      <c r="D2227" s="4" t="s">
        <v>947</v>
      </c>
      <c r="E2227" s="4">
        <v>150</v>
      </c>
      <c r="F2227" s="4" t="s">
        <v>917</v>
      </c>
      <c r="G2227" s="4"/>
      <c r="H2227" s="4"/>
      <c r="I2227" s="4"/>
      <c r="J2227" s="4"/>
    </row>
    <row r="2228" spans="1:10" ht="15" customHeight="1" x14ac:dyDescent="0.2">
      <c r="A2228" s="4">
        <v>2227</v>
      </c>
      <c r="B2228" s="4">
        <v>1457</v>
      </c>
      <c r="C2228" s="4" t="s">
        <v>837</v>
      </c>
      <c r="D2228" s="4" t="s">
        <v>919</v>
      </c>
      <c r="E2228" s="4">
        <v>200</v>
      </c>
      <c r="F2228" s="4" t="s">
        <v>917</v>
      </c>
      <c r="G2228" s="4"/>
      <c r="H2228" s="4"/>
      <c r="I2228" s="4"/>
      <c r="J2228" s="4"/>
    </row>
    <row r="2229" spans="1:10" ht="27.75" customHeight="1" x14ac:dyDescent="0.2">
      <c r="A2229" s="4">
        <v>2228</v>
      </c>
      <c r="B2229" s="4">
        <v>1457</v>
      </c>
      <c r="C2229" s="4" t="s">
        <v>837</v>
      </c>
      <c r="D2229" s="4" t="s">
        <v>948</v>
      </c>
      <c r="E2229" s="4">
        <v>250</v>
      </c>
      <c r="F2229" s="4" t="s">
        <v>917</v>
      </c>
      <c r="G2229" s="4"/>
      <c r="H2229" s="4"/>
      <c r="I2229" s="4"/>
      <c r="J2229" s="4"/>
    </row>
    <row r="2230" spans="1:10" ht="15" customHeight="1" x14ac:dyDescent="0.2">
      <c r="A2230" s="4">
        <v>2229</v>
      </c>
      <c r="B2230" s="4">
        <v>1458</v>
      </c>
      <c r="C2230" s="4" t="s">
        <v>838</v>
      </c>
      <c r="D2230" s="4" t="s">
        <v>946</v>
      </c>
      <c r="E2230" s="4">
        <v>100</v>
      </c>
      <c r="F2230" s="4" t="s">
        <v>917</v>
      </c>
      <c r="G2230" s="4"/>
      <c r="H2230" s="4"/>
      <c r="I2230" s="4"/>
      <c r="J2230" s="4"/>
    </row>
    <row r="2231" spans="1:10" ht="15" customHeight="1" x14ac:dyDescent="0.2">
      <c r="A2231" s="4">
        <v>2230</v>
      </c>
      <c r="B2231" s="4">
        <v>1458</v>
      </c>
      <c r="C2231" s="4" t="s">
        <v>838</v>
      </c>
      <c r="D2231" s="4" t="s">
        <v>947</v>
      </c>
      <c r="E2231" s="4">
        <v>150</v>
      </c>
      <c r="F2231" s="4" t="s">
        <v>917</v>
      </c>
      <c r="G2231" s="4"/>
      <c r="H2231" s="4"/>
      <c r="I2231" s="4"/>
      <c r="J2231" s="4"/>
    </row>
    <row r="2232" spans="1:10" ht="15" customHeight="1" x14ac:dyDescent="0.2">
      <c r="A2232" s="4">
        <v>2231</v>
      </c>
      <c r="B2232" s="4">
        <v>1458</v>
      </c>
      <c r="C2232" s="4" t="s">
        <v>838</v>
      </c>
      <c r="D2232" s="4" t="s">
        <v>919</v>
      </c>
      <c r="E2232" s="4">
        <v>200</v>
      </c>
      <c r="F2232" s="4" t="s">
        <v>917</v>
      </c>
      <c r="G2232" s="4"/>
      <c r="H2232" s="4"/>
      <c r="I2232" s="4"/>
      <c r="J2232" s="4"/>
    </row>
    <row r="2233" spans="1:10" ht="27.75" customHeight="1" x14ac:dyDescent="0.2">
      <c r="A2233" s="4">
        <v>2232</v>
      </c>
      <c r="B2233" s="4">
        <v>1458</v>
      </c>
      <c r="C2233" s="4" t="s">
        <v>838</v>
      </c>
      <c r="D2233" s="4" t="s">
        <v>948</v>
      </c>
      <c r="E2233" s="4">
        <v>250</v>
      </c>
      <c r="F2233" s="4" t="s">
        <v>917</v>
      </c>
      <c r="G2233" s="4"/>
      <c r="H2233" s="4"/>
      <c r="I2233" s="4"/>
      <c r="J2233" s="4"/>
    </row>
    <row r="2234" spans="1:10" ht="15" customHeight="1" x14ac:dyDescent="0.2">
      <c r="A2234" s="4">
        <v>2233</v>
      </c>
      <c r="B2234" s="4">
        <v>1459</v>
      </c>
      <c r="C2234" s="4" t="s">
        <v>839</v>
      </c>
      <c r="D2234" s="4" t="s">
        <v>946</v>
      </c>
      <c r="E2234" s="4">
        <v>100</v>
      </c>
      <c r="F2234" s="4" t="s">
        <v>917</v>
      </c>
      <c r="G2234" s="4"/>
      <c r="H2234" s="4"/>
      <c r="I2234" s="4"/>
      <c r="J2234" s="4"/>
    </row>
    <row r="2235" spans="1:10" ht="15" customHeight="1" x14ac:dyDescent="0.2">
      <c r="A2235" s="4">
        <v>2234</v>
      </c>
      <c r="B2235" s="4">
        <v>1459</v>
      </c>
      <c r="C2235" s="4" t="s">
        <v>839</v>
      </c>
      <c r="D2235" s="4" t="s">
        <v>947</v>
      </c>
      <c r="E2235" s="4">
        <v>150</v>
      </c>
      <c r="F2235" s="4" t="s">
        <v>917</v>
      </c>
      <c r="G2235" s="4"/>
      <c r="H2235" s="4"/>
      <c r="I2235" s="4"/>
      <c r="J2235" s="4"/>
    </row>
    <row r="2236" spans="1:10" ht="15" customHeight="1" x14ac:dyDescent="0.2">
      <c r="A2236" s="4">
        <v>2235</v>
      </c>
      <c r="B2236" s="4">
        <v>1459</v>
      </c>
      <c r="C2236" s="4" t="s">
        <v>839</v>
      </c>
      <c r="D2236" s="4" t="s">
        <v>919</v>
      </c>
      <c r="E2236" s="4">
        <v>200</v>
      </c>
      <c r="F2236" s="4" t="s">
        <v>917</v>
      </c>
      <c r="G2236" s="4"/>
      <c r="H2236" s="4"/>
      <c r="I2236" s="4"/>
      <c r="J2236" s="4"/>
    </row>
    <row r="2237" spans="1:10" ht="27.75" customHeight="1" x14ac:dyDescent="0.2">
      <c r="A2237" s="4">
        <v>2236</v>
      </c>
      <c r="B2237" s="4">
        <v>1459</v>
      </c>
      <c r="C2237" s="4" t="s">
        <v>839</v>
      </c>
      <c r="D2237" s="4" t="s">
        <v>948</v>
      </c>
      <c r="E2237" s="4">
        <v>250</v>
      </c>
      <c r="F2237" s="4" t="s">
        <v>917</v>
      </c>
      <c r="G2237" s="4"/>
      <c r="H2237" s="4"/>
      <c r="I2237" s="4"/>
      <c r="J2237" s="4"/>
    </row>
    <row r="2238" spans="1:10" ht="15" customHeight="1" x14ac:dyDescent="0.2">
      <c r="A2238" s="4">
        <v>2237</v>
      </c>
      <c r="B2238" s="4">
        <v>1460</v>
      </c>
      <c r="C2238" s="4" t="s">
        <v>840</v>
      </c>
      <c r="D2238" s="4" t="s">
        <v>946</v>
      </c>
      <c r="E2238" s="4">
        <v>100</v>
      </c>
      <c r="F2238" s="4" t="s">
        <v>917</v>
      </c>
      <c r="G2238" s="4"/>
      <c r="H2238" s="4"/>
      <c r="I2238" s="4"/>
      <c r="J2238" s="4"/>
    </row>
    <row r="2239" spans="1:10" ht="15" customHeight="1" x14ac:dyDescent="0.2">
      <c r="A2239" s="4">
        <v>2238</v>
      </c>
      <c r="B2239" s="4">
        <v>1460</v>
      </c>
      <c r="C2239" s="4" t="s">
        <v>840</v>
      </c>
      <c r="D2239" s="4" t="s">
        <v>947</v>
      </c>
      <c r="E2239" s="4">
        <v>150</v>
      </c>
      <c r="F2239" s="4" t="s">
        <v>917</v>
      </c>
      <c r="G2239" s="4"/>
      <c r="H2239" s="4"/>
      <c r="I2239" s="4"/>
      <c r="J2239" s="4"/>
    </row>
    <row r="2240" spans="1:10" ht="15" customHeight="1" x14ac:dyDescent="0.2">
      <c r="A2240" s="4">
        <v>2239</v>
      </c>
      <c r="B2240" s="4">
        <v>1460</v>
      </c>
      <c r="C2240" s="4" t="s">
        <v>840</v>
      </c>
      <c r="D2240" s="4" t="s">
        <v>919</v>
      </c>
      <c r="E2240" s="4">
        <v>200</v>
      </c>
      <c r="F2240" s="4" t="s">
        <v>917</v>
      </c>
      <c r="G2240" s="4"/>
      <c r="H2240" s="4"/>
      <c r="I2240" s="4"/>
      <c r="J2240" s="4"/>
    </row>
    <row r="2241" spans="1:10" ht="27.75" customHeight="1" x14ac:dyDescent="0.2">
      <c r="A2241" s="4">
        <v>2240</v>
      </c>
      <c r="B2241" s="4">
        <v>1460</v>
      </c>
      <c r="C2241" s="4" t="s">
        <v>840</v>
      </c>
      <c r="D2241" s="4" t="s">
        <v>948</v>
      </c>
      <c r="E2241" s="4">
        <v>250</v>
      </c>
      <c r="F2241" s="4" t="s">
        <v>917</v>
      </c>
      <c r="G2241" s="4"/>
      <c r="H2241" s="4"/>
      <c r="I2241" s="4"/>
      <c r="J2241" s="4"/>
    </row>
    <row r="2242" spans="1:10" ht="15" customHeight="1" x14ac:dyDescent="0.2">
      <c r="A2242" s="4">
        <v>2241</v>
      </c>
      <c r="B2242" s="4">
        <v>1461</v>
      </c>
      <c r="C2242" s="4" t="s">
        <v>841</v>
      </c>
      <c r="D2242" s="4" t="s">
        <v>946</v>
      </c>
      <c r="E2242" s="4">
        <v>100</v>
      </c>
      <c r="F2242" s="4" t="s">
        <v>917</v>
      </c>
      <c r="G2242" s="4"/>
      <c r="H2242" s="4"/>
      <c r="I2242" s="4"/>
      <c r="J2242" s="4"/>
    </row>
    <row r="2243" spans="1:10" ht="15" customHeight="1" x14ac:dyDescent="0.2">
      <c r="A2243" s="4">
        <v>2242</v>
      </c>
      <c r="B2243" s="4">
        <v>1461</v>
      </c>
      <c r="C2243" s="4" t="s">
        <v>841</v>
      </c>
      <c r="D2243" s="4" t="s">
        <v>947</v>
      </c>
      <c r="E2243" s="4">
        <v>150</v>
      </c>
      <c r="F2243" s="4" t="s">
        <v>917</v>
      </c>
      <c r="G2243" s="4"/>
      <c r="H2243" s="4"/>
      <c r="I2243" s="4"/>
      <c r="J2243" s="4"/>
    </row>
    <row r="2244" spans="1:10" ht="15" customHeight="1" x14ac:dyDescent="0.2">
      <c r="A2244" s="4">
        <v>2243</v>
      </c>
      <c r="B2244" s="4">
        <v>1461</v>
      </c>
      <c r="C2244" s="4" t="s">
        <v>841</v>
      </c>
      <c r="D2244" s="4" t="s">
        <v>919</v>
      </c>
      <c r="E2244" s="4">
        <v>200</v>
      </c>
      <c r="F2244" s="4" t="s">
        <v>917</v>
      </c>
      <c r="G2244" s="4"/>
      <c r="H2244" s="4"/>
      <c r="I2244" s="4"/>
      <c r="J2244" s="4"/>
    </row>
    <row r="2245" spans="1:10" ht="27.75" customHeight="1" x14ac:dyDescent="0.2">
      <c r="A2245" s="4">
        <v>2244</v>
      </c>
      <c r="B2245" s="4">
        <v>1461</v>
      </c>
      <c r="C2245" s="4" t="s">
        <v>841</v>
      </c>
      <c r="D2245" s="4" t="s">
        <v>948</v>
      </c>
      <c r="E2245" s="4">
        <v>250</v>
      </c>
      <c r="F2245" s="4" t="s">
        <v>917</v>
      </c>
      <c r="G2245" s="4"/>
      <c r="H2245" s="4"/>
      <c r="I2245" s="4"/>
      <c r="J2245" s="4"/>
    </row>
    <row r="2246" spans="1:10" ht="15" customHeight="1" x14ac:dyDescent="0.2">
      <c r="A2246" s="4">
        <v>2245</v>
      </c>
      <c r="B2246" s="4">
        <v>1462</v>
      </c>
      <c r="C2246" s="4" t="s">
        <v>842</v>
      </c>
      <c r="D2246" s="4" t="s">
        <v>946</v>
      </c>
      <c r="E2246" s="4">
        <v>100</v>
      </c>
      <c r="F2246" s="4" t="s">
        <v>917</v>
      </c>
      <c r="G2246" s="4"/>
      <c r="H2246" s="4"/>
      <c r="I2246" s="4"/>
      <c r="J2246" s="4"/>
    </row>
    <row r="2247" spans="1:10" ht="15" customHeight="1" x14ac:dyDescent="0.2">
      <c r="A2247" s="4">
        <v>2246</v>
      </c>
      <c r="B2247" s="4">
        <v>1462</v>
      </c>
      <c r="C2247" s="4" t="s">
        <v>842</v>
      </c>
      <c r="D2247" s="4" t="s">
        <v>947</v>
      </c>
      <c r="E2247" s="4">
        <v>150</v>
      </c>
      <c r="F2247" s="4" t="s">
        <v>917</v>
      </c>
      <c r="G2247" s="4"/>
      <c r="H2247" s="4"/>
      <c r="I2247" s="4"/>
      <c r="J2247" s="4"/>
    </row>
    <row r="2248" spans="1:10" ht="15" customHeight="1" x14ac:dyDescent="0.2">
      <c r="A2248" s="4">
        <v>2247</v>
      </c>
      <c r="B2248" s="4">
        <v>1462</v>
      </c>
      <c r="C2248" s="4" t="s">
        <v>842</v>
      </c>
      <c r="D2248" s="4" t="s">
        <v>919</v>
      </c>
      <c r="E2248" s="4">
        <v>200</v>
      </c>
      <c r="F2248" s="4" t="s">
        <v>917</v>
      </c>
      <c r="G2248" s="4"/>
      <c r="H2248" s="4"/>
      <c r="I2248" s="4"/>
      <c r="J2248" s="4"/>
    </row>
    <row r="2249" spans="1:10" ht="27.75" customHeight="1" x14ac:dyDescent="0.2">
      <c r="A2249" s="4">
        <v>2248</v>
      </c>
      <c r="B2249" s="4">
        <v>1462</v>
      </c>
      <c r="C2249" s="4" t="s">
        <v>842</v>
      </c>
      <c r="D2249" s="4" t="s">
        <v>948</v>
      </c>
      <c r="E2249" s="4">
        <v>250</v>
      </c>
      <c r="F2249" s="4" t="s">
        <v>917</v>
      </c>
      <c r="G2249" s="4"/>
      <c r="H2249" s="4"/>
      <c r="I2249" s="4"/>
      <c r="J2249" s="4"/>
    </row>
    <row r="2250" spans="1:10" ht="15" customHeight="1" x14ac:dyDescent="0.2">
      <c r="A2250" s="4">
        <v>2249</v>
      </c>
      <c r="B2250" s="4">
        <v>1463</v>
      </c>
      <c r="C2250" s="4" t="s">
        <v>843</v>
      </c>
      <c r="D2250" s="4" t="s">
        <v>946</v>
      </c>
      <c r="E2250" s="4">
        <v>100</v>
      </c>
      <c r="F2250" s="4" t="s">
        <v>917</v>
      </c>
      <c r="G2250" s="4"/>
      <c r="H2250" s="4"/>
      <c r="I2250" s="4"/>
      <c r="J2250" s="4"/>
    </row>
    <row r="2251" spans="1:10" ht="15" customHeight="1" x14ac:dyDescent="0.2">
      <c r="A2251" s="4">
        <v>2250</v>
      </c>
      <c r="B2251" s="4">
        <v>1463</v>
      </c>
      <c r="C2251" s="4" t="s">
        <v>843</v>
      </c>
      <c r="D2251" s="4" t="s">
        <v>947</v>
      </c>
      <c r="E2251" s="4">
        <v>150</v>
      </c>
      <c r="F2251" s="4" t="s">
        <v>917</v>
      </c>
      <c r="G2251" s="4"/>
      <c r="H2251" s="4"/>
      <c r="I2251" s="4"/>
      <c r="J2251" s="4"/>
    </row>
    <row r="2252" spans="1:10" ht="15" customHeight="1" x14ac:dyDescent="0.2">
      <c r="A2252" s="4">
        <v>2251</v>
      </c>
      <c r="B2252" s="4">
        <v>1463</v>
      </c>
      <c r="C2252" s="4" t="s">
        <v>843</v>
      </c>
      <c r="D2252" s="4" t="s">
        <v>919</v>
      </c>
      <c r="E2252" s="4">
        <v>200</v>
      </c>
      <c r="F2252" s="4" t="s">
        <v>917</v>
      </c>
      <c r="G2252" s="4"/>
      <c r="H2252" s="4"/>
      <c r="I2252" s="4"/>
      <c r="J2252" s="4"/>
    </row>
    <row r="2253" spans="1:10" ht="27.75" customHeight="1" x14ac:dyDescent="0.2">
      <c r="A2253" s="4">
        <v>2252</v>
      </c>
      <c r="B2253" s="4">
        <v>1463</v>
      </c>
      <c r="C2253" s="4" t="s">
        <v>843</v>
      </c>
      <c r="D2253" s="4" t="s">
        <v>948</v>
      </c>
      <c r="E2253" s="4">
        <v>250</v>
      </c>
      <c r="F2253" s="4" t="s">
        <v>917</v>
      </c>
      <c r="G2253" s="4"/>
      <c r="H2253" s="4"/>
      <c r="I2253" s="4"/>
      <c r="J2253" s="4"/>
    </row>
    <row r="2254" spans="1:10" ht="15" customHeight="1" x14ac:dyDescent="0.2">
      <c r="A2254" s="4">
        <v>2253</v>
      </c>
      <c r="B2254" s="4">
        <v>1464</v>
      </c>
      <c r="C2254" s="4" t="s">
        <v>844</v>
      </c>
      <c r="D2254" s="4" t="s">
        <v>946</v>
      </c>
      <c r="E2254" s="4">
        <v>100</v>
      </c>
      <c r="F2254" s="4" t="s">
        <v>917</v>
      </c>
      <c r="G2254" s="4"/>
      <c r="H2254" s="4"/>
      <c r="I2254" s="4"/>
      <c r="J2254" s="4"/>
    </row>
    <row r="2255" spans="1:10" ht="15" customHeight="1" x14ac:dyDescent="0.2">
      <c r="A2255" s="4">
        <v>2254</v>
      </c>
      <c r="B2255" s="4">
        <v>1464</v>
      </c>
      <c r="C2255" s="4" t="s">
        <v>844</v>
      </c>
      <c r="D2255" s="4" t="s">
        <v>947</v>
      </c>
      <c r="E2255" s="4">
        <v>150</v>
      </c>
      <c r="F2255" s="4" t="s">
        <v>917</v>
      </c>
      <c r="G2255" s="4"/>
      <c r="H2255" s="4"/>
      <c r="I2255" s="4"/>
      <c r="J2255" s="4"/>
    </row>
    <row r="2256" spans="1:10" ht="15" customHeight="1" x14ac:dyDescent="0.2">
      <c r="A2256" s="4">
        <v>2255</v>
      </c>
      <c r="B2256" s="4">
        <v>1464</v>
      </c>
      <c r="C2256" s="4" t="s">
        <v>844</v>
      </c>
      <c r="D2256" s="4" t="s">
        <v>919</v>
      </c>
      <c r="E2256" s="4">
        <v>200</v>
      </c>
      <c r="F2256" s="4" t="s">
        <v>917</v>
      </c>
      <c r="G2256" s="4"/>
      <c r="H2256" s="4"/>
      <c r="I2256" s="4"/>
      <c r="J2256" s="4"/>
    </row>
    <row r="2257" spans="1:10" ht="27.75" customHeight="1" x14ac:dyDescent="0.2">
      <c r="A2257" s="4">
        <v>2256</v>
      </c>
      <c r="B2257" s="4">
        <v>1464</v>
      </c>
      <c r="C2257" s="4" t="s">
        <v>844</v>
      </c>
      <c r="D2257" s="4" t="s">
        <v>948</v>
      </c>
      <c r="E2257" s="4">
        <v>250</v>
      </c>
      <c r="F2257" s="4" t="s">
        <v>917</v>
      </c>
      <c r="G2257" s="4"/>
      <c r="H2257" s="4"/>
      <c r="I2257" s="4"/>
      <c r="J2257" s="4"/>
    </row>
    <row r="2258" spans="1:10" ht="15" customHeight="1" x14ac:dyDescent="0.2">
      <c r="A2258" s="4">
        <v>2257</v>
      </c>
      <c r="B2258" s="4">
        <v>1465</v>
      </c>
      <c r="C2258" s="4" t="s">
        <v>845</v>
      </c>
      <c r="D2258" s="4" t="s">
        <v>946</v>
      </c>
      <c r="E2258" s="4">
        <v>100</v>
      </c>
      <c r="F2258" s="4" t="s">
        <v>917</v>
      </c>
      <c r="G2258" s="4"/>
      <c r="H2258" s="4"/>
      <c r="I2258" s="4"/>
      <c r="J2258" s="4"/>
    </row>
    <row r="2259" spans="1:10" ht="15" customHeight="1" x14ac:dyDescent="0.2">
      <c r="A2259" s="4">
        <v>2258</v>
      </c>
      <c r="B2259" s="4">
        <v>1465</v>
      </c>
      <c r="C2259" s="4" t="s">
        <v>845</v>
      </c>
      <c r="D2259" s="4" t="s">
        <v>947</v>
      </c>
      <c r="E2259" s="4">
        <v>150</v>
      </c>
      <c r="F2259" s="4" t="s">
        <v>917</v>
      </c>
      <c r="G2259" s="4"/>
      <c r="H2259" s="4"/>
      <c r="I2259" s="4"/>
      <c r="J2259" s="4"/>
    </row>
    <row r="2260" spans="1:10" ht="15" customHeight="1" x14ac:dyDescent="0.2">
      <c r="A2260" s="4">
        <v>2259</v>
      </c>
      <c r="B2260" s="4">
        <v>1465</v>
      </c>
      <c r="C2260" s="4" t="s">
        <v>845</v>
      </c>
      <c r="D2260" s="4" t="s">
        <v>919</v>
      </c>
      <c r="E2260" s="4">
        <v>200</v>
      </c>
      <c r="F2260" s="4" t="s">
        <v>917</v>
      </c>
      <c r="G2260" s="4"/>
      <c r="H2260" s="4"/>
      <c r="I2260" s="4"/>
      <c r="J2260" s="4"/>
    </row>
    <row r="2261" spans="1:10" ht="27.75" customHeight="1" x14ac:dyDescent="0.2">
      <c r="A2261" s="4">
        <v>2260</v>
      </c>
      <c r="B2261" s="4">
        <v>1465</v>
      </c>
      <c r="C2261" s="4" t="s">
        <v>845</v>
      </c>
      <c r="D2261" s="4" t="s">
        <v>948</v>
      </c>
      <c r="E2261" s="4">
        <v>250</v>
      </c>
      <c r="F2261" s="4" t="s">
        <v>917</v>
      </c>
      <c r="G2261" s="4"/>
      <c r="H2261" s="4"/>
      <c r="I2261" s="4"/>
      <c r="J2261" s="4"/>
    </row>
    <row r="2262" spans="1:10" ht="15" customHeight="1" x14ac:dyDescent="0.2">
      <c r="A2262" s="4">
        <v>2261</v>
      </c>
      <c r="B2262" s="4">
        <v>1466</v>
      </c>
      <c r="C2262" s="4" t="s">
        <v>846</v>
      </c>
      <c r="D2262" s="4" t="s">
        <v>946</v>
      </c>
      <c r="E2262" s="4">
        <v>100</v>
      </c>
      <c r="F2262" s="4" t="s">
        <v>917</v>
      </c>
      <c r="G2262" s="4"/>
      <c r="H2262" s="4"/>
      <c r="I2262" s="4"/>
      <c r="J2262" s="4"/>
    </row>
    <row r="2263" spans="1:10" ht="15" customHeight="1" x14ac:dyDescent="0.2">
      <c r="A2263" s="4">
        <v>2262</v>
      </c>
      <c r="B2263" s="4">
        <v>1466</v>
      </c>
      <c r="C2263" s="4" t="s">
        <v>846</v>
      </c>
      <c r="D2263" s="4" t="s">
        <v>947</v>
      </c>
      <c r="E2263" s="4">
        <v>150</v>
      </c>
      <c r="F2263" s="4" t="s">
        <v>917</v>
      </c>
      <c r="G2263" s="4"/>
      <c r="H2263" s="4"/>
      <c r="I2263" s="4"/>
      <c r="J2263" s="4"/>
    </row>
    <row r="2264" spans="1:10" ht="15" customHeight="1" x14ac:dyDescent="0.2">
      <c r="A2264" s="4">
        <v>2263</v>
      </c>
      <c r="B2264" s="4">
        <v>1466</v>
      </c>
      <c r="C2264" s="4" t="s">
        <v>846</v>
      </c>
      <c r="D2264" s="4" t="s">
        <v>919</v>
      </c>
      <c r="E2264" s="4">
        <v>200</v>
      </c>
      <c r="F2264" s="4" t="s">
        <v>917</v>
      </c>
      <c r="G2264" s="4"/>
      <c r="H2264" s="4"/>
      <c r="I2264" s="4"/>
      <c r="J2264" s="4"/>
    </row>
    <row r="2265" spans="1:10" ht="27.75" customHeight="1" x14ac:dyDescent="0.2">
      <c r="A2265" s="4">
        <v>2264</v>
      </c>
      <c r="B2265" s="4">
        <v>1466</v>
      </c>
      <c r="C2265" s="4" t="s">
        <v>846</v>
      </c>
      <c r="D2265" s="4" t="s">
        <v>948</v>
      </c>
      <c r="E2265" s="4">
        <v>250</v>
      </c>
      <c r="F2265" s="4" t="s">
        <v>917</v>
      </c>
      <c r="G2265" s="4"/>
      <c r="H2265" s="4"/>
      <c r="I2265" s="4"/>
      <c r="J2265" s="4"/>
    </row>
    <row r="2266" spans="1:10" ht="15" customHeight="1" x14ac:dyDescent="0.2">
      <c r="A2266" s="4">
        <v>2265</v>
      </c>
      <c r="B2266" s="4">
        <v>1467</v>
      </c>
      <c r="C2266" s="4" t="s">
        <v>847</v>
      </c>
      <c r="D2266" s="4" t="s">
        <v>946</v>
      </c>
      <c r="E2266" s="4">
        <v>100</v>
      </c>
      <c r="F2266" s="4" t="s">
        <v>917</v>
      </c>
      <c r="G2266" s="4"/>
      <c r="H2266" s="4"/>
      <c r="I2266" s="4"/>
      <c r="J2266" s="4"/>
    </row>
    <row r="2267" spans="1:10" ht="15" customHeight="1" x14ac:dyDescent="0.2">
      <c r="A2267" s="4">
        <v>2266</v>
      </c>
      <c r="B2267" s="4">
        <v>1467</v>
      </c>
      <c r="C2267" s="4" t="s">
        <v>847</v>
      </c>
      <c r="D2267" s="4" t="s">
        <v>947</v>
      </c>
      <c r="E2267" s="4">
        <v>150</v>
      </c>
      <c r="F2267" s="4" t="s">
        <v>917</v>
      </c>
      <c r="G2267" s="4"/>
      <c r="H2267" s="4"/>
      <c r="I2267" s="4"/>
      <c r="J2267" s="4"/>
    </row>
    <row r="2268" spans="1:10" ht="15" customHeight="1" x14ac:dyDescent="0.2">
      <c r="A2268" s="4">
        <v>2267</v>
      </c>
      <c r="B2268" s="4">
        <v>1467</v>
      </c>
      <c r="C2268" s="4" t="s">
        <v>847</v>
      </c>
      <c r="D2268" s="4" t="s">
        <v>919</v>
      </c>
      <c r="E2268" s="4">
        <v>200</v>
      </c>
      <c r="F2268" s="4" t="s">
        <v>917</v>
      </c>
      <c r="G2268" s="4"/>
      <c r="H2268" s="4"/>
      <c r="I2268" s="4"/>
      <c r="J2268" s="4"/>
    </row>
    <row r="2269" spans="1:10" ht="27.75" customHeight="1" x14ac:dyDescent="0.2">
      <c r="A2269" s="4">
        <v>2268</v>
      </c>
      <c r="B2269" s="4">
        <v>1467</v>
      </c>
      <c r="C2269" s="4" t="s">
        <v>847</v>
      </c>
      <c r="D2269" s="4" t="s">
        <v>948</v>
      </c>
      <c r="E2269" s="4">
        <v>250</v>
      </c>
      <c r="F2269" s="4" t="s">
        <v>917</v>
      </c>
      <c r="G2269" s="4"/>
      <c r="H2269" s="4"/>
      <c r="I2269" s="4"/>
      <c r="J2269" s="4"/>
    </row>
    <row r="2270" spans="1:10" ht="15" customHeight="1" x14ac:dyDescent="0.2">
      <c r="A2270" s="4">
        <v>2269</v>
      </c>
      <c r="B2270" s="4">
        <v>1468</v>
      </c>
      <c r="C2270" s="4" t="s">
        <v>848</v>
      </c>
      <c r="D2270" s="4" t="s">
        <v>946</v>
      </c>
      <c r="E2270" s="4">
        <v>100</v>
      </c>
      <c r="F2270" s="4" t="s">
        <v>917</v>
      </c>
      <c r="G2270" s="4"/>
      <c r="H2270" s="4"/>
      <c r="I2270" s="4"/>
      <c r="J2270" s="4"/>
    </row>
    <row r="2271" spans="1:10" ht="15" customHeight="1" x14ac:dyDescent="0.2">
      <c r="A2271" s="4">
        <v>2270</v>
      </c>
      <c r="B2271" s="4">
        <v>1468</v>
      </c>
      <c r="C2271" s="4" t="s">
        <v>848</v>
      </c>
      <c r="D2271" s="4" t="s">
        <v>947</v>
      </c>
      <c r="E2271" s="4">
        <v>150</v>
      </c>
      <c r="F2271" s="4" t="s">
        <v>917</v>
      </c>
      <c r="G2271" s="4"/>
      <c r="H2271" s="4"/>
      <c r="I2271" s="4"/>
      <c r="J2271" s="4"/>
    </row>
    <row r="2272" spans="1:10" ht="15" customHeight="1" x14ac:dyDescent="0.2">
      <c r="A2272" s="4">
        <v>2271</v>
      </c>
      <c r="B2272" s="4">
        <v>1468</v>
      </c>
      <c r="C2272" s="4" t="s">
        <v>848</v>
      </c>
      <c r="D2272" s="4" t="s">
        <v>919</v>
      </c>
      <c r="E2272" s="4">
        <v>200</v>
      </c>
      <c r="F2272" s="4" t="s">
        <v>917</v>
      </c>
      <c r="G2272" s="4"/>
      <c r="H2272" s="4"/>
      <c r="I2272" s="4"/>
      <c r="J2272" s="4"/>
    </row>
    <row r="2273" spans="1:10" ht="27.75" customHeight="1" x14ac:dyDescent="0.2">
      <c r="A2273" s="4">
        <v>2272</v>
      </c>
      <c r="B2273" s="4">
        <v>1468</v>
      </c>
      <c r="C2273" s="4" t="s">
        <v>848</v>
      </c>
      <c r="D2273" s="4" t="s">
        <v>948</v>
      </c>
      <c r="E2273" s="4">
        <v>250</v>
      </c>
      <c r="F2273" s="4" t="s">
        <v>917</v>
      </c>
      <c r="G2273" s="4"/>
      <c r="H2273" s="4"/>
      <c r="I2273" s="4"/>
      <c r="J2273" s="4"/>
    </row>
    <row r="2274" spans="1:10" ht="15" customHeight="1" x14ac:dyDescent="0.2">
      <c r="A2274" s="4">
        <v>2273</v>
      </c>
      <c r="B2274" s="4">
        <v>1469</v>
      </c>
      <c r="C2274" s="4" t="s">
        <v>849</v>
      </c>
      <c r="D2274" s="4" t="s">
        <v>946</v>
      </c>
      <c r="E2274" s="4">
        <v>100</v>
      </c>
      <c r="F2274" s="4" t="s">
        <v>917</v>
      </c>
      <c r="G2274" s="4"/>
      <c r="H2274" s="4"/>
      <c r="I2274" s="4"/>
      <c r="J2274" s="4"/>
    </row>
    <row r="2275" spans="1:10" ht="15" customHeight="1" x14ac:dyDescent="0.2">
      <c r="A2275" s="4">
        <v>2274</v>
      </c>
      <c r="B2275" s="4">
        <v>1469</v>
      </c>
      <c r="C2275" s="4" t="s">
        <v>849</v>
      </c>
      <c r="D2275" s="4" t="s">
        <v>947</v>
      </c>
      <c r="E2275" s="4">
        <v>150</v>
      </c>
      <c r="F2275" s="4" t="s">
        <v>917</v>
      </c>
      <c r="G2275" s="4"/>
      <c r="H2275" s="4"/>
      <c r="I2275" s="4"/>
      <c r="J2275" s="4"/>
    </row>
    <row r="2276" spans="1:10" ht="15" customHeight="1" x14ac:dyDescent="0.2">
      <c r="A2276" s="4">
        <v>2275</v>
      </c>
      <c r="B2276" s="4">
        <v>1469</v>
      </c>
      <c r="C2276" s="4" t="s">
        <v>849</v>
      </c>
      <c r="D2276" s="4" t="s">
        <v>919</v>
      </c>
      <c r="E2276" s="4">
        <v>200</v>
      </c>
      <c r="F2276" s="4" t="s">
        <v>917</v>
      </c>
      <c r="G2276" s="4"/>
      <c r="H2276" s="4"/>
      <c r="I2276" s="4"/>
      <c r="J2276" s="4"/>
    </row>
    <row r="2277" spans="1:10" ht="27.75" customHeight="1" x14ac:dyDescent="0.2">
      <c r="A2277" s="4">
        <v>2276</v>
      </c>
      <c r="B2277" s="4">
        <v>1469</v>
      </c>
      <c r="C2277" s="4" t="s">
        <v>849</v>
      </c>
      <c r="D2277" s="4" t="s">
        <v>948</v>
      </c>
      <c r="E2277" s="4">
        <v>250</v>
      </c>
      <c r="F2277" s="4" t="s">
        <v>917</v>
      </c>
      <c r="G2277" s="4"/>
      <c r="H2277" s="4"/>
      <c r="I2277" s="4"/>
      <c r="J2277" s="4"/>
    </row>
    <row r="2278" spans="1:10" ht="15" customHeight="1" x14ac:dyDescent="0.2">
      <c r="A2278" s="4">
        <v>2277</v>
      </c>
      <c r="B2278" s="4">
        <v>1470</v>
      </c>
      <c r="C2278" s="4" t="s">
        <v>850</v>
      </c>
      <c r="D2278" s="4" t="s">
        <v>946</v>
      </c>
      <c r="E2278" s="4">
        <v>100</v>
      </c>
      <c r="F2278" s="4" t="s">
        <v>917</v>
      </c>
      <c r="G2278" s="4"/>
      <c r="H2278" s="4"/>
      <c r="I2278" s="4"/>
      <c r="J2278" s="4"/>
    </row>
    <row r="2279" spans="1:10" ht="15" customHeight="1" x14ac:dyDescent="0.2">
      <c r="A2279" s="4">
        <v>2278</v>
      </c>
      <c r="B2279" s="4">
        <v>1470</v>
      </c>
      <c r="C2279" s="4" t="s">
        <v>850</v>
      </c>
      <c r="D2279" s="4" t="s">
        <v>947</v>
      </c>
      <c r="E2279" s="4">
        <v>150</v>
      </c>
      <c r="F2279" s="4" t="s">
        <v>917</v>
      </c>
      <c r="G2279" s="4"/>
      <c r="H2279" s="4"/>
      <c r="I2279" s="4"/>
      <c r="J2279" s="4"/>
    </row>
    <row r="2280" spans="1:10" ht="15" customHeight="1" x14ac:dyDescent="0.2">
      <c r="A2280" s="4">
        <v>2279</v>
      </c>
      <c r="B2280" s="4">
        <v>1470</v>
      </c>
      <c r="C2280" s="4" t="s">
        <v>850</v>
      </c>
      <c r="D2280" s="4" t="s">
        <v>919</v>
      </c>
      <c r="E2280" s="4">
        <v>200</v>
      </c>
      <c r="F2280" s="4" t="s">
        <v>917</v>
      </c>
      <c r="G2280" s="4"/>
      <c r="H2280" s="4"/>
      <c r="I2280" s="4"/>
      <c r="J2280" s="4"/>
    </row>
    <row r="2281" spans="1:10" ht="27.75" customHeight="1" x14ac:dyDescent="0.2">
      <c r="A2281" s="4">
        <v>2280</v>
      </c>
      <c r="B2281" s="4">
        <v>1470</v>
      </c>
      <c r="C2281" s="4" t="s">
        <v>850</v>
      </c>
      <c r="D2281" s="4" t="s">
        <v>948</v>
      </c>
      <c r="E2281" s="4">
        <v>250</v>
      </c>
      <c r="F2281" s="4" t="s">
        <v>917</v>
      </c>
      <c r="G2281" s="4"/>
      <c r="H2281" s="4"/>
      <c r="I2281" s="4"/>
      <c r="J2281" s="4"/>
    </row>
    <row r="2282" spans="1:10" ht="15" customHeight="1" x14ac:dyDescent="0.2">
      <c r="A2282" s="4">
        <v>2281</v>
      </c>
      <c r="B2282" s="4">
        <v>1471</v>
      </c>
      <c r="C2282" s="4" t="s">
        <v>851</v>
      </c>
      <c r="D2282" s="4" t="s">
        <v>946</v>
      </c>
      <c r="E2282" s="4">
        <v>100</v>
      </c>
      <c r="F2282" s="4" t="s">
        <v>917</v>
      </c>
      <c r="G2282" s="4"/>
      <c r="H2282" s="4"/>
      <c r="I2282" s="4"/>
      <c r="J2282" s="4"/>
    </row>
    <row r="2283" spans="1:10" ht="15" customHeight="1" x14ac:dyDescent="0.2">
      <c r="A2283" s="4">
        <v>2282</v>
      </c>
      <c r="B2283" s="4">
        <v>1471</v>
      </c>
      <c r="C2283" s="4" t="s">
        <v>851</v>
      </c>
      <c r="D2283" s="4" t="s">
        <v>947</v>
      </c>
      <c r="E2283" s="4">
        <v>150</v>
      </c>
      <c r="F2283" s="4" t="s">
        <v>917</v>
      </c>
      <c r="G2283" s="4"/>
      <c r="H2283" s="4"/>
      <c r="I2283" s="4"/>
      <c r="J2283" s="4"/>
    </row>
    <row r="2284" spans="1:10" ht="15" customHeight="1" x14ac:dyDescent="0.2">
      <c r="A2284" s="4">
        <v>2283</v>
      </c>
      <c r="B2284" s="4">
        <v>1471</v>
      </c>
      <c r="C2284" s="4" t="s">
        <v>851</v>
      </c>
      <c r="D2284" s="4" t="s">
        <v>919</v>
      </c>
      <c r="E2284" s="4">
        <v>200</v>
      </c>
      <c r="F2284" s="4" t="s">
        <v>917</v>
      </c>
      <c r="G2284" s="4"/>
      <c r="H2284" s="4"/>
      <c r="I2284" s="4"/>
      <c r="J2284" s="4"/>
    </row>
    <row r="2285" spans="1:10" ht="27.75" customHeight="1" x14ac:dyDescent="0.2">
      <c r="A2285" s="4">
        <v>2284</v>
      </c>
      <c r="B2285" s="4">
        <v>1471</v>
      </c>
      <c r="C2285" s="4" t="s">
        <v>851</v>
      </c>
      <c r="D2285" s="4" t="s">
        <v>948</v>
      </c>
      <c r="E2285" s="4">
        <v>250</v>
      </c>
      <c r="F2285" s="4" t="s">
        <v>917</v>
      </c>
      <c r="G2285" s="4"/>
      <c r="H2285" s="4"/>
      <c r="I2285" s="4"/>
      <c r="J2285" s="4"/>
    </row>
    <row r="2286" spans="1:10" ht="15" customHeight="1" x14ac:dyDescent="0.2">
      <c r="A2286" s="4">
        <v>2285</v>
      </c>
      <c r="B2286" s="4">
        <v>1472</v>
      </c>
      <c r="C2286" s="4" t="s">
        <v>852</v>
      </c>
      <c r="D2286" s="4" t="s">
        <v>946</v>
      </c>
      <c r="E2286" s="4">
        <v>100</v>
      </c>
      <c r="F2286" s="4" t="s">
        <v>917</v>
      </c>
      <c r="G2286" s="4"/>
      <c r="H2286" s="4"/>
      <c r="I2286" s="4"/>
      <c r="J2286" s="4"/>
    </row>
    <row r="2287" spans="1:10" ht="15" customHeight="1" x14ac:dyDescent="0.2">
      <c r="A2287" s="4">
        <v>2286</v>
      </c>
      <c r="B2287" s="4">
        <v>1472</v>
      </c>
      <c r="C2287" s="4" t="s">
        <v>852</v>
      </c>
      <c r="D2287" s="4" t="s">
        <v>947</v>
      </c>
      <c r="E2287" s="4">
        <v>150</v>
      </c>
      <c r="F2287" s="4" t="s">
        <v>917</v>
      </c>
      <c r="G2287" s="4"/>
      <c r="H2287" s="4"/>
      <c r="I2287" s="4"/>
      <c r="J2287" s="4"/>
    </row>
    <row r="2288" spans="1:10" ht="15" customHeight="1" x14ac:dyDescent="0.2">
      <c r="A2288" s="4">
        <v>2287</v>
      </c>
      <c r="B2288" s="4">
        <v>1472</v>
      </c>
      <c r="C2288" s="4" t="s">
        <v>852</v>
      </c>
      <c r="D2288" s="4" t="s">
        <v>919</v>
      </c>
      <c r="E2288" s="4">
        <v>200</v>
      </c>
      <c r="F2288" s="4" t="s">
        <v>917</v>
      </c>
      <c r="G2288" s="4"/>
      <c r="H2288" s="4"/>
      <c r="I2288" s="4"/>
      <c r="J2288" s="4"/>
    </row>
    <row r="2289" spans="1:10" ht="27.75" customHeight="1" x14ac:dyDescent="0.2">
      <c r="A2289" s="4">
        <v>2288</v>
      </c>
      <c r="B2289" s="4">
        <v>1472</v>
      </c>
      <c r="C2289" s="4" t="s">
        <v>852</v>
      </c>
      <c r="D2289" s="4" t="s">
        <v>948</v>
      </c>
      <c r="E2289" s="4">
        <v>250</v>
      </c>
      <c r="F2289" s="4" t="s">
        <v>917</v>
      </c>
      <c r="G2289" s="4"/>
      <c r="H2289" s="4"/>
      <c r="I2289" s="4"/>
      <c r="J2289" s="4"/>
    </row>
    <row r="2290" spans="1:10" ht="15" customHeight="1" x14ac:dyDescent="0.2">
      <c r="A2290" s="4">
        <v>2289</v>
      </c>
      <c r="B2290" s="4">
        <v>1473</v>
      </c>
      <c r="C2290" s="4" t="s">
        <v>853</v>
      </c>
      <c r="D2290" s="4" t="s">
        <v>946</v>
      </c>
      <c r="E2290" s="4">
        <v>100</v>
      </c>
      <c r="F2290" s="4" t="s">
        <v>917</v>
      </c>
      <c r="G2290" s="4"/>
      <c r="H2290" s="4"/>
      <c r="I2290" s="4"/>
      <c r="J2290" s="4"/>
    </row>
    <row r="2291" spans="1:10" ht="15" customHeight="1" x14ac:dyDescent="0.2">
      <c r="A2291" s="4">
        <v>2290</v>
      </c>
      <c r="B2291" s="4">
        <v>1473</v>
      </c>
      <c r="C2291" s="4" t="s">
        <v>853</v>
      </c>
      <c r="D2291" s="4" t="s">
        <v>947</v>
      </c>
      <c r="E2291" s="4">
        <v>150</v>
      </c>
      <c r="F2291" s="4" t="s">
        <v>917</v>
      </c>
      <c r="G2291" s="4"/>
      <c r="H2291" s="4"/>
      <c r="I2291" s="4"/>
      <c r="J2291" s="4"/>
    </row>
    <row r="2292" spans="1:10" ht="15" customHeight="1" x14ac:dyDescent="0.2">
      <c r="A2292" s="4">
        <v>2291</v>
      </c>
      <c r="B2292" s="4">
        <v>1473</v>
      </c>
      <c r="C2292" s="4" t="s">
        <v>853</v>
      </c>
      <c r="D2292" s="4" t="s">
        <v>919</v>
      </c>
      <c r="E2292" s="4">
        <v>200</v>
      </c>
      <c r="F2292" s="4" t="s">
        <v>917</v>
      </c>
      <c r="G2292" s="4"/>
      <c r="H2292" s="4"/>
      <c r="I2292" s="4"/>
      <c r="J2292" s="4"/>
    </row>
    <row r="2293" spans="1:10" ht="27.75" customHeight="1" x14ac:dyDescent="0.2">
      <c r="A2293" s="4">
        <v>2292</v>
      </c>
      <c r="B2293" s="4">
        <v>1473</v>
      </c>
      <c r="C2293" s="4" t="s">
        <v>853</v>
      </c>
      <c r="D2293" s="4" t="s">
        <v>948</v>
      </c>
      <c r="E2293" s="4">
        <v>250</v>
      </c>
      <c r="F2293" s="4" t="s">
        <v>917</v>
      </c>
      <c r="G2293" s="4"/>
      <c r="H2293" s="4"/>
      <c r="I2293" s="4"/>
      <c r="J2293" s="4"/>
    </row>
    <row r="2294" spans="1:10" ht="15" customHeight="1" x14ac:dyDescent="0.2">
      <c r="A2294" s="4">
        <v>2293</v>
      </c>
      <c r="B2294" s="4">
        <v>1474</v>
      </c>
      <c r="C2294" s="4" t="s">
        <v>854</v>
      </c>
      <c r="D2294" s="4" t="s">
        <v>946</v>
      </c>
      <c r="E2294" s="4">
        <v>100</v>
      </c>
      <c r="F2294" s="4" t="s">
        <v>917</v>
      </c>
      <c r="G2294" s="4"/>
      <c r="H2294" s="4"/>
      <c r="I2294" s="4"/>
      <c r="J2294" s="4"/>
    </row>
    <row r="2295" spans="1:10" ht="15" customHeight="1" x14ac:dyDescent="0.2">
      <c r="A2295" s="4">
        <v>2294</v>
      </c>
      <c r="B2295" s="4">
        <v>1474</v>
      </c>
      <c r="C2295" s="4" t="s">
        <v>854</v>
      </c>
      <c r="D2295" s="4" t="s">
        <v>947</v>
      </c>
      <c r="E2295" s="4">
        <v>150</v>
      </c>
      <c r="F2295" s="4" t="s">
        <v>917</v>
      </c>
      <c r="G2295" s="4"/>
      <c r="H2295" s="4"/>
      <c r="I2295" s="4"/>
      <c r="J2295" s="4"/>
    </row>
    <row r="2296" spans="1:10" ht="15" customHeight="1" x14ac:dyDescent="0.2">
      <c r="A2296" s="4">
        <v>2295</v>
      </c>
      <c r="B2296" s="4">
        <v>1474</v>
      </c>
      <c r="C2296" s="4" t="s">
        <v>854</v>
      </c>
      <c r="D2296" s="4" t="s">
        <v>919</v>
      </c>
      <c r="E2296" s="4">
        <v>200</v>
      </c>
      <c r="F2296" s="4" t="s">
        <v>917</v>
      </c>
      <c r="G2296" s="4"/>
      <c r="H2296" s="4"/>
      <c r="I2296" s="4"/>
      <c r="J2296" s="4"/>
    </row>
    <row r="2297" spans="1:10" ht="27.75" customHeight="1" x14ac:dyDescent="0.2">
      <c r="A2297" s="4">
        <v>2296</v>
      </c>
      <c r="B2297" s="4">
        <v>1474</v>
      </c>
      <c r="C2297" s="4" t="s">
        <v>854</v>
      </c>
      <c r="D2297" s="4" t="s">
        <v>948</v>
      </c>
      <c r="E2297" s="4">
        <v>250</v>
      </c>
      <c r="F2297" s="4" t="s">
        <v>917</v>
      </c>
      <c r="G2297" s="4"/>
      <c r="H2297" s="4"/>
      <c r="I2297" s="4"/>
      <c r="J2297" s="4"/>
    </row>
    <row r="2298" spans="1:10" ht="15" customHeight="1" x14ac:dyDescent="0.2">
      <c r="A2298" s="4">
        <v>2297</v>
      </c>
      <c r="B2298" s="4">
        <v>1475</v>
      </c>
      <c r="C2298" s="4" t="s">
        <v>855</v>
      </c>
      <c r="D2298" s="4" t="s">
        <v>946</v>
      </c>
      <c r="E2298" s="4">
        <v>100</v>
      </c>
      <c r="F2298" s="4" t="s">
        <v>917</v>
      </c>
      <c r="G2298" s="4"/>
      <c r="H2298" s="4"/>
      <c r="I2298" s="4"/>
      <c r="J2298" s="4"/>
    </row>
    <row r="2299" spans="1:10" ht="15" customHeight="1" x14ac:dyDescent="0.2">
      <c r="A2299" s="4">
        <v>2298</v>
      </c>
      <c r="B2299" s="4">
        <v>1475</v>
      </c>
      <c r="C2299" s="4" t="s">
        <v>855</v>
      </c>
      <c r="D2299" s="4" t="s">
        <v>947</v>
      </c>
      <c r="E2299" s="4">
        <v>150</v>
      </c>
      <c r="F2299" s="4" t="s">
        <v>917</v>
      </c>
      <c r="G2299" s="4"/>
      <c r="H2299" s="4"/>
      <c r="I2299" s="4"/>
      <c r="J2299" s="4"/>
    </row>
    <row r="2300" spans="1:10" ht="15" customHeight="1" x14ac:dyDescent="0.2">
      <c r="A2300" s="4">
        <v>2299</v>
      </c>
      <c r="B2300" s="4">
        <v>1475</v>
      </c>
      <c r="C2300" s="4" t="s">
        <v>855</v>
      </c>
      <c r="D2300" s="4" t="s">
        <v>919</v>
      </c>
      <c r="E2300" s="4">
        <v>200</v>
      </c>
      <c r="F2300" s="4" t="s">
        <v>917</v>
      </c>
      <c r="G2300" s="4"/>
      <c r="H2300" s="4"/>
      <c r="I2300" s="4"/>
      <c r="J2300" s="4"/>
    </row>
    <row r="2301" spans="1:10" ht="27.75" customHeight="1" x14ac:dyDescent="0.2">
      <c r="A2301" s="4">
        <v>2300</v>
      </c>
      <c r="B2301" s="4">
        <v>1475</v>
      </c>
      <c r="C2301" s="4" t="s">
        <v>855</v>
      </c>
      <c r="D2301" s="4" t="s">
        <v>948</v>
      </c>
      <c r="E2301" s="4">
        <v>250</v>
      </c>
      <c r="F2301" s="4" t="s">
        <v>917</v>
      </c>
      <c r="G2301" s="4"/>
      <c r="H2301" s="4"/>
      <c r="I2301" s="4"/>
      <c r="J2301" s="4"/>
    </row>
    <row r="2302" spans="1:10" ht="15" customHeight="1" x14ac:dyDescent="0.2">
      <c r="A2302" s="4">
        <v>2301</v>
      </c>
      <c r="B2302" s="4">
        <v>1476</v>
      </c>
      <c r="C2302" s="4" t="s">
        <v>856</v>
      </c>
      <c r="D2302" s="4" t="s">
        <v>946</v>
      </c>
      <c r="E2302" s="4">
        <v>100</v>
      </c>
      <c r="F2302" s="4" t="s">
        <v>917</v>
      </c>
      <c r="G2302" s="4"/>
      <c r="H2302" s="4"/>
      <c r="I2302" s="4"/>
      <c r="J2302" s="4"/>
    </row>
    <row r="2303" spans="1:10" ht="15" customHeight="1" x14ac:dyDescent="0.2">
      <c r="A2303" s="4">
        <v>2302</v>
      </c>
      <c r="B2303" s="4">
        <v>1476</v>
      </c>
      <c r="C2303" s="4" t="s">
        <v>856</v>
      </c>
      <c r="D2303" s="4" t="s">
        <v>947</v>
      </c>
      <c r="E2303" s="4">
        <v>150</v>
      </c>
      <c r="F2303" s="4" t="s">
        <v>917</v>
      </c>
      <c r="G2303" s="4"/>
      <c r="H2303" s="4"/>
      <c r="I2303" s="4"/>
      <c r="J2303" s="4"/>
    </row>
    <row r="2304" spans="1:10" ht="15" customHeight="1" x14ac:dyDescent="0.2">
      <c r="A2304" s="4">
        <v>2303</v>
      </c>
      <c r="B2304" s="4">
        <v>1476</v>
      </c>
      <c r="C2304" s="4" t="s">
        <v>856</v>
      </c>
      <c r="D2304" s="4" t="s">
        <v>919</v>
      </c>
      <c r="E2304" s="4">
        <v>200</v>
      </c>
      <c r="F2304" s="4" t="s">
        <v>917</v>
      </c>
      <c r="G2304" s="4"/>
      <c r="H2304" s="4"/>
      <c r="I2304" s="4"/>
      <c r="J2304" s="4"/>
    </row>
    <row r="2305" spans="1:10" ht="27.75" customHeight="1" x14ac:dyDescent="0.2">
      <c r="A2305" s="4">
        <v>2304</v>
      </c>
      <c r="B2305" s="4">
        <v>1476</v>
      </c>
      <c r="C2305" s="4" t="s">
        <v>856</v>
      </c>
      <c r="D2305" s="4" t="s">
        <v>948</v>
      </c>
      <c r="E2305" s="4">
        <v>250</v>
      </c>
      <c r="F2305" s="4" t="s">
        <v>917</v>
      </c>
      <c r="G2305" s="4"/>
      <c r="H2305" s="4"/>
      <c r="I2305" s="4"/>
      <c r="J2305" s="4"/>
    </row>
    <row r="2306" spans="1:10" ht="15" customHeight="1" x14ac:dyDescent="0.2">
      <c r="A2306" s="4">
        <v>2305</v>
      </c>
      <c r="B2306" s="4">
        <v>1477</v>
      </c>
      <c r="C2306" s="4" t="s">
        <v>857</v>
      </c>
      <c r="D2306" s="4" t="s">
        <v>946</v>
      </c>
      <c r="E2306" s="4">
        <v>100</v>
      </c>
      <c r="F2306" s="4" t="s">
        <v>917</v>
      </c>
      <c r="G2306" s="4"/>
      <c r="H2306" s="4"/>
      <c r="I2306" s="4"/>
      <c r="J2306" s="4"/>
    </row>
    <row r="2307" spans="1:10" ht="15" customHeight="1" x14ac:dyDescent="0.2">
      <c r="A2307" s="4">
        <v>2306</v>
      </c>
      <c r="B2307" s="4">
        <v>1477</v>
      </c>
      <c r="C2307" s="4" t="s">
        <v>857</v>
      </c>
      <c r="D2307" s="4" t="s">
        <v>947</v>
      </c>
      <c r="E2307" s="4">
        <v>150</v>
      </c>
      <c r="F2307" s="4" t="s">
        <v>917</v>
      </c>
      <c r="G2307" s="4"/>
      <c r="H2307" s="4"/>
      <c r="I2307" s="4"/>
      <c r="J2307" s="4"/>
    </row>
    <row r="2308" spans="1:10" ht="15" customHeight="1" x14ac:dyDescent="0.2">
      <c r="A2308" s="4">
        <v>2307</v>
      </c>
      <c r="B2308" s="4">
        <v>1477</v>
      </c>
      <c r="C2308" s="4" t="s">
        <v>857</v>
      </c>
      <c r="D2308" s="4" t="s">
        <v>919</v>
      </c>
      <c r="E2308" s="4">
        <v>200</v>
      </c>
      <c r="F2308" s="4" t="s">
        <v>917</v>
      </c>
      <c r="G2308" s="4"/>
      <c r="H2308" s="4"/>
      <c r="I2308" s="4"/>
      <c r="J2308" s="4"/>
    </row>
    <row r="2309" spans="1:10" ht="27.75" customHeight="1" x14ac:dyDescent="0.2">
      <c r="A2309" s="4">
        <v>2308</v>
      </c>
      <c r="B2309" s="4">
        <v>1477</v>
      </c>
      <c r="C2309" s="4" t="s">
        <v>857</v>
      </c>
      <c r="D2309" s="4" t="s">
        <v>948</v>
      </c>
      <c r="E2309" s="4">
        <v>250</v>
      </c>
      <c r="F2309" s="4" t="s">
        <v>917</v>
      </c>
      <c r="G2309" s="4"/>
      <c r="H2309" s="4"/>
      <c r="I2309" s="4"/>
      <c r="J2309" s="4"/>
    </row>
    <row r="2310" spans="1:10" ht="15" customHeight="1" x14ac:dyDescent="0.2">
      <c r="A2310" s="4">
        <v>2309</v>
      </c>
      <c r="B2310" s="4">
        <v>1478</v>
      </c>
      <c r="C2310" s="4" t="s">
        <v>858</v>
      </c>
      <c r="D2310" s="4" t="s">
        <v>946</v>
      </c>
      <c r="E2310" s="4">
        <v>100</v>
      </c>
      <c r="F2310" s="4" t="s">
        <v>917</v>
      </c>
      <c r="G2310" s="4"/>
      <c r="H2310" s="4"/>
      <c r="I2310" s="4"/>
      <c r="J2310" s="4"/>
    </row>
    <row r="2311" spans="1:10" ht="15" customHeight="1" x14ac:dyDescent="0.2">
      <c r="A2311" s="4">
        <v>2310</v>
      </c>
      <c r="B2311" s="4">
        <v>1478</v>
      </c>
      <c r="C2311" s="4" t="s">
        <v>858</v>
      </c>
      <c r="D2311" s="4" t="s">
        <v>947</v>
      </c>
      <c r="E2311" s="4">
        <v>150</v>
      </c>
      <c r="F2311" s="4" t="s">
        <v>917</v>
      </c>
      <c r="G2311" s="4"/>
      <c r="H2311" s="4"/>
      <c r="I2311" s="4"/>
      <c r="J2311" s="4"/>
    </row>
    <row r="2312" spans="1:10" ht="15" customHeight="1" x14ac:dyDescent="0.2">
      <c r="A2312" s="4">
        <v>2311</v>
      </c>
      <c r="B2312" s="4">
        <v>1478</v>
      </c>
      <c r="C2312" s="4" t="s">
        <v>858</v>
      </c>
      <c r="D2312" s="4" t="s">
        <v>919</v>
      </c>
      <c r="E2312" s="4">
        <v>200</v>
      </c>
      <c r="F2312" s="4" t="s">
        <v>917</v>
      </c>
      <c r="G2312" s="4"/>
      <c r="H2312" s="4"/>
      <c r="I2312" s="4"/>
      <c r="J2312" s="4"/>
    </row>
    <row r="2313" spans="1:10" ht="27.75" customHeight="1" x14ac:dyDescent="0.2">
      <c r="A2313" s="4">
        <v>2312</v>
      </c>
      <c r="B2313" s="4">
        <v>1478</v>
      </c>
      <c r="C2313" s="4" t="s">
        <v>858</v>
      </c>
      <c r="D2313" s="4" t="s">
        <v>948</v>
      </c>
      <c r="E2313" s="4">
        <v>250</v>
      </c>
      <c r="F2313" s="4" t="s">
        <v>917</v>
      </c>
      <c r="G2313" s="4"/>
      <c r="H2313" s="4"/>
      <c r="I2313" s="4"/>
      <c r="J2313" s="4"/>
    </row>
    <row r="2314" spans="1:10" ht="15" customHeight="1" x14ac:dyDescent="0.2">
      <c r="A2314" s="4">
        <v>2313</v>
      </c>
      <c r="B2314" s="4">
        <v>1479</v>
      </c>
      <c r="C2314" s="4" t="s">
        <v>859</v>
      </c>
      <c r="D2314" s="4" t="s">
        <v>946</v>
      </c>
      <c r="E2314" s="4">
        <v>100</v>
      </c>
      <c r="F2314" s="4" t="s">
        <v>917</v>
      </c>
      <c r="G2314" s="4"/>
      <c r="H2314" s="4"/>
      <c r="I2314" s="4"/>
      <c r="J2314" s="4"/>
    </row>
    <row r="2315" spans="1:10" ht="15" customHeight="1" x14ac:dyDescent="0.2">
      <c r="A2315" s="4">
        <v>2314</v>
      </c>
      <c r="B2315" s="4">
        <v>1479</v>
      </c>
      <c r="C2315" s="4" t="s">
        <v>859</v>
      </c>
      <c r="D2315" s="4" t="s">
        <v>947</v>
      </c>
      <c r="E2315" s="4">
        <v>150</v>
      </c>
      <c r="F2315" s="4" t="s">
        <v>917</v>
      </c>
      <c r="G2315" s="4"/>
      <c r="H2315" s="4"/>
      <c r="I2315" s="4"/>
      <c r="J2315" s="4"/>
    </row>
    <row r="2316" spans="1:10" ht="15" customHeight="1" x14ac:dyDescent="0.2">
      <c r="A2316" s="4">
        <v>2315</v>
      </c>
      <c r="B2316" s="4">
        <v>1479</v>
      </c>
      <c r="C2316" s="4" t="s">
        <v>859</v>
      </c>
      <c r="D2316" s="4" t="s">
        <v>919</v>
      </c>
      <c r="E2316" s="4">
        <v>200</v>
      </c>
      <c r="F2316" s="4" t="s">
        <v>917</v>
      </c>
      <c r="G2316" s="4"/>
      <c r="H2316" s="4"/>
      <c r="I2316" s="4"/>
      <c r="J2316" s="4"/>
    </row>
    <row r="2317" spans="1:10" ht="27.75" customHeight="1" x14ac:dyDescent="0.2">
      <c r="A2317" s="4">
        <v>2316</v>
      </c>
      <c r="B2317" s="4">
        <v>1479</v>
      </c>
      <c r="C2317" s="4" t="s">
        <v>859</v>
      </c>
      <c r="D2317" s="4" t="s">
        <v>948</v>
      </c>
      <c r="E2317" s="4">
        <v>250</v>
      </c>
      <c r="F2317" s="4" t="s">
        <v>917</v>
      </c>
      <c r="G2317" s="4"/>
      <c r="H2317" s="4"/>
      <c r="I2317" s="4"/>
      <c r="J2317" s="4"/>
    </row>
    <row r="2318" spans="1:10" ht="15" customHeight="1" x14ac:dyDescent="0.2">
      <c r="A2318" s="4">
        <v>2317</v>
      </c>
      <c r="B2318" s="4">
        <v>1480</v>
      </c>
      <c r="C2318" s="4" t="s">
        <v>860</v>
      </c>
      <c r="D2318" s="4" t="s">
        <v>946</v>
      </c>
      <c r="E2318" s="4">
        <v>100</v>
      </c>
      <c r="F2318" s="4" t="s">
        <v>917</v>
      </c>
      <c r="G2318" s="4"/>
      <c r="H2318" s="4"/>
      <c r="I2318" s="4"/>
      <c r="J2318" s="4"/>
    </row>
    <row r="2319" spans="1:10" ht="15" customHeight="1" x14ac:dyDescent="0.2">
      <c r="A2319" s="4">
        <v>2318</v>
      </c>
      <c r="B2319" s="4">
        <v>1480</v>
      </c>
      <c r="C2319" s="4" t="s">
        <v>860</v>
      </c>
      <c r="D2319" s="4" t="s">
        <v>947</v>
      </c>
      <c r="E2319" s="4">
        <v>150</v>
      </c>
      <c r="F2319" s="4" t="s">
        <v>917</v>
      </c>
      <c r="G2319" s="4"/>
      <c r="H2319" s="4"/>
      <c r="I2319" s="4"/>
      <c r="J2319" s="4"/>
    </row>
    <row r="2320" spans="1:10" ht="15" customHeight="1" x14ac:dyDescent="0.2">
      <c r="A2320" s="4">
        <v>2319</v>
      </c>
      <c r="B2320" s="4">
        <v>1480</v>
      </c>
      <c r="C2320" s="4" t="s">
        <v>860</v>
      </c>
      <c r="D2320" s="4" t="s">
        <v>919</v>
      </c>
      <c r="E2320" s="4">
        <v>200</v>
      </c>
      <c r="F2320" s="4" t="s">
        <v>917</v>
      </c>
      <c r="G2320" s="4"/>
      <c r="H2320" s="4"/>
      <c r="I2320" s="4"/>
      <c r="J2320" s="4"/>
    </row>
    <row r="2321" spans="1:10" ht="27.75" customHeight="1" x14ac:dyDescent="0.2">
      <c r="A2321" s="4">
        <v>2320</v>
      </c>
      <c r="B2321" s="4">
        <v>1480</v>
      </c>
      <c r="C2321" s="4" t="s">
        <v>860</v>
      </c>
      <c r="D2321" s="4" t="s">
        <v>948</v>
      </c>
      <c r="E2321" s="4">
        <v>250</v>
      </c>
      <c r="F2321" s="4" t="s">
        <v>917</v>
      </c>
      <c r="G2321" s="4"/>
      <c r="H2321" s="4"/>
      <c r="I2321" s="4"/>
      <c r="J2321" s="4"/>
    </row>
    <row r="2322" spans="1:10" ht="15" customHeight="1" x14ac:dyDescent="0.2">
      <c r="A2322" s="4">
        <v>2321</v>
      </c>
      <c r="B2322" s="4">
        <v>1481</v>
      </c>
      <c r="C2322" s="4" t="s">
        <v>861</v>
      </c>
      <c r="D2322" s="4" t="s">
        <v>946</v>
      </c>
      <c r="E2322" s="4">
        <v>100</v>
      </c>
      <c r="F2322" s="4" t="s">
        <v>917</v>
      </c>
      <c r="G2322" s="4"/>
      <c r="H2322" s="4"/>
      <c r="I2322" s="4"/>
      <c r="J2322" s="4"/>
    </row>
    <row r="2323" spans="1:10" ht="15" customHeight="1" x14ac:dyDescent="0.2">
      <c r="A2323" s="4">
        <v>2322</v>
      </c>
      <c r="B2323" s="4">
        <v>1481</v>
      </c>
      <c r="C2323" s="4" t="s">
        <v>861</v>
      </c>
      <c r="D2323" s="4" t="s">
        <v>947</v>
      </c>
      <c r="E2323" s="4">
        <v>150</v>
      </c>
      <c r="F2323" s="4" t="s">
        <v>917</v>
      </c>
      <c r="G2323" s="4"/>
      <c r="H2323" s="4"/>
      <c r="I2323" s="4"/>
      <c r="J2323" s="4"/>
    </row>
    <row r="2324" spans="1:10" ht="15" customHeight="1" x14ac:dyDescent="0.2">
      <c r="A2324" s="4">
        <v>2323</v>
      </c>
      <c r="B2324" s="4">
        <v>1481</v>
      </c>
      <c r="C2324" s="4" t="s">
        <v>861</v>
      </c>
      <c r="D2324" s="4" t="s">
        <v>919</v>
      </c>
      <c r="E2324" s="4">
        <v>200</v>
      </c>
      <c r="F2324" s="4" t="s">
        <v>917</v>
      </c>
      <c r="G2324" s="4"/>
      <c r="H2324" s="4"/>
      <c r="I2324" s="4"/>
      <c r="J2324" s="4"/>
    </row>
    <row r="2325" spans="1:10" ht="27.75" customHeight="1" x14ac:dyDescent="0.2">
      <c r="A2325" s="4">
        <v>2324</v>
      </c>
      <c r="B2325" s="4">
        <v>1481</v>
      </c>
      <c r="C2325" s="4" t="s">
        <v>861</v>
      </c>
      <c r="D2325" s="4" t="s">
        <v>948</v>
      </c>
      <c r="E2325" s="4">
        <v>250</v>
      </c>
      <c r="F2325" s="4" t="s">
        <v>917</v>
      </c>
      <c r="G2325" s="4"/>
      <c r="H2325" s="4"/>
      <c r="I2325" s="4"/>
      <c r="J2325" s="4"/>
    </row>
    <row r="2326" spans="1:10" ht="15" customHeight="1" x14ac:dyDescent="0.2">
      <c r="A2326" s="4">
        <v>2325</v>
      </c>
      <c r="B2326" s="4">
        <v>1482</v>
      </c>
      <c r="C2326" s="4" t="s">
        <v>862</v>
      </c>
      <c r="D2326" s="4" t="s">
        <v>946</v>
      </c>
      <c r="E2326" s="4">
        <v>100</v>
      </c>
      <c r="F2326" s="4" t="s">
        <v>917</v>
      </c>
      <c r="G2326" s="4"/>
      <c r="H2326" s="4"/>
      <c r="I2326" s="4"/>
      <c r="J2326" s="4"/>
    </row>
    <row r="2327" spans="1:10" ht="15" customHeight="1" x14ac:dyDescent="0.2">
      <c r="A2327" s="4">
        <v>2326</v>
      </c>
      <c r="B2327" s="4">
        <v>1482</v>
      </c>
      <c r="C2327" s="4" t="s">
        <v>862</v>
      </c>
      <c r="D2327" s="4" t="s">
        <v>947</v>
      </c>
      <c r="E2327" s="4">
        <v>150</v>
      </c>
      <c r="F2327" s="4" t="s">
        <v>917</v>
      </c>
      <c r="G2327" s="4"/>
      <c r="H2327" s="4"/>
      <c r="I2327" s="4"/>
      <c r="J2327" s="4"/>
    </row>
    <row r="2328" spans="1:10" ht="15" customHeight="1" x14ac:dyDescent="0.2">
      <c r="A2328" s="4">
        <v>2327</v>
      </c>
      <c r="B2328" s="4">
        <v>1482</v>
      </c>
      <c r="C2328" s="4" t="s">
        <v>862</v>
      </c>
      <c r="D2328" s="4" t="s">
        <v>919</v>
      </c>
      <c r="E2328" s="4">
        <v>200</v>
      </c>
      <c r="F2328" s="4" t="s">
        <v>917</v>
      </c>
      <c r="G2328" s="4"/>
      <c r="H2328" s="4"/>
      <c r="I2328" s="4"/>
      <c r="J2328" s="4"/>
    </row>
    <row r="2329" spans="1:10" ht="27.75" customHeight="1" x14ac:dyDescent="0.2">
      <c r="A2329" s="4">
        <v>2328</v>
      </c>
      <c r="B2329" s="4">
        <v>1482</v>
      </c>
      <c r="C2329" s="4" t="s">
        <v>862</v>
      </c>
      <c r="D2329" s="4" t="s">
        <v>948</v>
      </c>
      <c r="E2329" s="4">
        <v>250</v>
      </c>
      <c r="F2329" s="4" t="s">
        <v>917</v>
      </c>
      <c r="G2329" s="4"/>
      <c r="H2329" s="4"/>
      <c r="I2329" s="4"/>
      <c r="J2329" s="4"/>
    </row>
    <row r="2330" spans="1:10" ht="15" customHeight="1" x14ac:dyDescent="0.2">
      <c r="A2330" s="4">
        <v>2329</v>
      </c>
      <c r="B2330" s="4">
        <v>1483</v>
      </c>
      <c r="C2330" s="4" t="s">
        <v>863</v>
      </c>
      <c r="D2330" s="4" t="s">
        <v>916</v>
      </c>
      <c r="E2330" s="4">
        <v>100</v>
      </c>
      <c r="F2330" s="4" t="s">
        <v>917</v>
      </c>
      <c r="G2330" s="4"/>
      <c r="H2330" s="4"/>
      <c r="I2330" s="4"/>
      <c r="J2330" s="4"/>
    </row>
    <row r="2331" spans="1:10" ht="15" customHeight="1" x14ac:dyDescent="0.2">
      <c r="A2331" s="4">
        <v>2330</v>
      </c>
      <c r="B2331" s="4">
        <v>1483</v>
      </c>
      <c r="C2331" s="4" t="s">
        <v>863</v>
      </c>
      <c r="D2331" s="4" t="s">
        <v>918</v>
      </c>
      <c r="E2331" s="4">
        <v>150</v>
      </c>
      <c r="F2331" s="4" t="s">
        <v>917</v>
      </c>
      <c r="G2331" s="4"/>
      <c r="H2331" s="4"/>
      <c r="I2331" s="4"/>
      <c r="J2331" s="4"/>
    </row>
    <row r="2332" spans="1:10" ht="15" customHeight="1" x14ac:dyDescent="0.2">
      <c r="A2332" s="4">
        <v>2331</v>
      </c>
      <c r="B2332" s="4">
        <v>1483</v>
      </c>
      <c r="C2332" s="4" t="s">
        <v>863</v>
      </c>
      <c r="D2332" s="4" t="s">
        <v>919</v>
      </c>
      <c r="E2332" s="4">
        <v>200</v>
      </c>
      <c r="F2332" s="4" t="s">
        <v>917</v>
      </c>
      <c r="G2332" s="4"/>
      <c r="H2332" s="4"/>
      <c r="I2332" s="4"/>
      <c r="J2332" s="4"/>
    </row>
    <row r="2333" spans="1:10" ht="15" customHeight="1" x14ac:dyDescent="0.2">
      <c r="A2333" s="4">
        <v>2332</v>
      </c>
      <c r="B2333" s="4">
        <v>1483</v>
      </c>
      <c r="C2333" s="4" t="s">
        <v>863</v>
      </c>
      <c r="D2333" s="4" t="s">
        <v>949</v>
      </c>
      <c r="E2333" s="4">
        <v>250</v>
      </c>
      <c r="F2333" s="4" t="s">
        <v>917</v>
      </c>
      <c r="G2333" s="4"/>
      <c r="H2333" s="4"/>
      <c r="I2333" s="4"/>
      <c r="J2333" s="4"/>
    </row>
    <row r="2334" spans="1:10" ht="15" customHeight="1" x14ac:dyDescent="0.2">
      <c r="A2334" s="4">
        <v>2333</v>
      </c>
      <c r="B2334" s="4">
        <v>1484</v>
      </c>
      <c r="C2334" s="4" t="s">
        <v>865</v>
      </c>
      <c r="D2334" s="4" t="s">
        <v>916</v>
      </c>
      <c r="E2334" s="4">
        <v>100</v>
      </c>
      <c r="F2334" s="4" t="s">
        <v>917</v>
      </c>
      <c r="G2334" s="4"/>
      <c r="H2334" s="4"/>
      <c r="I2334" s="4"/>
      <c r="J2334" s="4"/>
    </row>
    <row r="2335" spans="1:10" ht="15" customHeight="1" x14ac:dyDescent="0.2">
      <c r="A2335" s="4">
        <v>2334</v>
      </c>
      <c r="B2335" s="4">
        <v>1484</v>
      </c>
      <c r="C2335" s="4" t="s">
        <v>865</v>
      </c>
      <c r="D2335" s="4" t="s">
        <v>918</v>
      </c>
      <c r="E2335" s="4">
        <v>150</v>
      </c>
      <c r="F2335" s="4" t="s">
        <v>917</v>
      </c>
      <c r="G2335" s="4"/>
      <c r="H2335" s="4"/>
      <c r="I2335" s="4"/>
      <c r="J2335" s="4"/>
    </row>
    <row r="2336" spans="1:10" ht="15" customHeight="1" x14ac:dyDescent="0.2">
      <c r="A2336" s="4">
        <v>2335</v>
      </c>
      <c r="B2336" s="4">
        <v>1484</v>
      </c>
      <c r="C2336" s="4" t="s">
        <v>865</v>
      </c>
      <c r="D2336" s="4" t="s">
        <v>919</v>
      </c>
      <c r="E2336" s="4">
        <v>200</v>
      </c>
      <c r="F2336" s="4" t="s">
        <v>917</v>
      </c>
      <c r="G2336" s="4"/>
      <c r="H2336" s="4"/>
      <c r="I2336" s="4"/>
      <c r="J2336" s="4"/>
    </row>
    <row r="2337" spans="1:10" ht="15" customHeight="1" x14ac:dyDescent="0.2">
      <c r="A2337" s="4">
        <v>2336</v>
      </c>
      <c r="B2337" s="4">
        <v>1484</v>
      </c>
      <c r="C2337" s="4" t="s">
        <v>865</v>
      </c>
      <c r="D2337" s="4" t="s">
        <v>949</v>
      </c>
      <c r="E2337" s="4">
        <v>250</v>
      </c>
      <c r="F2337" s="4" t="s">
        <v>917</v>
      </c>
      <c r="G2337" s="4"/>
      <c r="H2337" s="4"/>
      <c r="I2337" s="4"/>
      <c r="J2337" s="4"/>
    </row>
    <row r="2338" spans="1:10" ht="15" customHeight="1" x14ac:dyDescent="0.2">
      <c r="A2338" s="4">
        <v>2337</v>
      </c>
      <c r="B2338" s="4">
        <v>1485</v>
      </c>
      <c r="C2338" s="4" t="s">
        <v>866</v>
      </c>
      <c r="D2338" s="4" t="s">
        <v>916</v>
      </c>
      <c r="E2338" s="4">
        <v>100</v>
      </c>
      <c r="F2338" s="4" t="s">
        <v>917</v>
      </c>
      <c r="G2338" s="4"/>
      <c r="H2338" s="4"/>
      <c r="I2338" s="4"/>
      <c r="J2338" s="4"/>
    </row>
    <row r="2339" spans="1:10" ht="15" customHeight="1" x14ac:dyDescent="0.2">
      <c r="A2339" s="4">
        <v>2338</v>
      </c>
      <c r="B2339" s="4">
        <v>1485</v>
      </c>
      <c r="C2339" s="4" t="s">
        <v>866</v>
      </c>
      <c r="D2339" s="4" t="s">
        <v>918</v>
      </c>
      <c r="E2339" s="4">
        <v>150</v>
      </c>
      <c r="F2339" s="4" t="s">
        <v>917</v>
      </c>
      <c r="G2339" s="4"/>
      <c r="H2339" s="4"/>
      <c r="I2339" s="4"/>
      <c r="J2339" s="4"/>
    </row>
    <row r="2340" spans="1:10" ht="15" customHeight="1" x14ac:dyDescent="0.2">
      <c r="A2340" s="4">
        <v>2339</v>
      </c>
      <c r="B2340" s="4">
        <v>1485</v>
      </c>
      <c r="C2340" s="4" t="s">
        <v>866</v>
      </c>
      <c r="D2340" s="4" t="s">
        <v>919</v>
      </c>
      <c r="E2340" s="4">
        <v>200</v>
      </c>
      <c r="F2340" s="4" t="s">
        <v>917</v>
      </c>
      <c r="G2340" s="4"/>
      <c r="H2340" s="4"/>
      <c r="I2340" s="4"/>
      <c r="J2340" s="4"/>
    </row>
    <row r="2341" spans="1:10" ht="15" customHeight="1" x14ac:dyDescent="0.2">
      <c r="A2341" s="4">
        <v>2340</v>
      </c>
      <c r="B2341" s="4">
        <v>1485</v>
      </c>
      <c r="C2341" s="4" t="s">
        <v>866</v>
      </c>
      <c r="D2341" s="4" t="s">
        <v>949</v>
      </c>
      <c r="E2341" s="4">
        <v>250</v>
      </c>
      <c r="F2341" s="4" t="s">
        <v>917</v>
      </c>
      <c r="G2341" s="4"/>
      <c r="H2341" s="4"/>
      <c r="I2341" s="4"/>
      <c r="J2341" s="4"/>
    </row>
    <row r="2342" spans="1:10" ht="15" customHeight="1" x14ac:dyDescent="0.2">
      <c r="A2342" s="4">
        <v>2341</v>
      </c>
      <c r="B2342" s="4">
        <v>1486</v>
      </c>
      <c r="C2342" s="4" t="s">
        <v>867</v>
      </c>
      <c r="D2342" s="4" t="s">
        <v>916</v>
      </c>
      <c r="E2342" s="4">
        <v>100</v>
      </c>
      <c r="F2342" s="4" t="s">
        <v>917</v>
      </c>
      <c r="G2342" s="4"/>
      <c r="H2342" s="4"/>
      <c r="I2342" s="4"/>
      <c r="J2342" s="4"/>
    </row>
    <row r="2343" spans="1:10" ht="15" customHeight="1" x14ac:dyDescent="0.2">
      <c r="A2343" s="4">
        <v>2342</v>
      </c>
      <c r="B2343" s="4">
        <v>1486</v>
      </c>
      <c r="C2343" s="4" t="s">
        <v>867</v>
      </c>
      <c r="D2343" s="4" t="s">
        <v>918</v>
      </c>
      <c r="E2343" s="4">
        <v>150</v>
      </c>
      <c r="F2343" s="4" t="s">
        <v>917</v>
      </c>
      <c r="G2343" s="4"/>
      <c r="H2343" s="4"/>
      <c r="I2343" s="4"/>
      <c r="J2343" s="4"/>
    </row>
    <row r="2344" spans="1:10" ht="15" customHeight="1" x14ac:dyDescent="0.2">
      <c r="A2344" s="4">
        <v>2343</v>
      </c>
      <c r="B2344" s="4">
        <v>1486</v>
      </c>
      <c r="C2344" s="4" t="s">
        <v>867</v>
      </c>
      <c r="D2344" s="4" t="s">
        <v>919</v>
      </c>
      <c r="E2344" s="4">
        <v>200</v>
      </c>
      <c r="F2344" s="4" t="s">
        <v>917</v>
      </c>
      <c r="G2344" s="4"/>
      <c r="H2344" s="4"/>
      <c r="I2344" s="4"/>
      <c r="J2344" s="4"/>
    </row>
    <row r="2345" spans="1:10" ht="15" customHeight="1" x14ac:dyDescent="0.2">
      <c r="A2345" s="4">
        <v>2344</v>
      </c>
      <c r="B2345" s="4">
        <v>1486</v>
      </c>
      <c r="C2345" s="4" t="s">
        <v>867</v>
      </c>
      <c r="D2345" s="4" t="s">
        <v>949</v>
      </c>
      <c r="E2345" s="4">
        <v>250</v>
      </c>
      <c r="F2345" s="4" t="s">
        <v>917</v>
      </c>
      <c r="G2345" s="4"/>
      <c r="H2345" s="4"/>
      <c r="I2345" s="4"/>
      <c r="J2345" s="4"/>
    </row>
    <row r="2346" spans="1:10" ht="15" customHeight="1" x14ac:dyDescent="0.2">
      <c r="A2346" s="4">
        <v>2345</v>
      </c>
      <c r="B2346" s="4">
        <v>1487</v>
      </c>
      <c r="C2346" s="4" t="s">
        <v>868</v>
      </c>
      <c r="D2346" s="4" t="s">
        <v>916</v>
      </c>
      <c r="E2346" s="4">
        <v>100</v>
      </c>
      <c r="F2346" s="4" t="s">
        <v>917</v>
      </c>
      <c r="G2346" s="4"/>
      <c r="H2346" s="4"/>
      <c r="I2346" s="4"/>
      <c r="J2346" s="4"/>
    </row>
    <row r="2347" spans="1:10" ht="15" customHeight="1" x14ac:dyDescent="0.2">
      <c r="A2347" s="4">
        <v>2346</v>
      </c>
      <c r="B2347" s="4">
        <v>1487</v>
      </c>
      <c r="C2347" s="4" t="s">
        <v>868</v>
      </c>
      <c r="D2347" s="4" t="s">
        <v>918</v>
      </c>
      <c r="E2347" s="4">
        <v>150</v>
      </c>
      <c r="F2347" s="4" t="s">
        <v>917</v>
      </c>
      <c r="G2347" s="4"/>
      <c r="H2347" s="4"/>
      <c r="I2347" s="4"/>
      <c r="J2347" s="4"/>
    </row>
    <row r="2348" spans="1:10" ht="15" customHeight="1" x14ac:dyDescent="0.2">
      <c r="A2348" s="4">
        <v>2347</v>
      </c>
      <c r="B2348" s="4">
        <v>1487</v>
      </c>
      <c r="C2348" s="4" t="s">
        <v>868</v>
      </c>
      <c r="D2348" s="4" t="s">
        <v>919</v>
      </c>
      <c r="E2348" s="4">
        <v>200</v>
      </c>
      <c r="F2348" s="4" t="s">
        <v>917</v>
      </c>
      <c r="G2348" s="4"/>
      <c r="H2348" s="4"/>
      <c r="I2348" s="4"/>
      <c r="J2348" s="4"/>
    </row>
    <row r="2349" spans="1:10" ht="15" customHeight="1" x14ac:dyDescent="0.2">
      <c r="A2349" s="4">
        <v>2348</v>
      </c>
      <c r="B2349" s="4">
        <v>1487</v>
      </c>
      <c r="C2349" s="4" t="s">
        <v>868</v>
      </c>
      <c r="D2349" s="4" t="s">
        <v>949</v>
      </c>
      <c r="E2349" s="4">
        <v>250</v>
      </c>
      <c r="F2349" s="4" t="s">
        <v>917</v>
      </c>
      <c r="G2349" s="4"/>
      <c r="H2349" s="4"/>
      <c r="I2349" s="4"/>
      <c r="J2349" s="4"/>
    </row>
    <row r="2350" spans="1:10" ht="15" customHeight="1" x14ac:dyDescent="0.2">
      <c r="A2350" s="4">
        <v>2349</v>
      </c>
      <c r="B2350" s="4">
        <v>1488</v>
      </c>
      <c r="C2350" s="4" t="s">
        <v>869</v>
      </c>
      <c r="D2350" s="4" t="s">
        <v>916</v>
      </c>
      <c r="E2350" s="4">
        <v>100</v>
      </c>
      <c r="F2350" s="4" t="s">
        <v>917</v>
      </c>
      <c r="G2350" s="4"/>
      <c r="H2350" s="4"/>
      <c r="I2350" s="4"/>
      <c r="J2350" s="4"/>
    </row>
    <row r="2351" spans="1:10" ht="15" customHeight="1" x14ac:dyDescent="0.2">
      <c r="A2351" s="4">
        <v>2350</v>
      </c>
      <c r="B2351" s="4">
        <v>1488</v>
      </c>
      <c r="C2351" s="4" t="s">
        <v>869</v>
      </c>
      <c r="D2351" s="4" t="s">
        <v>918</v>
      </c>
      <c r="E2351" s="4">
        <v>150</v>
      </c>
      <c r="F2351" s="4" t="s">
        <v>917</v>
      </c>
      <c r="G2351" s="4"/>
      <c r="H2351" s="4"/>
      <c r="I2351" s="4"/>
      <c r="J2351" s="4"/>
    </row>
    <row r="2352" spans="1:10" ht="15" customHeight="1" x14ac:dyDescent="0.2">
      <c r="A2352" s="4">
        <v>2351</v>
      </c>
      <c r="B2352" s="4">
        <v>1488</v>
      </c>
      <c r="C2352" s="4" t="s">
        <v>869</v>
      </c>
      <c r="D2352" s="4" t="s">
        <v>919</v>
      </c>
      <c r="E2352" s="4">
        <v>200</v>
      </c>
      <c r="F2352" s="4" t="s">
        <v>917</v>
      </c>
      <c r="G2352" s="4"/>
      <c r="H2352" s="4"/>
      <c r="I2352" s="4"/>
      <c r="J2352" s="4"/>
    </row>
    <row r="2353" spans="1:10" ht="15" customHeight="1" x14ac:dyDescent="0.2">
      <c r="A2353" s="4">
        <v>2352</v>
      </c>
      <c r="B2353" s="4">
        <v>1488</v>
      </c>
      <c r="C2353" s="4" t="s">
        <v>869</v>
      </c>
      <c r="D2353" s="4" t="s">
        <v>949</v>
      </c>
      <c r="E2353" s="4">
        <v>250</v>
      </c>
      <c r="F2353" s="4" t="s">
        <v>917</v>
      </c>
      <c r="G2353" s="4"/>
      <c r="H2353" s="4"/>
      <c r="I2353" s="4"/>
      <c r="J2353" s="4"/>
    </row>
    <row r="2354" spans="1:10" ht="15" customHeight="1" x14ac:dyDescent="0.2">
      <c r="A2354" s="4">
        <v>2353</v>
      </c>
      <c r="B2354" s="4">
        <v>1489</v>
      </c>
      <c r="C2354" s="4" t="s">
        <v>870</v>
      </c>
      <c r="D2354" s="4" t="s">
        <v>916</v>
      </c>
      <c r="E2354" s="4">
        <v>100</v>
      </c>
      <c r="F2354" s="4" t="s">
        <v>917</v>
      </c>
      <c r="G2354" s="4"/>
      <c r="H2354" s="4"/>
      <c r="I2354" s="4"/>
      <c r="J2354" s="4"/>
    </row>
    <row r="2355" spans="1:10" ht="15" customHeight="1" x14ac:dyDescent="0.2">
      <c r="A2355" s="4">
        <v>2354</v>
      </c>
      <c r="B2355" s="4">
        <v>1489</v>
      </c>
      <c r="C2355" s="4" t="s">
        <v>870</v>
      </c>
      <c r="D2355" s="4" t="s">
        <v>918</v>
      </c>
      <c r="E2355" s="4">
        <v>150</v>
      </c>
      <c r="F2355" s="4" t="s">
        <v>917</v>
      </c>
      <c r="G2355" s="4"/>
      <c r="H2355" s="4"/>
      <c r="I2355" s="4"/>
      <c r="J2355" s="4"/>
    </row>
    <row r="2356" spans="1:10" ht="15" customHeight="1" x14ac:dyDescent="0.2">
      <c r="A2356" s="4">
        <v>2355</v>
      </c>
      <c r="B2356" s="4">
        <v>1489</v>
      </c>
      <c r="C2356" s="4" t="s">
        <v>870</v>
      </c>
      <c r="D2356" s="4" t="s">
        <v>919</v>
      </c>
      <c r="E2356" s="4">
        <v>200</v>
      </c>
      <c r="F2356" s="4" t="s">
        <v>917</v>
      </c>
      <c r="G2356" s="4"/>
      <c r="H2356" s="4"/>
      <c r="I2356" s="4"/>
      <c r="J2356" s="4"/>
    </row>
    <row r="2357" spans="1:10" ht="15" customHeight="1" x14ac:dyDescent="0.2">
      <c r="A2357" s="4">
        <v>2356</v>
      </c>
      <c r="B2357" s="4">
        <v>1489</v>
      </c>
      <c r="C2357" s="4" t="s">
        <v>870</v>
      </c>
      <c r="D2357" s="4" t="s">
        <v>949</v>
      </c>
      <c r="E2357" s="4">
        <v>250</v>
      </c>
      <c r="F2357" s="4" t="s">
        <v>917</v>
      </c>
      <c r="G2357" s="4"/>
      <c r="H2357" s="4"/>
      <c r="I2357" s="4"/>
      <c r="J2357" s="4"/>
    </row>
    <row r="2358" spans="1:10" ht="15" customHeight="1" x14ac:dyDescent="0.2">
      <c r="A2358" s="4">
        <v>2357</v>
      </c>
      <c r="B2358" s="4">
        <v>1490</v>
      </c>
      <c r="C2358" s="4" t="s">
        <v>871</v>
      </c>
      <c r="D2358" s="4" t="s">
        <v>916</v>
      </c>
      <c r="E2358" s="4">
        <v>100</v>
      </c>
      <c r="F2358" s="4" t="s">
        <v>917</v>
      </c>
      <c r="G2358" s="4"/>
      <c r="H2358" s="4"/>
      <c r="I2358" s="4"/>
      <c r="J2358" s="4"/>
    </row>
    <row r="2359" spans="1:10" ht="15" customHeight="1" x14ac:dyDescent="0.2">
      <c r="A2359" s="4">
        <v>2358</v>
      </c>
      <c r="B2359" s="4">
        <v>1490</v>
      </c>
      <c r="C2359" s="4" t="s">
        <v>871</v>
      </c>
      <c r="D2359" s="4" t="s">
        <v>918</v>
      </c>
      <c r="E2359" s="4">
        <v>150</v>
      </c>
      <c r="F2359" s="4" t="s">
        <v>917</v>
      </c>
      <c r="G2359" s="4"/>
      <c r="H2359" s="4"/>
      <c r="I2359" s="4"/>
      <c r="J2359" s="4"/>
    </row>
    <row r="2360" spans="1:10" ht="15" customHeight="1" x14ac:dyDescent="0.2">
      <c r="A2360" s="4">
        <v>2359</v>
      </c>
      <c r="B2360" s="4">
        <v>1490</v>
      </c>
      <c r="C2360" s="4" t="s">
        <v>871</v>
      </c>
      <c r="D2360" s="4" t="s">
        <v>919</v>
      </c>
      <c r="E2360" s="4">
        <v>200</v>
      </c>
      <c r="F2360" s="4" t="s">
        <v>917</v>
      </c>
      <c r="G2360" s="4"/>
      <c r="H2360" s="4"/>
      <c r="I2360" s="4"/>
      <c r="J2360" s="4"/>
    </row>
    <row r="2361" spans="1:10" ht="15" customHeight="1" x14ac:dyDescent="0.2">
      <c r="A2361" s="4">
        <v>2360</v>
      </c>
      <c r="B2361" s="4">
        <v>1490</v>
      </c>
      <c r="C2361" s="4" t="s">
        <v>871</v>
      </c>
      <c r="D2361" s="4" t="s">
        <v>949</v>
      </c>
      <c r="E2361" s="4">
        <v>250</v>
      </c>
      <c r="F2361" s="4" t="s">
        <v>917</v>
      </c>
      <c r="G2361" s="4"/>
      <c r="H2361" s="4"/>
      <c r="I2361" s="4"/>
      <c r="J2361" s="4"/>
    </row>
    <row r="2362" spans="1:10" ht="15" customHeight="1" x14ac:dyDescent="0.2">
      <c r="A2362" s="4">
        <v>2361</v>
      </c>
      <c r="B2362" s="4">
        <v>1491</v>
      </c>
      <c r="C2362" s="4" t="s">
        <v>872</v>
      </c>
      <c r="D2362" s="4" t="s">
        <v>916</v>
      </c>
      <c r="E2362" s="4">
        <v>100</v>
      </c>
      <c r="F2362" s="4" t="s">
        <v>917</v>
      </c>
      <c r="G2362" s="4"/>
      <c r="H2362" s="4"/>
      <c r="I2362" s="4"/>
      <c r="J2362" s="4"/>
    </row>
    <row r="2363" spans="1:10" ht="15" customHeight="1" x14ac:dyDescent="0.2">
      <c r="A2363" s="4">
        <v>2362</v>
      </c>
      <c r="B2363" s="4">
        <v>1491</v>
      </c>
      <c r="C2363" s="4" t="s">
        <v>872</v>
      </c>
      <c r="D2363" s="4" t="s">
        <v>918</v>
      </c>
      <c r="E2363" s="4">
        <v>150</v>
      </c>
      <c r="F2363" s="4" t="s">
        <v>917</v>
      </c>
      <c r="G2363" s="4"/>
      <c r="H2363" s="4"/>
      <c r="I2363" s="4"/>
      <c r="J2363" s="4"/>
    </row>
    <row r="2364" spans="1:10" ht="15" customHeight="1" x14ac:dyDescent="0.2">
      <c r="A2364" s="4">
        <v>2363</v>
      </c>
      <c r="B2364" s="4">
        <v>1491</v>
      </c>
      <c r="C2364" s="4" t="s">
        <v>872</v>
      </c>
      <c r="D2364" s="4" t="s">
        <v>919</v>
      </c>
      <c r="E2364" s="4">
        <v>200</v>
      </c>
      <c r="F2364" s="4" t="s">
        <v>917</v>
      </c>
      <c r="G2364" s="4"/>
      <c r="H2364" s="4"/>
      <c r="I2364" s="4"/>
      <c r="J2364" s="4"/>
    </row>
    <row r="2365" spans="1:10" ht="15" customHeight="1" x14ac:dyDescent="0.2">
      <c r="A2365" s="4">
        <v>2364</v>
      </c>
      <c r="B2365" s="4">
        <v>1491</v>
      </c>
      <c r="C2365" s="4" t="s">
        <v>872</v>
      </c>
      <c r="D2365" s="4" t="s">
        <v>949</v>
      </c>
      <c r="E2365" s="4">
        <v>250</v>
      </c>
      <c r="F2365" s="4" t="s">
        <v>917</v>
      </c>
      <c r="G2365" s="4"/>
      <c r="H2365" s="4"/>
      <c r="I2365" s="4"/>
      <c r="J2365" s="4"/>
    </row>
    <row r="2366" spans="1:10" ht="15" customHeight="1" x14ac:dyDescent="0.2">
      <c r="A2366" s="4">
        <v>2365</v>
      </c>
      <c r="B2366" s="4">
        <v>1492</v>
      </c>
      <c r="C2366" s="4" t="s">
        <v>873</v>
      </c>
      <c r="D2366" s="4" t="s">
        <v>916</v>
      </c>
      <c r="E2366" s="4">
        <v>100</v>
      </c>
      <c r="F2366" s="4" t="s">
        <v>917</v>
      </c>
      <c r="G2366" s="4"/>
      <c r="H2366" s="4"/>
      <c r="I2366" s="4"/>
      <c r="J2366" s="4"/>
    </row>
    <row r="2367" spans="1:10" ht="15" customHeight="1" x14ac:dyDescent="0.2">
      <c r="A2367" s="4">
        <v>2366</v>
      </c>
      <c r="B2367" s="4">
        <v>1492</v>
      </c>
      <c r="C2367" s="4" t="s">
        <v>873</v>
      </c>
      <c r="D2367" s="4" t="s">
        <v>918</v>
      </c>
      <c r="E2367" s="4">
        <v>150</v>
      </c>
      <c r="F2367" s="4" t="s">
        <v>917</v>
      </c>
      <c r="G2367" s="4"/>
      <c r="H2367" s="4"/>
      <c r="I2367" s="4"/>
      <c r="J2367" s="4"/>
    </row>
    <row r="2368" spans="1:10" ht="15" customHeight="1" x14ac:dyDescent="0.2">
      <c r="A2368" s="4">
        <v>2367</v>
      </c>
      <c r="B2368" s="4">
        <v>1492</v>
      </c>
      <c r="C2368" s="4" t="s">
        <v>873</v>
      </c>
      <c r="D2368" s="4" t="s">
        <v>919</v>
      </c>
      <c r="E2368" s="4">
        <v>200</v>
      </c>
      <c r="F2368" s="4" t="s">
        <v>917</v>
      </c>
      <c r="G2368" s="4"/>
      <c r="H2368" s="4"/>
      <c r="I2368" s="4"/>
      <c r="J2368" s="4"/>
    </row>
    <row r="2369" spans="1:10" ht="15" customHeight="1" x14ac:dyDescent="0.2">
      <c r="A2369" s="4">
        <v>2368</v>
      </c>
      <c r="B2369" s="4">
        <v>1492</v>
      </c>
      <c r="C2369" s="4" t="s">
        <v>873</v>
      </c>
      <c r="D2369" s="4" t="s">
        <v>949</v>
      </c>
      <c r="E2369" s="4">
        <v>250</v>
      </c>
      <c r="F2369" s="4" t="s">
        <v>917</v>
      </c>
      <c r="G2369" s="4"/>
      <c r="H2369" s="4"/>
      <c r="I2369" s="4"/>
      <c r="J2369" s="4"/>
    </row>
    <row r="2370" spans="1:10" ht="15" customHeight="1" x14ac:dyDescent="0.2">
      <c r="A2370" s="4">
        <v>2369</v>
      </c>
      <c r="B2370" s="4">
        <v>1493</v>
      </c>
      <c r="C2370" s="4" t="s">
        <v>874</v>
      </c>
      <c r="D2370" s="4" t="s">
        <v>916</v>
      </c>
      <c r="E2370" s="4">
        <v>100</v>
      </c>
      <c r="F2370" s="4" t="s">
        <v>917</v>
      </c>
      <c r="G2370" s="4"/>
      <c r="H2370" s="4"/>
      <c r="I2370" s="4"/>
      <c r="J2370" s="4"/>
    </row>
    <row r="2371" spans="1:10" ht="15" customHeight="1" x14ac:dyDescent="0.2">
      <c r="A2371" s="4">
        <v>2370</v>
      </c>
      <c r="B2371" s="4">
        <v>1493</v>
      </c>
      <c r="C2371" s="4" t="s">
        <v>874</v>
      </c>
      <c r="D2371" s="4" t="s">
        <v>918</v>
      </c>
      <c r="E2371" s="4">
        <v>150</v>
      </c>
      <c r="F2371" s="4" t="s">
        <v>917</v>
      </c>
      <c r="G2371" s="4"/>
      <c r="H2371" s="4"/>
      <c r="I2371" s="4"/>
      <c r="J2371" s="4"/>
    </row>
    <row r="2372" spans="1:10" ht="15" customHeight="1" x14ac:dyDescent="0.2">
      <c r="A2372" s="4">
        <v>2371</v>
      </c>
      <c r="B2372" s="4">
        <v>1493</v>
      </c>
      <c r="C2372" s="4" t="s">
        <v>874</v>
      </c>
      <c r="D2372" s="4" t="s">
        <v>919</v>
      </c>
      <c r="E2372" s="4">
        <v>200</v>
      </c>
      <c r="F2372" s="4" t="s">
        <v>917</v>
      </c>
      <c r="G2372" s="4"/>
      <c r="H2372" s="4"/>
      <c r="I2372" s="4"/>
      <c r="J2372" s="4"/>
    </row>
    <row r="2373" spans="1:10" ht="15" customHeight="1" x14ac:dyDescent="0.2">
      <c r="A2373" s="4">
        <v>2372</v>
      </c>
      <c r="B2373" s="4">
        <v>1493</v>
      </c>
      <c r="C2373" s="4" t="s">
        <v>874</v>
      </c>
      <c r="D2373" s="4" t="s">
        <v>949</v>
      </c>
      <c r="E2373" s="4">
        <v>250</v>
      </c>
      <c r="F2373" s="4" t="s">
        <v>917</v>
      </c>
      <c r="G2373" s="4"/>
      <c r="H2373" s="4"/>
      <c r="I2373" s="4"/>
      <c r="J2373" s="4"/>
    </row>
    <row r="2374" spans="1:10" ht="15" customHeight="1" x14ac:dyDescent="0.2">
      <c r="A2374" s="4">
        <v>2373</v>
      </c>
      <c r="B2374" s="4">
        <v>1494</v>
      </c>
      <c r="C2374" s="4" t="s">
        <v>875</v>
      </c>
      <c r="D2374" s="4" t="s">
        <v>916</v>
      </c>
      <c r="E2374" s="4">
        <v>100</v>
      </c>
      <c r="F2374" s="4" t="s">
        <v>917</v>
      </c>
      <c r="G2374" s="4"/>
      <c r="H2374" s="4"/>
      <c r="I2374" s="4"/>
      <c r="J2374" s="4"/>
    </row>
    <row r="2375" spans="1:10" ht="15" customHeight="1" x14ac:dyDescent="0.2">
      <c r="A2375" s="4">
        <v>2374</v>
      </c>
      <c r="B2375" s="4">
        <v>1494</v>
      </c>
      <c r="C2375" s="4" t="s">
        <v>875</v>
      </c>
      <c r="D2375" s="4" t="s">
        <v>918</v>
      </c>
      <c r="E2375" s="4">
        <v>150</v>
      </c>
      <c r="F2375" s="4" t="s">
        <v>917</v>
      </c>
      <c r="G2375" s="4"/>
      <c r="H2375" s="4"/>
      <c r="I2375" s="4"/>
      <c r="J2375" s="4"/>
    </row>
    <row r="2376" spans="1:10" ht="15" customHeight="1" x14ac:dyDescent="0.2">
      <c r="A2376" s="4">
        <v>2375</v>
      </c>
      <c r="B2376" s="4">
        <v>1494</v>
      </c>
      <c r="C2376" s="4" t="s">
        <v>875</v>
      </c>
      <c r="D2376" s="4" t="s">
        <v>919</v>
      </c>
      <c r="E2376" s="4">
        <v>200</v>
      </c>
      <c r="F2376" s="4" t="s">
        <v>917</v>
      </c>
      <c r="G2376" s="4"/>
      <c r="H2376" s="4"/>
      <c r="I2376" s="4"/>
      <c r="J2376" s="4"/>
    </row>
    <row r="2377" spans="1:10" ht="15" customHeight="1" x14ac:dyDescent="0.2">
      <c r="A2377" s="4">
        <v>2376</v>
      </c>
      <c r="B2377" s="4">
        <v>1494</v>
      </c>
      <c r="C2377" s="4" t="s">
        <v>875</v>
      </c>
      <c r="D2377" s="4" t="s">
        <v>949</v>
      </c>
      <c r="E2377" s="4">
        <v>250</v>
      </c>
      <c r="F2377" s="4" t="s">
        <v>917</v>
      </c>
      <c r="G2377" s="4"/>
      <c r="H2377" s="4"/>
      <c r="I2377" s="4"/>
      <c r="J2377" s="4"/>
    </row>
    <row r="2378" spans="1:10" ht="15" customHeight="1" x14ac:dyDescent="0.2">
      <c r="A2378" s="4">
        <v>2377</v>
      </c>
      <c r="B2378" s="4">
        <v>1495</v>
      </c>
      <c r="C2378" s="4" t="s">
        <v>876</v>
      </c>
      <c r="D2378" s="4" t="s">
        <v>916</v>
      </c>
      <c r="E2378" s="4">
        <v>100</v>
      </c>
      <c r="F2378" s="4" t="s">
        <v>917</v>
      </c>
      <c r="G2378" s="4"/>
      <c r="H2378" s="4"/>
      <c r="I2378" s="4"/>
      <c r="J2378" s="4"/>
    </row>
    <row r="2379" spans="1:10" ht="15" customHeight="1" x14ac:dyDescent="0.2">
      <c r="A2379" s="4">
        <v>2378</v>
      </c>
      <c r="B2379" s="4">
        <v>1495</v>
      </c>
      <c r="C2379" s="4" t="s">
        <v>876</v>
      </c>
      <c r="D2379" s="4" t="s">
        <v>918</v>
      </c>
      <c r="E2379" s="4">
        <v>150</v>
      </c>
      <c r="F2379" s="4" t="s">
        <v>917</v>
      </c>
      <c r="G2379" s="4"/>
      <c r="H2379" s="4"/>
      <c r="I2379" s="4"/>
      <c r="J2379" s="4"/>
    </row>
    <row r="2380" spans="1:10" ht="15" customHeight="1" x14ac:dyDescent="0.2">
      <c r="A2380" s="4">
        <v>2379</v>
      </c>
      <c r="B2380" s="4">
        <v>1495</v>
      </c>
      <c r="C2380" s="4" t="s">
        <v>876</v>
      </c>
      <c r="D2380" s="4" t="s">
        <v>919</v>
      </c>
      <c r="E2380" s="4">
        <v>200</v>
      </c>
      <c r="F2380" s="4" t="s">
        <v>917</v>
      </c>
      <c r="G2380" s="4"/>
      <c r="H2380" s="4"/>
      <c r="I2380" s="4"/>
      <c r="J2380" s="4"/>
    </row>
    <row r="2381" spans="1:10" ht="15" customHeight="1" x14ac:dyDescent="0.2">
      <c r="A2381" s="4">
        <v>2380</v>
      </c>
      <c r="B2381" s="4">
        <v>1495</v>
      </c>
      <c r="C2381" s="4" t="s">
        <v>876</v>
      </c>
      <c r="D2381" s="4" t="s">
        <v>949</v>
      </c>
      <c r="E2381" s="4">
        <v>250</v>
      </c>
      <c r="F2381" s="4" t="s">
        <v>917</v>
      </c>
      <c r="G2381" s="4"/>
      <c r="H2381" s="4"/>
      <c r="I2381" s="4"/>
      <c r="J2381" s="4"/>
    </row>
    <row r="2382" spans="1:10" ht="15" customHeight="1" x14ac:dyDescent="0.2">
      <c r="A2382" s="4">
        <v>2381</v>
      </c>
      <c r="B2382" s="4">
        <v>1496</v>
      </c>
      <c r="C2382" s="4" t="s">
        <v>877</v>
      </c>
      <c r="D2382" s="4" t="s">
        <v>916</v>
      </c>
      <c r="E2382" s="4">
        <v>100</v>
      </c>
      <c r="F2382" s="4" t="s">
        <v>917</v>
      </c>
      <c r="G2382" s="4"/>
      <c r="H2382" s="4"/>
      <c r="I2382" s="4"/>
      <c r="J2382" s="4"/>
    </row>
    <row r="2383" spans="1:10" ht="15" customHeight="1" x14ac:dyDescent="0.2">
      <c r="A2383" s="4">
        <v>2382</v>
      </c>
      <c r="B2383" s="4">
        <v>1496</v>
      </c>
      <c r="C2383" s="4" t="s">
        <v>877</v>
      </c>
      <c r="D2383" s="4" t="s">
        <v>918</v>
      </c>
      <c r="E2383" s="4">
        <v>150</v>
      </c>
      <c r="F2383" s="4" t="s">
        <v>917</v>
      </c>
      <c r="G2383" s="4"/>
      <c r="H2383" s="4"/>
      <c r="I2383" s="4"/>
      <c r="J2383" s="4"/>
    </row>
    <row r="2384" spans="1:10" ht="15" customHeight="1" x14ac:dyDescent="0.2">
      <c r="A2384" s="4">
        <v>2383</v>
      </c>
      <c r="B2384" s="4">
        <v>1496</v>
      </c>
      <c r="C2384" s="4" t="s">
        <v>877</v>
      </c>
      <c r="D2384" s="4" t="s">
        <v>919</v>
      </c>
      <c r="E2384" s="4">
        <v>200</v>
      </c>
      <c r="F2384" s="4" t="s">
        <v>917</v>
      </c>
      <c r="G2384" s="4"/>
      <c r="H2384" s="4"/>
      <c r="I2384" s="4"/>
      <c r="J2384" s="4"/>
    </row>
    <row r="2385" spans="1:10" ht="15" customHeight="1" x14ac:dyDescent="0.2">
      <c r="A2385" s="4">
        <v>2384</v>
      </c>
      <c r="B2385" s="4">
        <v>1496</v>
      </c>
      <c r="C2385" s="4" t="s">
        <v>877</v>
      </c>
      <c r="D2385" s="4" t="s">
        <v>949</v>
      </c>
      <c r="E2385" s="4">
        <v>250</v>
      </c>
      <c r="F2385" s="4" t="s">
        <v>917</v>
      </c>
      <c r="G2385" s="4"/>
      <c r="H2385" s="4"/>
      <c r="I2385" s="4"/>
      <c r="J2385" s="4"/>
    </row>
    <row r="2386" spans="1:10" ht="15" customHeight="1" x14ac:dyDescent="0.2">
      <c r="A2386" s="4">
        <v>2385</v>
      </c>
      <c r="B2386" s="4">
        <v>1497</v>
      </c>
      <c r="C2386" s="4" t="s">
        <v>878</v>
      </c>
      <c r="D2386" s="4" t="s">
        <v>916</v>
      </c>
      <c r="E2386" s="4">
        <v>100</v>
      </c>
      <c r="F2386" s="4" t="s">
        <v>917</v>
      </c>
      <c r="G2386" s="4"/>
      <c r="H2386" s="4"/>
      <c r="I2386" s="4"/>
      <c r="J2386" s="4"/>
    </row>
    <row r="2387" spans="1:10" ht="15" customHeight="1" x14ac:dyDescent="0.2">
      <c r="A2387" s="4">
        <v>2386</v>
      </c>
      <c r="B2387" s="4">
        <v>1497</v>
      </c>
      <c r="C2387" s="4" t="s">
        <v>878</v>
      </c>
      <c r="D2387" s="4" t="s">
        <v>918</v>
      </c>
      <c r="E2387" s="4">
        <v>150</v>
      </c>
      <c r="F2387" s="4" t="s">
        <v>917</v>
      </c>
      <c r="G2387" s="4"/>
      <c r="H2387" s="4"/>
      <c r="I2387" s="4"/>
      <c r="J2387" s="4"/>
    </row>
    <row r="2388" spans="1:10" ht="15" customHeight="1" x14ac:dyDescent="0.2">
      <c r="A2388" s="4">
        <v>2387</v>
      </c>
      <c r="B2388" s="4">
        <v>1497</v>
      </c>
      <c r="C2388" s="4" t="s">
        <v>878</v>
      </c>
      <c r="D2388" s="4" t="s">
        <v>919</v>
      </c>
      <c r="E2388" s="4">
        <v>200</v>
      </c>
      <c r="F2388" s="4" t="s">
        <v>917</v>
      </c>
      <c r="G2388" s="4"/>
      <c r="H2388" s="4"/>
      <c r="I2388" s="4"/>
      <c r="J2388" s="4"/>
    </row>
    <row r="2389" spans="1:10" ht="15" customHeight="1" x14ac:dyDescent="0.2">
      <c r="A2389" s="4">
        <v>2388</v>
      </c>
      <c r="B2389" s="4">
        <v>1497</v>
      </c>
      <c r="C2389" s="4" t="s">
        <v>878</v>
      </c>
      <c r="D2389" s="4" t="s">
        <v>949</v>
      </c>
      <c r="E2389" s="4">
        <v>250</v>
      </c>
      <c r="F2389" s="4" t="s">
        <v>917</v>
      </c>
      <c r="G2389" s="4"/>
      <c r="H2389" s="4"/>
      <c r="I2389" s="4"/>
      <c r="J2389" s="4"/>
    </row>
    <row r="2390" spans="1:10" ht="15" customHeight="1" x14ac:dyDescent="0.2">
      <c r="A2390" s="4">
        <v>2389</v>
      </c>
      <c r="B2390" s="4">
        <v>1498</v>
      </c>
      <c r="C2390" s="4" t="s">
        <v>879</v>
      </c>
      <c r="D2390" s="4" t="s">
        <v>916</v>
      </c>
      <c r="E2390" s="4">
        <v>100</v>
      </c>
      <c r="F2390" s="4" t="s">
        <v>917</v>
      </c>
      <c r="G2390" s="4"/>
      <c r="H2390" s="4"/>
      <c r="I2390" s="4"/>
      <c r="J2390" s="4"/>
    </row>
    <row r="2391" spans="1:10" ht="15" customHeight="1" x14ac:dyDescent="0.2">
      <c r="A2391" s="4">
        <v>2390</v>
      </c>
      <c r="B2391" s="4">
        <v>1498</v>
      </c>
      <c r="C2391" s="4" t="s">
        <v>879</v>
      </c>
      <c r="D2391" s="4" t="s">
        <v>918</v>
      </c>
      <c r="E2391" s="4">
        <v>150</v>
      </c>
      <c r="F2391" s="4" t="s">
        <v>917</v>
      </c>
      <c r="G2391" s="4"/>
      <c r="H2391" s="4"/>
      <c r="I2391" s="4"/>
      <c r="J2391" s="4"/>
    </row>
    <row r="2392" spans="1:10" ht="15" customHeight="1" x14ac:dyDescent="0.2">
      <c r="A2392" s="4">
        <v>2391</v>
      </c>
      <c r="B2392" s="4">
        <v>1498</v>
      </c>
      <c r="C2392" s="4" t="s">
        <v>879</v>
      </c>
      <c r="D2392" s="4" t="s">
        <v>919</v>
      </c>
      <c r="E2392" s="4">
        <v>200</v>
      </c>
      <c r="F2392" s="4" t="s">
        <v>917</v>
      </c>
      <c r="G2392" s="4"/>
      <c r="H2392" s="4"/>
      <c r="I2392" s="4"/>
      <c r="J2392" s="4"/>
    </row>
    <row r="2393" spans="1:10" ht="15" customHeight="1" x14ac:dyDescent="0.2">
      <c r="A2393" s="4">
        <v>2392</v>
      </c>
      <c r="B2393" s="4">
        <v>1498</v>
      </c>
      <c r="C2393" s="4" t="s">
        <v>879</v>
      </c>
      <c r="D2393" s="4" t="s">
        <v>949</v>
      </c>
      <c r="E2393" s="4">
        <v>250</v>
      </c>
      <c r="F2393" s="4" t="s">
        <v>917</v>
      </c>
      <c r="G2393" s="4"/>
      <c r="H2393" s="4"/>
      <c r="I2393" s="4"/>
      <c r="J2393" s="4"/>
    </row>
    <row r="2394" spans="1:10" ht="15" customHeight="1" x14ac:dyDescent="0.2">
      <c r="A2394" s="4">
        <v>2393</v>
      </c>
      <c r="B2394" s="4">
        <v>1499</v>
      </c>
      <c r="C2394" s="4" t="s">
        <v>880</v>
      </c>
      <c r="D2394" s="4" t="s">
        <v>916</v>
      </c>
      <c r="E2394" s="4">
        <v>100</v>
      </c>
      <c r="F2394" s="4" t="s">
        <v>917</v>
      </c>
      <c r="G2394" s="4"/>
      <c r="H2394" s="4"/>
      <c r="I2394" s="4"/>
      <c r="J2394" s="4"/>
    </row>
    <row r="2395" spans="1:10" ht="15" customHeight="1" x14ac:dyDescent="0.2">
      <c r="A2395" s="4">
        <v>2394</v>
      </c>
      <c r="B2395" s="4">
        <v>1499</v>
      </c>
      <c r="C2395" s="4" t="s">
        <v>880</v>
      </c>
      <c r="D2395" s="4" t="s">
        <v>918</v>
      </c>
      <c r="E2395" s="4">
        <v>150</v>
      </c>
      <c r="F2395" s="4" t="s">
        <v>917</v>
      </c>
      <c r="G2395" s="4"/>
      <c r="H2395" s="4"/>
      <c r="I2395" s="4"/>
      <c r="J2395" s="4"/>
    </row>
    <row r="2396" spans="1:10" ht="15" customHeight="1" x14ac:dyDescent="0.2">
      <c r="A2396" s="4">
        <v>2395</v>
      </c>
      <c r="B2396" s="4">
        <v>1499</v>
      </c>
      <c r="C2396" s="4" t="s">
        <v>880</v>
      </c>
      <c r="D2396" s="4" t="s">
        <v>919</v>
      </c>
      <c r="E2396" s="4">
        <v>200</v>
      </c>
      <c r="F2396" s="4" t="s">
        <v>917</v>
      </c>
      <c r="G2396" s="4"/>
      <c r="H2396" s="4"/>
      <c r="I2396" s="4"/>
      <c r="J2396" s="4"/>
    </row>
    <row r="2397" spans="1:10" ht="15" customHeight="1" x14ac:dyDescent="0.2">
      <c r="A2397" s="4">
        <v>2396</v>
      </c>
      <c r="B2397" s="4">
        <v>1499</v>
      </c>
      <c r="C2397" s="4" t="s">
        <v>880</v>
      </c>
      <c r="D2397" s="4" t="s">
        <v>949</v>
      </c>
      <c r="E2397" s="4">
        <v>250</v>
      </c>
      <c r="F2397" s="4" t="s">
        <v>917</v>
      </c>
      <c r="G2397" s="4"/>
      <c r="H2397" s="4"/>
      <c r="I2397" s="4"/>
      <c r="J2397" s="4"/>
    </row>
    <row r="2398" spans="1:10" ht="15" customHeight="1" x14ac:dyDescent="0.2">
      <c r="A2398" s="4">
        <v>2397</v>
      </c>
      <c r="B2398" s="4">
        <v>1500</v>
      </c>
      <c r="C2398" s="4" t="s">
        <v>881</v>
      </c>
      <c r="D2398" s="4" t="s">
        <v>916</v>
      </c>
      <c r="E2398" s="4">
        <v>100</v>
      </c>
      <c r="F2398" s="4" t="s">
        <v>917</v>
      </c>
      <c r="G2398" s="4"/>
      <c r="H2398" s="4"/>
      <c r="I2398" s="4"/>
      <c r="J2398" s="4"/>
    </row>
    <row r="2399" spans="1:10" ht="15" customHeight="1" x14ac:dyDescent="0.2">
      <c r="A2399" s="4">
        <v>2398</v>
      </c>
      <c r="B2399" s="4">
        <v>1500</v>
      </c>
      <c r="C2399" s="4" t="s">
        <v>881</v>
      </c>
      <c r="D2399" s="4" t="s">
        <v>918</v>
      </c>
      <c r="E2399" s="4">
        <v>150</v>
      </c>
      <c r="F2399" s="4" t="s">
        <v>917</v>
      </c>
      <c r="G2399" s="4"/>
      <c r="H2399" s="4"/>
      <c r="I2399" s="4"/>
      <c r="J2399" s="4"/>
    </row>
    <row r="2400" spans="1:10" ht="15" customHeight="1" x14ac:dyDescent="0.2">
      <c r="A2400" s="4">
        <v>2399</v>
      </c>
      <c r="B2400" s="4">
        <v>1500</v>
      </c>
      <c r="C2400" s="4" t="s">
        <v>881</v>
      </c>
      <c r="D2400" s="4" t="s">
        <v>919</v>
      </c>
      <c r="E2400" s="4">
        <v>200</v>
      </c>
      <c r="F2400" s="4" t="s">
        <v>917</v>
      </c>
      <c r="G2400" s="4"/>
      <c r="H2400" s="4"/>
      <c r="I2400" s="4"/>
      <c r="J2400" s="4"/>
    </row>
    <row r="2401" spans="1:10" ht="15" customHeight="1" x14ac:dyDescent="0.2">
      <c r="A2401" s="4">
        <v>2400</v>
      </c>
      <c r="B2401" s="4">
        <v>1500</v>
      </c>
      <c r="C2401" s="4" t="s">
        <v>881</v>
      </c>
      <c r="D2401" s="4" t="s">
        <v>949</v>
      </c>
      <c r="E2401" s="4">
        <v>250</v>
      </c>
      <c r="F2401" s="4" t="s">
        <v>917</v>
      </c>
      <c r="G2401" s="4"/>
      <c r="H2401" s="4"/>
      <c r="I2401" s="4"/>
      <c r="J2401" s="4"/>
    </row>
    <row r="2402" spans="1:10" ht="15" customHeight="1" x14ac:dyDescent="0.2">
      <c r="A2402" s="4">
        <v>2401</v>
      </c>
      <c r="B2402" s="4">
        <v>1501</v>
      </c>
      <c r="C2402" s="4" t="s">
        <v>882</v>
      </c>
      <c r="D2402" s="4" t="s">
        <v>916</v>
      </c>
      <c r="E2402" s="4">
        <v>100</v>
      </c>
      <c r="F2402" s="4" t="s">
        <v>917</v>
      </c>
      <c r="G2402" s="4"/>
      <c r="H2402" s="4"/>
      <c r="I2402" s="4"/>
      <c r="J2402" s="4"/>
    </row>
    <row r="2403" spans="1:10" ht="15" customHeight="1" x14ac:dyDescent="0.2">
      <c r="A2403" s="4">
        <v>2402</v>
      </c>
      <c r="B2403" s="4">
        <v>1501</v>
      </c>
      <c r="C2403" s="4" t="s">
        <v>882</v>
      </c>
      <c r="D2403" s="4" t="s">
        <v>918</v>
      </c>
      <c r="E2403" s="4">
        <v>150</v>
      </c>
      <c r="F2403" s="4" t="s">
        <v>917</v>
      </c>
      <c r="G2403" s="4"/>
      <c r="H2403" s="4"/>
      <c r="I2403" s="4"/>
      <c r="J2403" s="4"/>
    </row>
    <row r="2404" spans="1:10" ht="15" customHeight="1" x14ac:dyDescent="0.2">
      <c r="A2404" s="4">
        <v>2403</v>
      </c>
      <c r="B2404" s="4">
        <v>1501</v>
      </c>
      <c r="C2404" s="4" t="s">
        <v>882</v>
      </c>
      <c r="D2404" s="4" t="s">
        <v>919</v>
      </c>
      <c r="E2404" s="4">
        <v>200</v>
      </c>
      <c r="F2404" s="4" t="s">
        <v>917</v>
      </c>
      <c r="G2404" s="4"/>
      <c r="H2404" s="4"/>
      <c r="I2404" s="4"/>
      <c r="J2404" s="4"/>
    </row>
    <row r="2405" spans="1:10" ht="15" customHeight="1" x14ac:dyDescent="0.2">
      <c r="A2405" s="4">
        <v>2404</v>
      </c>
      <c r="B2405" s="4">
        <v>1501</v>
      </c>
      <c r="C2405" s="4" t="s">
        <v>882</v>
      </c>
      <c r="D2405" s="4" t="s">
        <v>949</v>
      </c>
      <c r="E2405" s="4">
        <v>250</v>
      </c>
      <c r="F2405" s="4" t="s">
        <v>917</v>
      </c>
      <c r="G2405" s="4"/>
      <c r="H2405" s="4"/>
      <c r="I2405" s="4"/>
      <c r="J2405" s="4"/>
    </row>
    <row r="2406" spans="1:10" ht="15" customHeight="1" x14ac:dyDescent="0.2">
      <c r="A2406" s="4">
        <v>2405</v>
      </c>
      <c r="B2406" s="4">
        <v>1502</v>
      </c>
      <c r="C2406" s="4" t="s">
        <v>883</v>
      </c>
      <c r="D2406" s="4" t="s">
        <v>916</v>
      </c>
      <c r="E2406" s="4">
        <v>100</v>
      </c>
      <c r="F2406" s="4" t="s">
        <v>917</v>
      </c>
      <c r="G2406" s="4"/>
      <c r="H2406" s="4"/>
      <c r="I2406" s="4"/>
      <c r="J2406" s="4"/>
    </row>
    <row r="2407" spans="1:10" ht="15" customHeight="1" x14ac:dyDescent="0.2">
      <c r="A2407" s="4">
        <v>2406</v>
      </c>
      <c r="B2407" s="4">
        <v>1502</v>
      </c>
      <c r="C2407" s="4" t="s">
        <v>883</v>
      </c>
      <c r="D2407" s="4" t="s">
        <v>918</v>
      </c>
      <c r="E2407" s="4">
        <v>150</v>
      </c>
      <c r="F2407" s="4" t="s">
        <v>917</v>
      </c>
      <c r="G2407" s="4"/>
      <c r="H2407" s="4"/>
      <c r="I2407" s="4"/>
      <c r="J2407" s="4"/>
    </row>
    <row r="2408" spans="1:10" ht="15" customHeight="1" x14ac:dyDescent="0.2">
      <c r="A2408" s="4">
        <v>2407</v>
      </c>
      <c r="B2408" s="4">
        <v>1502</v>
      </c>
      <c r="C2408" s="4" t="s">
        <v>883</v>
      </c>
      <c r="D2408" s="4" t="s">
        <v>919</v>
      </c>
      <c r="E2408" s="4">
        <v>200</v>
      </c>
      <c r="F2408" s="4" t="s">
        <v>917</v>
      </c>
      <c r="G2408" s="4"/>
      <c r="H2408" s="4"/>
      <c r="I2408" s="4"/>
      <c r="J2408" s="4"/>
    </row>
    <row r="2409" spans="1:10" ht="15" customHeight="1" x14ac:dyDescent="0.2">
      <c r="A2409" s="4">
        <v>2408</v>
      </c>
      <c r="B2409" s="4">
        <v>1502</v>
      </c>
      <c r="C2409" s="4" t="s">
        <v>883</v>
      </c>
      <c r="D2409" s="4" t="s">
        <v>949</v>
      </c>
      <c r="E2409" s="4">
        <v>250</v>
      </c>
      <c r="F2409" s="4" t="s">
        <v>917</v>
      </c>
      <c r="G2409" s="4"/>
      <c r="H2409" s="4"/>
      <c r="I2409" s="4"/>
      <c r="J2409" s="4"/>
    </row>
    <row r="2410" spans="1:10" ht="15" customHeight="1" x14ac:dyDescent="0.2">
      <c r="A2410" s="4">
        <v>2409</v>
      </c>
      <c r="B2410" s="4">
        <v>1503</v>
      </c>
      <c r="C2410" s="4" t="s">
        <v>884</v>
      </c>
      <c r="D2410" s="4" t="s">
        <v>916</v>
      </c>
      <c r="E2410" s="4">
        <v>100</v>
      </c>
      <c r="F2410" s="4" t="s">
        <v>917</v>
      </c>
      <c r="G2410" s="4"/>
      <c r="H2410" s="4"/>
      <c r="I2410" s="4"/>
      <c r="J2410" s="4"/>
    </row>
    <row r="2411" spans="1:10" ht="15" customHeight="1" x14ac:dyDescent="0.2">
      <c r="A2411" s="4">
        <v>2410</v>
      </c>
      <c r="B2411" s="4">
        <v>1503</v>
      </c>
      <c r="C2411" s="4" t="s">
        <v>884</v>
      </c>
      <c r="D2411" s="4" t="s">
        <v>918</v>
      </c>
      <c r="E2411" s="4">
        <v>150</v>
      </c>
      <c r="F2411" s="4" t="s">
        <v>917</v>
      </c>
      <c r="G2411" s="4"/>
      <c r="H2411" s="4"/>
      <c r="I2411" s="4"/>
      <c r="J2411" s="4"/>
    </row>
    <row r="2412" spans="1:10" ht="15" customHeight="1" x14ac:dyDescent="0.2">
      <c r="A2412" s="4">
        <v>2411</v>
      </c>
      <c r="B2412" s="4">
        <v>1503</v>
      </c>
      <c r="C2412" s="4" t="s">
        <v>884</v>
      </c>
      <c r="D2412" s="4" t="s">
        <v>919</v>
      </c>
      <c r="E2412" s="4">
        <v>200</v>
      </c>
      <c r="F2412" s="4" t="s">
        <v>917</v>
      </c>
      <c r="G2412" s="4"/>
      <c r="H2412" s="4"/>
      <c r="I2412" s="4"/>
      <c r="J2412" s="4"/>
    </row>
    <row r="2413" spans="1:10" ht="15" customHeight="1" x14ac:dyDescent="0.2">
      <c r="A2413" s="4">
        <v>2412</v>
      </c>
      <c r="B2413" s="4">
        <v>1503</v>
      </c>
      <c r="C2413" s="4" t="s">
        <v>884</v>
      </c>
      <c r="D2413" s="4" t="s">
        <v>949</v>
      </c>
      <c r="E2413" s="4">
        <v>250</v>
      </c>
      <c r="F2413" s="4" t="s">
        <v>917</v>
      </c>
      <c r="G2413" s="4"/>
      <c r="H2413" s="4"/>
      <c r="I2413" s="4"/>
      <c r="J2413" s="4"/>
    </row>
    <row r="2414" spans="1:10" ht="15" customHeight="1" x14ac:dyDescent="0.2">
      <c r="A2414" s="4">
        <v>2413</v>
      </c>
      <c r="B2414" s="4">
        <v>1504</v>
      </c>
      <c r="C2414" s="4" t="s">
        <v>885</v>
      </c>
      <c r="D2414" s="4" t="s">
        <v>916</v>
      </c>
      <c r="E2414" s="4">
        <v>100</v>
      </c>
      <c r="F2414" s="4" t="s">
        <v>917</v>
      </c>
      <c r="G2414" s="4"/>
      <c r="H2414" s="4"/>
      <c r="I2414" s="4"/>
      <c r="J2414" s="4"/>
    </row>
    <row r="2415" spans="1:10" ht="15" customHeight="1" x14ac:dyDescent="0.2">
      <c r="A2415" s="4">
        <v>2414</v>
      </c>
      <c r="B2415" s="4">
        <v>1504</v>
      </c>
      <c r="C2415" s="4" t="s">
        <v>885</v>
      </c>
      <c r="D2415" s="4" t="s">
        <v>918</v>
      </c>
      <c r="E2415" s="4">
        <v>150</v>
      </c>
      <c r="F2415" s="4" t="s">
        <v>917</v>
      </c>
      <c r="G2415" s="4"/>
      <c r="H2415" s="4"/>
      <c r="I2415" s="4"/>
      <c r="J2415" s="4"/>
    </row>
    <row r="2416" spans="1:10" ht="15" customHeight="1" x14ac:dyDescent="0.2">
      <c r="A2416" s="4">
        <v>2415</v>
      </c>
      <c r="B2416" s="4">
        <v>1504</v>
      </c>
      <c r="C2416" s="4" t="s">
        <v>885</v>
      </c>
      <c r="D2416" s="4" t="s">
        <v>919</v>
      </c>
      <c r="E2416" s="4">
        <v>200</v>
      </c>
      <c r="F2416" s="4" t="s">
        <v>917</v>
      </c>
      <c r="G2416" s="4"/>
      <c r="H2416" s="4"/>
      <c r="I2416" s="4"/>
      <c r="J2416" s="4"/>
    </row>
    <row r="2417" spans="1:10" ht="15" customHeight="1" x14ac:dyDescent="0.2">
      <c r="A2417" s="4">
        <v>2416</v>
      </c>
      <c r="B2417" s="4">
        <v>1504</v>
      </c>
      <c r="C2417" s="4" t="s">
        <v>885</v>
      </c>
      <c r="D2417" s="4" t="s">
        <v>949</v>
      </c>
      <c r="E2417" s="4">
        <v>250</v>
      </c>
      <c r="F2417" s="4" t="s">
        <v>917</v>
      </c>
      <c r="G2417" s="4"/>
      <c r="H2417" s="4"/>
      <c r="I2417" s="4"/>
      <c r="J2417" s="4"/>
    </row>
    <row r="2418" spans="1:10" ht="15" customHeight="1" x14ac:dyDescent="0.2">
      <c r="A2418" s="4">
        <v>2417</v>
      </c>
      <c r="B2418" s="4">
        <v>1505</v>
      </c>
      <c r="C2418" s="4" t="s">
        <v>886</v>
      </c>
      <c r="D2418" s="4" t="s">
        <v>916</v>
      </c>
      <c r="E2418" s="4">
        <v>100</v>
      </c>
      <c r="F2418" s="4" t="s">
        <v>917</v>
      </c>
      <c r="G2418" s="4"/>
      <c r="H2418" s="4"/>
      <c r="I2418" s="4"/>
      <c r="J2418" s="4"/>
    </row>
    <row r="2419" spans="1:10" ht="15" customHeight="1" x14ac:dyDescent="0.2">
      <c r="A2419" s="4">
        <v>2418</v>
      </c>
      <c r="B2419" s="4">
        <v>1505</v>
      </c>
      <c r="C2419" s="4" t="s">
        <v>886</v>
      </c>
      <c r="D2419" s="4" t="s">
        <v>918</v>
      </c>
      <c r="E2419" s="4">
        <v>150</v>
      </c>
      <c r="F2419" s="4" t="s">
        <v>917</v>
      </c>
      <c r="G2419" s="4"/>
      <c r="H2419" s="4"/>
      <c r="I2419" s="4"/>
      <c r="J2419" s="4"/>
    </row>
    <row r="2420" spans="1:10" ht="15" customHeight="1" x14ac:dyDescent="0.2">
      <c r="A2420" s="4">
        <v>2419</v>
      </c>
      <c r="B2420" s="4">
        <v>1505</v>
      </c>
      <c r="C2420" s="4" t="s">
        <v>886</v>
      </c>
      <c r="D2420" s="4" t="s">
        <v>919</v>
      </c>
      <c r="E2420" s="4">
        <v>200</v>
      </c>
      <c r="F2420" s="4" t="s">
        <v>917</v>
      </c>
      <c r="G2420" s="4"/>
      <c r="H2420" s="4"/>
      <c r="I2420" s="4"/>
      <c r="J2420" s="4"/>
    </row>
    <row r="2421" spans="1:10" ht="15" customHeight="1" x14ac:dyDescent="0.2">
      <c r="A2421" s="4">
        <v>2420</v>
      </c>
      <c r="B2421" s="4">
        <v>1505</v>
      </c>
      <c r="C2421" s="4" t="s">
        <v>886</v>
      </c>
      <c r="D2421" s="4" t="s">
        <v>949</v>
      </c>
      <c r="E2421" s="4">
        <v>250</v>
      </c>
      <c r="F2421" s="4" t="s">
        <v>917</v>
      </c>
      <c r="G2421" s="4"/>
      <c r="H2421" s="4"/>
      <c r="I2421" s="4"/>
      <c r="J2421" s="4"/>
    </row>
    <row r="2422" spans="1:10" ht="15" customHeight="1" x14ac:dyDescent="0.2">
      <c r="A2422" s="4">
        <v>2421</v>
      </c>
      <c r="B2422" s="4">
        <v>1506</v>
      </c>
      <c r="C2422" s="4" t="s">
        <v>887</v>
      </c>
      <c r="D2422" s="4" t="s">
        <v>916</v>
      </c>
      <c r="E2422" s="4">
        <v>100</v>
      </c>
      <c r="F2422" s="4" t="s">
        <v>917</v>
      </c>
      <c r="G2422" s="4"/>
      <c r="H2422" s="4"/>
      <c r="I2422" s="4"/>
      <c r="J2422" s="4"/>
    </row>
    <row r="2423" spans="1:10" ht="15" customHeight="1" x14ac:dyDescent="0.2">
      <c r="A2423" s="4">
        <v>2422</v>
      </c>
      <c r="B2423" s="4">
        <v>1506</v>
      </c>
      <c r="C2423" s="4" t="s">
        <v>887</v>
      </c>
      <c r="D2423" s="4" t="s">
        <v>918</v>
      </c>
      <c r="E2423" s="4">
        <v>150</v>
      </c>
      <c r="F2423" s="4" t="s">
        <v>917</v>
      </c>
      <c r="G2423" s="4"/>
      <c r="H2423" s="4"/>
      <c r="I2423" s="4"/>
      <c r="J2423" s="4"/>
    </row>
    <row r="2424" spans="1:10" ht="15" customHeight="1" x14ac:dyDescent="0.2">
      <c r="A2424" s="4">
        <v>2423</v>
      </c>
      <c r="B2424" s="4">
        <v>1506</v>
      </c>
      <c r="C2424" s="4" t="s">
        <v>887</v>
      </c>
      <c r="D2424" s="4" t="s">
        <v>919</v>
      </c>
      <c r="E2424" s="4">
        <v>200</v>
      </c>
      <c r="F2424" s="4" t="s">
        <v>917</v>
      </c>
      <c r="G2424" s="4"/>
      <c r="H2424" s="4"/>
      <c r="I2424" s="4"/>
      <c r="J2424" s="4"/>
    </row>
    <row r="2425" spans="1:10" ht="15" customHeight="1" x14ac:dyDescent="0.2">
      <c r="A2425" s="4">
        <v>2424</v>
      </c>
      <c r="B2425" s="4">
        <v>1506</v>
      </c>
      <c r="C2425" s="4" t="s">
        <v>887</v>
      </c>
      <c r="D2425" s="4" t="s">
        <v>949</v>
      </c>
      <c r="E2425" s="4">
        <v>250</v>
      </c>
      <c r="F2425" s="4" t="s">
        <v>917</v>
      </c>
      <c r="G2425" s="4"/>
      <c r="H2425" s="4"/>
      <c r="I2425" s="4"/>
      <c r="J2425" s="4"/>
    </row>
    <row r="2426" spans="1:10" ht="15" customHeight="1" x14ac:dyDescent="0.2">
      <c r="A2426" s="4">
        <v>2425</v>
      </c>
      <c r="B2426" s="4">
        <v>1507</v>
      </c>
      <c r="C2426" s="4" t="s">
        <v>888</v>
      </c>
      <c r="D2426" s="4" t="s">
        <v>916</v>
      </c>
      <c r="E2426" s="4">
        <v>100</v>
      </c>
      <c r="F2426" s="4" t="s">
        <v>917</v>
      </c>
      <c r="G2426" s="4"/>
      <c r="H2426" s="4"/>
      <c r="I2426" s="4"/>
      <c r="J2426" s="4"/>
    </row>
    <row r="2427" spans="1:10" ht="15" customHeight="1" x14ac:dyDescent="0.2">
      <c r="A2427" s="4">
        <v>2426</v>
      </c>
      <c r="B2427" s="4">
        <v>1507</v>
      </c>
      <c r="C2427" s="4" t="s">
        <v>888</v>
      </c>
      <c r="D2427" s="4" t="s">
        <v>918</v>
      </c>
      <c r="E2427" s="4">
        <v>150</v>
      </c>
      <c r="F2427" s="4" t="s">
        <v>917</v>
      </c>
      <c r="G2427" s="4"/>
      <c r="H2427" s="4"/>
      <c r="I2427" s="4"/>
      <c r="J2427" s="4"/>
    </row>
    <row r="2428" spans="1:10" ht="15" customHeight="1" x14ac:dyDescent="0.2">
      <c r="A2428" s="4">
        <v>2427</v>
      </c>
      <c r="B2428" s="4">
        <v>1507</v>
      </c>
      <c r="C2428" s="4" t="s">
        <v>888</v>
      </c>
      <c r="D2428" s="4" t="s">
        <v>919</v>
      </c>
      <c r="E2428" s="4">
        <v>200</v>
      </c>
      <c r="F2428" s="4" t="s">
        <v>917</v>
      </c>
      <c r="G2428" s="4"/>
      <c r="H2428" s="4"/>
      <c r="I2428" s="4"/>
      <c r="J2428" s="4"/>
    </row>
    <row r="2429" spans="1:10" ht="15" customHeight="1" x14ac:dyDescent="0.2">
      <c r="A2429" s="4">
        <v>2428</v>
      </c>
      <c r="B2429" s="4">
        <v>1507</v>
      </c>
      <c r="C2429" s="4" t="s">
        <v>888</v>
      </c>
      <c r="D2429" s="4" t="s">
        <v>949</v>
      </c>
      <c r="E2429" s="4">
        <v>250</v>
      </c>
      <c r="F2429" s="4" t="s">
        <v>917</v>
      </c>
      <c r="G2429" s="4"/>
      <c r="H2429" s="4"/>
      <c r="I2429" s="4"/>
      <c r="J2429" s="4"/>
    </row>
    <row r="2430" spans="1:10" ht="15" customHeight="1" x14ac:dyDescent="0.2">
      <c r="A2430" s="4">
        <v>2429</v>
      </c>
      <c r="B2430" s="4">
        <v>1508</v>
      </c>
      <c r="C2430" s="4" t="s">
        <v>889</v>
      </c>
      <c r="D2430" s="4" t="s">
        <v>916</v>
      </c>
      <c r="E2430" s="4">
        <v>100</v>
      </c>
      <c r="F2430" s="4" t="s">
        <v>917</v>
      </c>
      <c r="G2430" s="4"/>
      <c r="H2430" s="4"/>
      <c r="I2430" s="4"/>
      <c r="J2430" s="4"/>
    </row>
    <row r="2431" spans="1:10" ht="15" customHeight="1" x14ac:dyDescent="0.2">
      <c r="A2431" s="4">
        <v>2430</v>
      </c>
      <c r="B2431" s="4">
        <v>1508</v>
      </c>
      <c r="C2431" s="4" t="s">
        <v>889</v>
      </c>
      <c r="D2431" s="4" t="s">
        <v>918</v>
      </c>
      <c r="E2431" s="4">
        <v>150</v>
      </c>
      <c r="F2431" s="4" t="s">
        <v>917</v>
      </c>
      <c r="G2431" s="4"/>
      <c r="H2431" s="4"/>
      <c r="I2431" s="4"/>
      <c r="J2431" s="4"/>
    </row>
    <row r="2432" spans="1:10" ht="15" customHeight="1" x14ac:dyDescent="0.2">
      <c r="A2432" s="4">
        <v>2431</v>
      </c>
      <c r="B2432" s="4">
        <v>1508</v>
      </c>
      <c r="C2432" s="4" t="s">
        <v>889</v>
      </c>
      <c r="D2432" s="4" t="s">
        <v>919</v>
      </c>
      <c r="E2432" s="4">
        <v>200</v>
      </c>
      <c r="F2432" s="4" t="s">
        <v>917</v>
      </c>
      <c r="G2432" s="4"/>
      <c r="H2432" s="4"/>
      <c r="I2432" s="4"/>
      <c r="J2432" s="4"/>
    </row>
    <row r="2433" spans="1:10" ht="15" customHeight="1" x14ac:dyDescent="0.2">
      <c r="A2433" s="4">
        <v>2432</v>
      </c>
      <c r="B2433" s="4">
        <v>1508</v>
      </c>
      <c r="C2433" s="4" t="s">
        <v>889</v>
      </c>
      <c r="D2433" s="4" t="s">
        <v>949</v>
      </c>
      <c r="E2433" s="4">
        <v>250</v>
      </c>
      <c r="F2433" s="4" t="s">
        <v>917</v>
      </c>
      <c r="G2433" s="4"/>
      <c r="H2433" s="4"/>
      <c r="I2433" s="4"/>
      <c r="J2433" s="4"/>
    </row>
    <row r="2434" spans="1:10" ht="15" customHeight="1" x14ac:dyDescent="0.2">
      <c r="A2434" s="4">
        <v>2433</v>
      </c>
      <c r="B2434" s="4">
        <v>1509</v>
      </c>
      <c r="C2434" s="4" t="s">
        <v>890</v>
      </c>
      <c r="D2434" s="4" t="s">
        <v>916</v>
      </c>
      <c r="E2434" s="4">
        <v>100</v>
      </c>
      <c r="F2434" s="4" t="s">
        <v>917</v>
      </c>
      <c r="G2434" s="4"/>
      <c r="H2434" s="4"/>
      <c r="I2434" s="4"/>
      <c r="J2434" s="4"/>
    </row>
    <row r="2435" spans="1:10" ht="15" customHeight="1" x14ac:dyDescent="0.2">
      <c r="A2435" s="4">
        <v>2434</v>
      </c>
      <c r="B2435" s="4">
        <v>1509</v>
      </c>
      <c r="C2435" s="4" t="s">
        <v>890</v>
      </c>
      <c r="D2435" s="4" t="s">
        <v>918</v>
      </c>
      <c r="E2435" s="4">
        <v>150</v>
      </c>
      <c r="F2435" s="4" t="s">
        <v>917</v>
      </c>
      <c r="G2435" s="4"/>
      <c r="H2435" s="4"/>
      <c r="I2435" s="4"/>
      <c r="J2435" s="4"/>
    </row>
    <row r="2436" spans="1:10" ht="15" customHeight="1" x14ac:dyDescent="0.2">
      <c r="A2436" s="4">
        <v>2435</v>
      </c>
      <c r="B2436" s="4">
        <v>1509</v>
      </c>
      <c r="C2436" s="4" t="s">
        <v>890</v>
      </c>
      <c r="D2436" s="4" t="s">
        <v>919</v>
      </c>
      <c r="E2436" s="4">
        <v>200</v>
      </c>
      <c r="F2436" s="4" t="s">
        <v>917</v>
      </c>
      <c r="G2436" s="4"/>
      <c r="H2436" s="4"/>
      <c r="I2436" s="4"/>
      <c r="J2436" s="4"/>
    </row>
    <row r="2437" spans="1:10" ht="15" customHeight="1" x14ac:dyDescent="0.2">
      <c r="A2437" s="4">
        <v>2436</v>
      </c>
      <c r="B2437" s="4">
        <v>1509</v>
      </c>
      <c r="C2437" s="4" t="s">
        <v>890</v>
      </c>
      <c r="D2437" s="4" t="s">
        <v>949</v>
      </c>
      <c r="E2437" s="4">
        <v>250</v>
      </c>
      <c r="F2437" s="4" t="s">
        <v>917</v>
      </c>
      <c r="G2437" s="4"/>
      <c r="H2437" s="4"/>
      <c r="I2437" s="4"/>
      <c r="J2437" s="4"/>
    </row>
    <row r="2438" spans="1:10" ht="27.75" customHeight="1" x14ac:dyDescent="0.2">
      <c r="A2438" s="4">
        <v>2437</v>
      </c>
      <c r="B2438" s="4">
        <v>1510</v>
      </c>
      <c r="C2438" s="4" t="s">
        <v>891</v>
      </c>
      <c r="D2438" s="4" t="s">
        <v>950</v>
      </c>
      <c r="E2438" s="4">
        <v>125</v>
      </c>
      <c r="F2438" s="4" t="s">
        <v>917</v>
      </c>
      <c r="G2438" s="4"/>
      <c r="H2438" s="4"/>
      <c r="I2438" s="4"/>
      <c r="J2438" s="4"/>
    </row>
    <row r="2439" spans="1:10" ht="15" customHeight="1" x14ac:dyDescent="0.2">
      <c r="A2439" s="4">
        <v>2438</v>
      </c>
      <c r="B2439" s="4">
        <v>1510</v>
      </c>
      <c r="C2439" s="4" t="s">
        <v>891</v>
      </c>
      <c r="D2439" s="4" t="s">
        <v>951</v>
      </c>
      <c r="E2439" s="4">
        <v>150</v>
      </c>
      <c r="F2439" s="4" t="s">
        <v>917</v>
      </c>
      <c r="G2439" s="4"/>
      <c r="H2439" s="4"/>
      <c r="I2439" s="4"/>
      <c r="J2439" s="4"/>
    </row>
    <row r="2440" spans="1:10" ht="15" customHeight="1" x14ac:dyDescent="0.2">
      <c r="A2440" s="4">
        <v>2439</v>
      </c>
      <c r="B2440" s="4">
        <v>1510</v>
      </c>
      <c r="C2440" s="4" t="s">
        <v>891</v>
      </c>
      <c r="D2440" s="4" t="s">
        <v>952</v>
      </c>
      <c r="E2440" s="4">
        <v>200</v>
      </c>
      <c r="F2440" s="4" t="s">
        <v>917</v>
      </c>
      <c r="G2440" s="4"/>
      <c r="H2440" s="4"/>
      <c r="I2440" s="4"/>
      <c r="J2440" s="4"/>
    </row>
    <row r="2441" spans="1:10" ht="27.75" customHeight="1" x14ac:dyDescent="0.2">
      <c r="A2441" s="4">
        <v>2440</v>
      </c>
      <c r="B2441" s="4">
        <v>1510</v>
      </c>
      <c r="C2441" s="4" t="s">
        <v>891</v>
      </c>
      <c r="D2441" s="4" t="s">
        <v>953</v>
      </c>
      <c r="E2441" s="4">
        <v>250</v>
      </c>
      <c r="F2441" s="4" t="s">
        <v>917</v>
      </c>
      <c r="G2441" s="4"/>
      <c r="H2441" s="4"/>
      <c r="I2441" s="4"/>
      <c r="J2441" s="4"/>
    </row>
    <row r="2442" spans="1:10" ht="27.75" customHeight="1" x14ac:dyDescent="0.2">
      <c r="A2442" s="4">
        <v>2441</v>
      </c>
      <c r="B2442" s="4">
        <v>1511</v>
      </c>
      <c r="C2442" s="4" t="s">
        <v>892</v>
      </c>
      <c r="D2442" s="4" t="s">
        <v>950</v>
      </c>
      <c r="E2442" s="4">
        <v>125</v>
      </c>
      <c r="F2442" s="4" t="s">
        <v>917</v>
      </c>
      <c r="G2442" s="4"/>
      <c r="H2442" s="4"/>
      <c r="I2442" s="4"/>
      <c r="J2442" s="4"/>
    </row>
    <row r="2443" spans="1:10" ht="15" customHeight="1" x14ac:dyDescent="0.2">
      <c r="A2443" s="4">
        <v>2442</v>
      </c>
      <c r="B2443" s="4">
        <v>1511</v>
      </c>
      <c r="C2443" s="4" t="s">
        <v>892</v>
      </c>
      <c r="D2443" s="4" t="s">
        <v>951</v>
      </c>
      <c r="E2443" s="4">
        <v>150</v>
      </c>
      <c r="F2443" s="4" t="s">
        <v>917</v>
      </c>
      <c r="G2443" s="4"/>
      <c r="H2443" s="4"/>
      <c r="I2443" s="4"/>
      <c r="J2443" s="4"/>
    </row>
    <row r="2444" spans="1:10" ht="15" customHeight="1" x14ac:dyDescent="0.2">
      <c r="A2444" s="4">
        <v>2443</v>
      </c>
      <c r="B2444" s="4">
        <v>1511</v>
      </c>
      <c r="C2444" s="4" t="s">
        <v>892</v>
      </c>
      <c r="D2444" s="4" t="s">
        <v>952</v>
      </c>
      <c r="E2444" s="4">
        <v>200</v>
      </c>
      <c r="F2444" s="4" t="s">
        <v>917</v>
      </c>
      <c r="G2444" s="4"/>
      <c r="H2444" s="4"/>
      <c r="I2444" s="4"/>
      <c r="J2444" s="4"/>
    </row>
    <row r="2445" spans="1:10" ht="27.75" customHeight="1" x14ac:dyDescent="0.2">
      <c r="A2445" s="4">
        <v>2444</v>
      </c>
      <c r="B2445" s="4">
        <v>1511</v>
      </c>
      <c r="C2445" s="4" t="s">
        <v>892</v>
      </c>
      <c r="D2445" s="4" t="s">
        <v>953</v>
      </c>
      <c r="E2445" s="4">
        <v>250</v>
      </c>
      <c r="F2445" s="4" t="s">
        <v>917</v>
      </c>
      <c r="G2445" s="4"/>
      <c r="H2445" s="4"/>
      <c r="I2445" s="4"/>
      <c r="J2445" s="4"/>
    </row>
    <row r="2446" spans="1:10" ht="27.75" customHeight="1" x14ac:dyDescent="0.2">
      <c r="A2446" s="4">
        <v>2445</v>
      </c>
      <c r="B2446" s="4">
        <v>1512</v>
      </c>
      <c r="C2446" s="4" t="s">
        <v>896</v>
      </c>
      <c r="D2446" s="4" t="s">
        <v>950</v>
      </c>
      <c r="E2446" s="4">
        <v>125</v>
      </c>
      <c r="F2446" s="4" t="s">
        <v>917</v>
      </c>
      <c r="G2446" s="4"/>
      <c r="H2446" s="4"/>
      <c r="I2446" s="4"/>
      <c r="J2446" s="4"/>
    </row>
    <row r="2447" spans="1:10" ht="27.75" customHeight="1" x14ac:dyDescent="0.2">
      <c r="A2447" s="4">
        <v>2446</v>
      </c>
      <c r="B2447" s="4">
        <v>1512</v>
      </c>
      <c r="C2447" s="4" t="s">
        <v>896</v>
      </c>
      <c r="D2447" s="4" t="s">
        <v>951</v>
      </c>
      <c r="E2447" s="4">
        <v>150</v>
      </c>
      <c r="F2447" s="4" t="s">
        <v>917</v>
      </c>
      <c r="G2447" s="4"/>
      <c r="H2447" s="4"/>
      <c r="I2447" s="4"/>
      <c r="J2447" s="4"/>
    </row>
    <row r="2448" spans="1:10" ht="27.75" customHeight="1" x14ac:dyDescent="0.2">
      <c r="A2448" s="4">
        <v>2447</v>
      </c>
      <c r="B2448" s="4">
        <v>1512</v>
      </c>
      <c r="C2448" s="4" t="s">
        <v>896</v>
      </c>
      <c r="D2448" s="4" t="s">
        <v>952</v>
      </c>
      <c r="E2448" s="4">
        <v>200</v>
      </c>
      <c r="F2448" s="4" t="s">
        <v>917</v>
      </c>
      <c r="G2448" s="4"/>
      <c r="H2448" s="4"/>
      <c r="I2448" s="4"/>
      <c r="J2448" s="4"/>
    </row>
    <row r="2449" spans="1:10" ht="27.75" customHeight="1" x14ac:dyDescent="0.2">
      <c r="A2449" s="4">
        <v>2448</v>
      </c>
      <c r="B2449" s="4">
        <v>1512</v>
      </c>
      <c r="C2449" s="4" t="s">
        <v>896</v>
      </c>
      <c r="D2449" s="4" t="s">
        <v>953</v>
      </c>
      <c r="E2449" s="4">
        <v>250</v>
      </c>
      <c r="F2449" s="4" t="s">
        <v>917</v>
      </c>
      <c r="G2449" s="4"/>
      <c r="H2449" s="4"/>
      <c r="I2449" s="4"/>
      <c r="J2449" s="4"/>
    </row>
    <row r="2450" spans="1:10" ht="27.75" customHeight="1" x14ac:dyDescent="0.2">
      <c r="A2450" s="4">
        <v>2449</v>
      </c>
      <c r="B2450" s="4">
        <v>1513</v>
      </c>
      <c r="C2450" s="4" t="s">
        <v>898</v>
      </c>
      <c r="D2450" s="4" t="s">
        <v>950</v>
      </c>
      <c r="E2450" s="4">
        <v>125</v>
      </c>
      <c r="F2450" s="4" t="s">
        <v>917</v>
      </c>
      <c r="G2450" s="4"/>
      <c r="H2450" s="4"/>
      <c r="I2450" s="4"/>
      <c r="J2450" s="4"/>
    </row>
    <row r="2451" spans="1:10" ht="15" customHeight="1" x14ac:dyDescent="0.2">
      <c r="A2451" s="4">
        <v>2450</v>
      </c>
      <c r="B2451" s="4">
        <v>1513</v>
      </c>
      <c r="C2451" s="4" t="s">
        <v>898</v>
      </c>
      <c r="D2451" s="4" t="s">
        <v>951</v>
      </c>
      <c r="E2451" s="4">
        <v>150</v>
      </c>
      <c r="F2451" s="4" t="s">
        <v>917</v>
      </c>
      <c r="G2451" s="4"/>
      <c r="H2451" s="4"/>
      <c r="I2451" s="4"/>
      <c r="J2451" s="4"/>
    </row>
    <row r="2452" spans="1:10" ht="15" customHeight="1" x14ac:dyDescent="0.2">
      <c r="A2452" s="4">
        <v>2451</v>
      </c>
      <c r="B2452" s="4">
        <v>1513</v>
      </c>
      <c r="C2452" s="4" t="s">
        <v>898</v>
      </c>
      <c r="D2452" s="4" t="s">
        <v>952</v>
      </c>
      <c r="E2452" s="4">
        <v>200</v>
      </c>
      <c r="F2452" s="4" t="s">
        <v>917</v>
      </c>
      <c r="G2452" s="4"/>
      <c r="H2452" s="4"/>
      <c r="I2452" s="4"/>
      <c r="J2452" s="4"/>
    </row>
    <row r="2453" spans="1:10" ht="27.75" customHeight="1" x14ac:dyDescent="0.2">
      <c r="A2453" s="4">
        <v>2452</v>
      </c>
      <c r="B2453" s="4">
        <v>1513</v>
      </c>
      <c r="C2453" s="4" t="s">
        <v>898</v>
      </c>
      <c r="D2453" s="4" t="s">
        <v>953</v>
      </c>
      <c r="E2453" s="4">
        <v>250</v>
      </c>
      <c r="F2453" s="4" t="s">
        <v>917</v>
      </c>
      <c r="G2453" s="4"/>
      <c r="H2453" s="4"/>
      <c r="I2453" s="4"/>
      <c r="J2453" s="4"/>
    </row>
    <row r="2454" spans="1:10" ht="27.75" customHeight="1" x14ac:dyDescent="0.2">
      <c r="A2454" s="4">
        <v>2453</v>
      </c>
      <c r="B2454" s="4">
        <v>1514</v>
      </c>
      <c r="C2454" s="4" t="s">
        <v>900</v>
      </c>
      <c r="D2454" s="4" t="s">
        <v>950</v>
      </c>
      <c r="E2454" s="4">
        <v>125</v>
      </c>
      <c r="F2454" s="4" t="s">
        <v>917</v>
      </c>
      <c r="G2454" s="4"/>
      <c r="H2454" s="4"/>
      <c r="I2454" s="4"/>
      <c r="J2454" s="4"/>
    </row>
    <row r="2455" spans="1:10" ht="15" customHeight="1" x14ac:dyDescent="0.2">
      <c r="A2455" s="4">
        <v>2454</v>
      </c>
      <c r="B2455" s="4">
        <v>1514</v>
      </c>
      <c r="C2455" s="4" t="s">
        <v>900</v>
      </c>
      <c r="D2455" s="4" t="s">
        <v>951</v>
      </c>
      <c r="E2455" s="4">
        <v>150</v>
      </c>
      <c r="F2455" s="4" t="s">
        <v>917</v>
      </c>
      <c r="G2455" s="4"/>
      <c r="H2455" s="4"/>
      <c r="I2455" s="4"/>
      <c r="J2455" s="4"/>
    </row>
    <row r="2456" spans="1:10" ht="15" customHeight="1" x14ac:dyDescent="0.2">
      <c r="A2456" s="4">
        <v>2455</v>
      </c>
      <c r="B2456" s="4">
        <v>1514</v>
      </c>
      <c r="C2456" s="4" t="s">
        <v>900</v>
      </c>
      <c r="D2456" s="4" t="s">
        <v>952</v>
      </c>
      <c r="E2456" s="4">
        <v>200</v>
      </c>
      <c r="F2456" s="4" t="s">
        <v>917</v>
      </c>
      <c r="G2456" s="4"/>
      <c r="H2456" s="4"/>
      <c r="I2456" s="4"/>
      <c r="J2456" s="4"/>
    </row>
    <row r="2457" spans="1:10" ht="27.75" customHeight="1" x14ac:dyDescent="0.2">
      <c r="A2457" s="4">
        <v>2456</v>
      </c>
      <c r="B2457" s="4">
        <v>1514</v>
      </c>
      <c r="C2457" s="4" t="s">
        <v>900</v>
      </c>
      <c r="D2457" s="4" t="s">
        <v>953</v>
      </c>
      <c r="E2457" s="4">
        <v>250</v>
      </c>
      <c r="F2457" s="4" t="s">
        <v>917</v>
      </c>
      <c r="G2457" s="4"/>
      <c r="H2457" s="4"/>
      <c r="I2457" s="4"/>
      <c r="J2457" s="4"/>
    </row>
    <row r="2458" spans="1:10" ht="27.75" customHeight="1" x14ac:dyDescent="0.2">
      <c r="A2458" s="4">
        <v>2457</v>
      </c>
      <c r="B2458" s="4">
        <v>1515</v>
      </c>
      <c r="C2458" s="4" t="s">
        <v>901</v>
      </c>
      <c r="D2458" s="4" t="s">
        <v>950</v>
      </c>
      <c r="E2458" s="4">
        <v>125</v>
      </c>
      <c r="F2458" s="4" t="s">
        <v>917</v>
      </c>
      <c r="G2458" s="4"/>
      <c r="H2458" s="4"/>
      <c r="I2458" s="4"/>
      <c r="J2458" s="4"/>
    </row>
    <row r="2459" spans="1:10" ht="15" customHeight="1" x14ac:dyDescent="0.2">
      <c r="A2459" s="4">
        <v>2458</v>
      </c>
      <c r="B2459" s="4">
        <v>1515</v>
      </c>
      <c r="C2459" s="4" t="s">
        <v>901</v>
      </c>
      <c r="D2459" s="4" t="s">
        <v>951</v>
      </c>
      <c r="E2459" s="4">
        <v>150</v>
      </c>
      <c r="F2459" s="4" t="s">
        <v>917</v>
      </c>
      <c r="G2459" s="4"/>
      <c r="H2459" s="4"/>
      <c r="I2459" s="4"/>
      <c r="J2459" s="4"/>
    </row>
    <row r="2460" spans="1:10" ht="15" customHeight="1" x14ac:dyDescent="0.2">
      <c r="A2460" s="4">
        <v>2459</v>
      </c>
      <c r="B2460" s="4">
        <v>1515</v>
      </c>
      <c r="C2460" s="4" t="s">
        <v>901</v>
      </c>
      <c r="D2460" s="4" t="s">
        <v>952</v>
      </c>
      <c r="E2460" s="4">
        <v>200</v>
      </c>
      <c r="F2460" s="4" t="s">
        <v>917</v>
      </c>
      <c r="G2460" s="4"/>
      <c r="H2460" s="4"/>
      <c r="I2460" s="4"/>
      <c r="J2460" s="4"/>
    </row>
    <row r="2461" spans="1:10" ht="27.75" customHeight="1" x14ac:dyDescent="0.2">
      <c r="A2461" s="4">
        <v>2460</v>
      </c>
      <c r="B2461" s="4">
        <v>1515</v>
      </c>
      <c r="C2461" s="4" t="s">
        <v>901</v>
      </c>
      <c r="D2461" s="4" t="s">
        <v>953</v>
      </c>
      <c r="E2461" s="4">
        <v>250</v>
      </c>
      <c r="F2461" s="4" t="s">
        <v>917</v>
      </c>
      <c r="G2461" s="4"/>
      <c r="H2461" s="4"/>
      <c r="I2461" s="4"/>
      <c r="J2461" s="4"/>
    </row>
    <row r="2462" spans="1:10" ht="27.75" customHeight="1" x14ac:dyDescent="0.2">
      <c r="A2462" s="4">
        <v>2461</v>
      </c>
      <c r="B2462" s="4">
        <v>1516</v>
      </c>
      <c r="C2462" s="4" t="s">
        <v>903</v>
      </c>
      <c r="D2462" s="4" t="s">
        <v>950</v>
      </c>
      <c r="E2462" s="4">
        <v>125</v>
      </c>
      <c r="F2462" s="4" t="s">
        <v>917</v>
      </c>
      <c r="G2462" s="4"/>
      <c r="H2462" s="4"/>
      <c r="I2462" s="4"/>
      <c r="J2462" s="4"/>
    </row>
    <row r="2463" spans="1:10" ht="27.75" customHeight="1" x14ac:dyDescent="0.2">
      <c r="A2463" s="4">
        <v>2462</v>
      </c>
      <c r="B2463" s="4">
        <v>1516</v>
      </c>
      <c r="C2463" s="4" t="s">
        <v>903</v>
      </c>
      <c r="D2463" s="4" t="s">
        <v>951</v>
      </c>
      <c r="E2463" s="4">
        <v>150</v>
      </c>
      <c r="F2463" s="4" t="s">
        <v>917</v>
      </c>
      <c r="G2463" s="4"/>
      <c r="H2463" s="4"/>
      <c r="I2463" s="4"/>
      <c r="J2463" s="4"/>
    </row>
    <row r="2464" spans="1:10" ht="27.75" customHeight="1" x14ac:dyDescent="0.2">
      <c r="A2464" s="4">
        <v>2463</v>
      </c>
      <c r="B2464" s="4">
        <v>1516</v>
      </c>
      <c r="C2464" s="4" t="s">
        <v>903</v>
      </c>
      <c r="D2464" s="4" t="s">
        <v>952</v>
      </c>
      <c r="E2464" s="4">
        <v>200</v>
      </c>
      <c r="F2464" s="4" t="s">
        <v>917</v>
      </c>
      <c r="G2464" s="4"/>
      <c r="H2464" s="4"/>
      <c r="I2464" s="4"/>
      <c r="J2464" s="4"/>
    </row>
    <row r="2465" spans="1:10" ht="27.75" customHeight="1" x14ac:dyDescent="0.2">
      <c r="A2465" s="4">
        <v>2464</v>
      </c>
      <c r="B2465" s="4">
        <v>1516</v>
      </c>
      <c r="C2465" s="4" t="s">
        <v>903</v>
      </c>
      <c r="D2465" s="4" t="s">
        <v>953</v>
      </c>
      <c r="E2465" s="4">
        <v>250</v>
      </c>
      <c r="F2465" s="4" t="s">
        <v>917</v>
      </c>
      <c r="G2465" s="4"/>
      <c r="H2465" s="4"/>
      <c r="I2465" s="4"/>
      <c r="J2465" s="4"/>
    </row>
    <row r="2466" spans="1:10" ht="27.75" customHeight="1" x14ac:dyDescent="0.2">
      <c r="A2466" s="4">
        <v>2465</v>
      </c>
      <c r="B2466" s="4">
        <v>1517</v>
      </c>
      <c r="C2466" s="4" t="s">
        <v>905</v>
      </c>
      <c r="D2466" s="4" t="s">
        <v>950</v>
      </c>
      <c r="E2466" s="4">
        <v>125</v>
      </c>
      <c r="F2466" s="4" t="s">
        <v>917</v>
      </c>
      <c r="G2466" s="4"/>
      <c r="H2466" s="4"/>
      <c r="I2466" s="4"/>
      <c r="J2466" s="4"/>
    </row>
    <row r="2467" spans="1:10" ht="15" customHeight="1" x14ac:dyDescent="0.2">
      <c r="A2467" s="4">
        <v>2466</v>
      </c>
      <c r="B2467" s="4">
        <v>1517</v>
      </c>
      <c r="C2467" s="4" t="s">
        <v>905</v>
      </c>
      <c r="D2467" s="4" t="s">
        <v>951</v>
      </c>
      <c r="E2467" s="4">
        <v>150</v>
      </c>
      <c r="F2467" s="4" t="s">
        <v>917</v>
      </c>
      <c r="G2467" s="4"/>
      <c r="H2467" s="4"/>
      <c r="I2467" s="4"/>
      <c r="J2467" s="4"/>
    </row>
    <row r="2468" spans="1:10" ht="15" customHeight="1" x14ac:dyDescent="0.2">
      <c r="A2468" s="4">
        <v>2467</v>
      </c>
      <c r="B2468" s="4">
        <v>1517</v>
      </c>
      <c r="C2468" s="4" t="s">
        <v>905</v>
      </c>
      <c r="D2468" s="4" t="s">
        <v>952</v>
      </c>
      <c r="E2468" s="4">
        <v>200</v>
      </c>
      <c r="F2468" s="4" t="s">
        <v>917</v>
      </c>
      <c r="G2468" s="4"/>
      <c r="H2468" s="4"/>
      <c r="I2468" s="4"/>
      <c r="J2468" s="4"/>
    </row>
    <row r="2469" spans="1:10" ht="27.75" customHeight="1" x14ac:dyDescent="0.2">
      <c r="A2469" s="4">
        <v>2468</v>
      </c>
      <c r="B2469" s="4">
        <v>1517</v>
      </c>
      <c r="C2469" s="4" t="s">
        <v>905</v>
      </c>
      <c r="D2469" s="4" t="s">
        <v>953</v>
      </c>
      <c r="E2469" s="4">
        <v>250</v>
      </c>
      <c r="F2469" s="4" t="s">
        <v>917</v>
      </c>
      <c r="G2469" s="4"/>
      <c r="H2469" s="4"/>
      <c r="I2469" s="4"/>
      <c r="J2469" s="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2"/>
  <sheetViews>
    <sheetView zoomScaleNormal="100" workbookViewId="0"/>
  </sheetViews>
  <sheetFormatPr baseColWidth="10" defaultColWidth="8.6640625" defaultRowHeight="15" x14ac:dyDescent="0.2"/>
  <cols>
    <col min="1" max="9" width="20" customWidth="1"/>
  </cols>
  <sheetData>
    <row r="1" spans="1:9" ht="24" customHeight="1" x14ac:dyDescent="0.2">
      <c r="A1" s="2" t="s">
        <v>954</v>
      </c>
      <c r="B1" s="2" t="s">
        <v>955</v>
      </c>
      <c r="C1" s="2" t="s">
        <v>956</v>
      </c>
      <c r="D1" s="2" t="s">
        <v>957</v>
      </c>
      <c r="E1" s="2" t="s">
        <v>958</v>
      </c>
      <c r="F1" s="2" t="s">
        <v>26</v>
      </c>
      <c r="G1" s="2" t="s">
        <v>27</v>
      </c>
      <c r="H1" s="2" t="s">
        <v>30</v>
      </c>
      <c r="I1" s="2" t="s">
        <v>959</v>
      </c>
    </row>
    <row r="2" spans="1:9" ht="24" customHeight="1" x14ac:dyDescent="0.2">
      <c r="A2" s="4" t="s">
        <v>960</v>
      </c>
      <c r="B2" s="4" t="s">
        <v>961</v>
      </c>
      <c r="C2" s="4" t="s">
        <v>962</v>
      </c>
      <c r="D2" s="4">
        <v>107</v>
      </c>
      <c r="E2" s="4">
        <v>139</v>
      </c>
      <c r="F2" s="4">
        <v>2.9</v>
      </c>
      <c r="G2" s="4">
        <v>30</v>
      </c>
      <c r="H2" s="4">
        <v>0.3</v>
      </c>
      <c r="I2" s="4" t="s">
        <v>963</v>
      </c>
    </row>
    <row r="3" spans="1:9" ht="24" customHeight="1" x14ac:dyDescent="0.2">
      <c r="A3" s="4" t="s">
        <v>960</v>
      </c>
      <c r="B3" s="4" t="s">
        <v>961</v>
      </c>
      <c r="C3" s="4" t="s">
        <v>964</v>
      </c>
      <c r="D3" s="4">
        <v>120</v>
      </c>
      <c r="E3" s="4">
        <v>157</v>
      </c>
      <c r="F3" s="4">
        <v>6</v>
      </c>
      <c r="G3" s="4">
        <v>30</v>
      </c>
      <c r="H3" s="4">
        <v>1.3</v>
      </c>
      <c r="I3" s="4" t="s">
        <v>965</v>
      </c>
    </row>
    <row r="4" spans="1:9" ht="24" customHeight="1" x14ac:dyDescent="0.2">
      <c r="A4" s="4" t="s">
        <v>960</v>
      </c>
      <c r="B4" s="4" t="s">
        <v>961</v>
      </c>
      <c r="C4" s="4" t="s">
        <v>966</v>
      </c>
      <c r="D4" s="4">
        <v>150</v>
      </c>
      <c r="E4" s="4">
        <v>131</v>
      </c>
      <c r="F4" s="4">
        <v>3</v>
      </c>
      <c r="G4" s="4">
        <v>30</v>
      </c>
      <c r="H4" s="4">
        <v>0.2</v>
      </c>
      <c r="I4" s="4" t="s">
        <v>534</v>
      </c>
    </row>
    <row r="5" spans="1:9" ht="24" customHeight="1" x14ac:dyDescent="0.2">
      <c r="A5" s="4" t="s">
        <v>960</v>
      </c>
      <c r="B5" s="4" t="s">
        <v>961</v>
      </c>
      <c r="C5" s="4" t="s">
        <v>967</v>
      </c>
      <c r="D5" s="4">
        <v>130</v>
      </c>
      <c r="E5" s="4">
        <v>116</v>
      </c>
      <c r="F5" s="4">
        <v>1.4</v>
      </c>
      <c r="G5" s="4">
        <v>30</v>
      </c>
      <c r="H5" s="4">
        <v>0.4</v>
      </c>
      <c r="I5" s="4" t="s">
        <v>968</v>
      </c>
    </row>
    <row r="6" spans="1:9" ht="15" customHeight="1" x14ac:dyDescent="0.2">
      <c r="A6" s="4" t="s">
        <v>969</v>
      </c>
      <c r="B6" s="4" t="s">
        <v>970</v>
      </c>
      <c r="C6" s="4" t="s">
        <v>971</v>
      </c>
      <c r="D6" s="4">
        <v>85</v>
      </c>
      <c r="E6" s="4">
        <v>140</v>
      </c>
      <c r="F6" s="4">
        <v>25</v>
      </c>
      <c r="G6" s="4">
        <v>0</v>
      </c>
      <c r="H6" s="4">
        <v>3</v>
      </c>
      <c r="I6" s="4" t="s">
        <v>972</v>
      </c>
    </row>
    <row r="7" spans="1:9" ht="15" customHeight="1" x14ac:dyDescent="0.2">
      <c r="A7" s="4" t="s">
        <v>969</v>
      </c>
      <c r="B7" s="4" t="s">
        <v>970</v>
      </c>
      <c r="C7" s="4" t="s">
        <v>973</v>
      </c>
      <c r="D7" s="4">
        <v>96</v>
      </c>
      <c r="E7" s="4">
        <v>111</v>
      </c>
      <c r="F7" s="4">
        <v>25</v>
      </c>
      <c r="G7" s="4">
        <v>0</v>
      </c>
      <c r="H7" s="4">
        <v>1</v>
      </c>
      <c r="I7" s="4" t="s">
        <v>974</v>
      </c>
    </row>
    <row r="8" spans="1:9" ht="15" customHeight="1" x14ac:dyDescent="0.2">
      <c r="A8" s="4" t="s">
        <v>969</v>
      </c>
      <c r="B8" s="4" t="s">
        <v>970</v>
      </c>
      <c r="C8" s="4" t="s">
        <v>975</v>
      </c>
      <c r="D8" s="4">
        <v>30</v>
      </c>
      <c r="E8" s="4">
        <v>111</v>
      </c>
      <c r="F8" s="4">
        <v>25.5</v>
      </c>
      <c r="G8" s="4">
        <v>1.2</v>
      </c>
      <c r="H8" s="4">
        <v>0.6</v>
      </c>
      <c r="I8" s="4" t="s">
        <v>974</v>
      </c>
    </row>
    <row r="9" spans="1:9" ht="15" customHeight="1" x14ac:dyDescent="0.2">
      <c r="A9" s="4" t="s">
        <v>976</v>
      </c>
      <c r="B9" s="4" t="s">
        <v>977</v>
      </c>
      <c r="C9" s="4" t="s">
        <v>978</v>
      </c>
      <c r="D9" s="4">
        <v>10</v>
      </c>
      <c r="E9" s="4">
        <v>88</v>
      </c>
      <c r="F9" s="4">
        <v>0</v>
      </c>
      <c r="G9" s="4">
        <v>0</v>
      </c>
      <c r="H9" s="4">
        <v>10</v>
      </c>
      <c r="I9" s="4" t="s">
        <v>965</v>
      </c>
    </row>
    <row r="10" spans="1:9" ht="15" customHeight="1" x14ac:dyDescent="0.2">
      <c r="A10" s="4" t="s">
        <v>976</v>
      </c>
      <c r="B10" s="4" t="s">
        <v>977</v>
      </c>
      <c r="C10" s="4" t="s">
        <v>979</v>
      </c>
      <c r="D10" s="4">
        <v>20</v>
      </c>
      <c r="E10" s="4">
        <v>116</v>
      </c>
      <c r="F10" s="4">
        <v>4.2</v>
      </c>
      <c r="G10" s="4">
        <v>4.4000000000000004</v>
      </c>
      <c r="H10" s="4">
        <v>10</v>
      </c>
      <c r="I10" s="4" t="s">
        <v>980</v>
      </c>
    </row>
    <row r="11" spans="1:9" ht="15" customHeight="1" x14ac:dyDescent="0.2">
      <c r="A11" s="4" t="s">
        <v>981</v>
      </c>
      <c r="B11" s="4" t="s">
        <v>982</v>
      </c>
      <c r="C11" s="4" t="s">
        <v>983</v>
      </c>
      <c r="D11" s="4">
        <v>77</v>
      </c>
      <c r="E11" s="4">
        <v>40</v>
      </c>
      <c r="F11" s="4">
        <v>0.9</v>
      </c>
      <c r="G11" s="4">
        <v>9.1999999999999993</v>
      </c>
      <c r="H11" s="4">
        <v>0.5</v>
      </c>
      <c r="I11" s="4" t="s">
        <v>984</v>
      </c>
    </row>
    <row r="12" spans="1:9" ht="15" customHeight="1" x14ac:dyDescent="0.2">
      <c r="A12" s="4" t="s">
        <v>985</v>
      </c>
      <c r="B12" s="4" t="s">
        <v>986</v>
      </c>
      <c r="C12" s="4" t="s">
        <v>739</v>
      </c>
      <c r="D12" s="4">
        <v>278</v>
      </c>
      <c r="E12" s="4">
        <v>78</v>
      </c>
      <c r="F12" s="4">
        <v>0</v>
      </c>
      <c r="G12" s="4">
        <v>18</v>
      </c>
      <c r="H12" s="4">
        <v>0</v>
      </c>
      <c r="I12" s="4" t="s">
        <v>987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"/>
  <sheetViews>
    <sheetView showGridLines="0" zoomScaleNormal="100" workbookViewId="0"/>
  </sheetViews>
  <sheetFormatPr baseColWidth="10" defaultColWidth="8.6640625" defaultRowHeight="15" x14ac:dyDescent="0.2"/>
  <cols>
    <col min="1" max="4" width="28" customWidth="1"/>
  </cols>
  <sheetData>
    <row r="1" spans="1:8" ht="24" customHeight="1" x14ac:dyDescent="0.2">
      <c r="A1" s="11" t="s">
        <v>988</v>
      </c>
      <c r="B1" s="11"/>
      <c r="C1" s="11"/>
      <c r="D1" s="11"/>
      <c r="E1" s="11"/>
      <c r="F1" s="11"/>
      <c r="G1" s="11"/>
      <c r="H1" s="11"/>
    </row>
    <row r="2" spans="1:8" ht="24" customHeight="1" x14ac:dyDescent="0.2">
      <c r="A2" s="4"/>
      <c r="B2" s="4"/>
      <c r="C2" s="4"/>
      <c r="D2" s="4"/>
      <c r="E2" s="4"/>
      <c r="F2" s="4"/>
      <c r="G2" s="4"/>
      <c r="H2" s="4"/>
    </row>
    <row r="3" spans="1:8" ht="24" customHeight="1" x14ac:dyDescent="0.2">
      <c r="A3" s="6" t="s">
        <v>989</v>
      </c>
      <c r="B3" s="6" t="s">
        <v>990</v>
      </c>
      <c r="C3" s="6" t="s">
        <v>991</v>
      </c>
      <c r="D3" s="6" t="s">
        <v>992</v>
      </c>
      <c r="E3" s="4"/>
      <c r="F3" s="4"/>
      <c r="G3" s="4"/>
      <c r="H3" s="4"/>
    </row>
    <row r="4" spans="1:8" ht="24" customHeight="1" x14ac:dyDescent="0.2">
      <c r="A4" s="4" t="s">
        <v>13</v>
      </c>
      <c r="B4" s="7">
        <v>1</v>
      </c>
      <c r="C4" s="4"/>
      <c r="D4" s="4"/>
      <c r="E4" s="4"/>
      <c r="F4" s="4"/>
      <c r="G4" s="4"/>
      <c r="H4" s="4"/>
    </row>
    <row r="5" spans="1:8" ht="24" customHeight="1" x14ac:dyDescent="0.2">
      <c r="A5" s="4" t="s">
        <v>910</v>
      </c>
      <c r="B5" s="7">
        <v>100</v>
      </c>
      <c r="C5" s="4"/>
      <c r="D5" s="4"/>
      <c r="E5" s="4"/>
      <c r="F5" s="4"/>
      <c r="G5" s="4"/>
      <c r="H5" s="4"/>
    </row>
    <row r="6" spans="1:8" ht="15" customHeight="1" x14ac:dyDescent="0.2">
      <c r="A6" s="4" t="s">
        <v>993</v>
      </c>
      <c r="B6" s="7">
        <v>75</v>
      </c>
      <c r="C6" s="4"/>
      <c r="D6" s="4"/>
      <c r="E6" s="4"/>
      <c r="F6" s="4"/>
      <c r="G6" s="4"/>
      <c r="H6" s="4"/>
    </row>
    <row r="7" spans="1:8" ht="15" customHeight="1" x14ac:dyDescent="0.2">
      <c r="A7" s="4" t="s">
        <v>994</v>
      </c>
      <c r="B7" s="7" t="s">
        <v>995</v>
      </c>
      <c r="C7" s="4"/>
      <c r="D7" s="4"/>
      <c r="E7" s="4"/>
      <c r="F7" s="4"/>
      <c r="G7" s="4"/>
      <c r="H7" s="4"/>
    </row>
    <row r="8" spans="1:8" ht="15" customHeight="1" x14ac:dyDescent="0.2">
      <c r="A8" s="4" t="s">
        <v>996</v>
      </c>
      <c r="B8" s="7">
        <v>6</v>
      </c>
      <c r="C8" s="4"/>
      <c r="D8" s="4"/>
      <c r="E8" s="4"/>
      <c r="F8" s="4"/>
      <c r="G8" s="4"/>
      <c r="H8" s="4"/>
    </row>
    <row r="9" spans="1:8" ht="15" customHeight="1" x14ac:dyDescent="0.2">
      <c r="A9" s="4" t="s">
        <v>997</v>
      </c>
      <c r="B9" s="7">
        <v>2</v>
      </c>
      <c r="C9" s="4"/>
      <c r="D9" s="4"/>
      <c r="E9" s="4"/>
      <c r="F9" s="4"/>
      <c r="G9" s="4"/>
      <c r="H9" s="4"/>
    </row>
    <row r="10" spans="1:8" ht="15" customHeight="1" x14ac:dyDescent="0.2">
      <c r="A10" s="4" t="s">
        <v>998</v>
      </c>
      <c r="B10" s="7">
        <v>1</v>
      </c>
      <c r="C10" s="4"/>
      <c r="D10" s="4"/>
      <c r="E10" s="4"/>
      <c r="F10" s="4"/>
      <c r="G10" s="4"/>
      <c r="H10" s="4"/>
    </row>
    <row r="11" spans="1:8" ht="15" customHeight="1" x14ac:dyDescent="0.2">
      <c r="A11" s="4"/>
      <c r="B11" s="4"/>
      <c r="C11" s="4"/>
      <c r="D11" s="4"/>
      <c r="E11" s="4"/>
      <c r="F11" s="4"/>
      <c r="G11" s="4"/>
      <c r="H11" s="4"/>
    </row>
    <row r="12" spans="1:8" ht="15" customHeight="1" x14ac:dyDescent="0.2">
      <c r="A12" s="4" t="s">
        <v>999</v>
      </c>
      <c r="B12" s="8" t="str">
        <f>VLOOKUP($B$4,alimentos_master!$A:$AK,2,FALSE())</f>
        <v>Arroz blanco - crudo</v>
      </c>
      <c r="C12" s="4"/>
      <c r="D12" s="4" t="s">
        <v>1000</v>
      </c>
      <c r="E12" s="4"/>
      <c r="F12" s="4"/>
      <c r="G12" s="4"/>
      <c r="H12" s="4"/>
    </row>
    <row r="13" spans="1:8" ht="15" customHeight="1" x14ac:dyDescent="0.2">
      <c r="A13" s="4" t="s">
        <v>25</v>
      </c>
      <c r="B13" s="8">
        <f>VLOOKUP($B$4,alimentos_master!$A:$AK,13,FALSE())*$B$5/100</f>
        <v>365</v>
      </c>
      <c r="C13" s="4"/>
      <c r="D13" s="4" t="s">
        <v>1001</v>
      </c>
      <c r="E13" s="4"/>
      <c r="F13" s="4"/>
      <c r="G13" s="4"/>
      <c r="H13" s="4"/>
    </row>
    <row r="14" spans="1:8" ht="15" customHeight="1" x14ac:dyDescent="0.2">
      <c r="A14" s="4" t="s">
        <v>1002</v>
      </c>
      <c r="B14" s="8">
        <f>VLOOKUP($B$4,alimentos_master!$A:$AK,14,FALSE())*$B$5/100</f>
        <v>7.1</v>
      </c>
      <c r="C14" s="4"/>
      <c r="D14" s="4" t="s">
        <v>1001</v>
      </c>
      <c r="E14" s="4"/>
      <c r="F14" s="4"/>
      <c r="G14" s="4"/>
      <c r="H14" s="4"/>
    </row>
    <row r="15" spans="1:8" ht="15" customHeight="1" x14ac:dyDescent="0.2">
      <c r="A15" s="4" t="s">
        <v>1003</v>
      </c>
      <c r="B15" s="8">
        <f>VLOOKUP($B$4,alimentos_master!$A:$AK,15,FALSE())*$B$5/100</f>
        <v>78</v>
      </c>
      <c r="C15" s="4"/>
      <c r="D15" s="4" t="s">
        <v>1001</v>
      </c>
      <c r="E15" s="4"/>
      <c r="F15" s="4"/>
      <c r="G15" s="4"/>
      <c r="H15" s="4"/>
    </row>
    <row r="16" spans="1:8" ht="15" customHeight="1" x14ac:dyDescent="0.2">
      <c r="A16" s="4" t="s">
        <v>1004</v>
      </c>
      <c r="B16" s="8">
        <f>VLOOKUP($B$4,alimentos_master!$A:$AK,18,FALSE())*$B$5/100</f>
        <v>0.6</v>
      </c>
      <c r="C16" s="4"/>
      <c r="D16" s="4" t="s">
        <v>1001</v>
      </c>
      <c r="E16" s="4"/>
      <c r="F16" s="4"/>
      <c r="G16" s="4"/>
      <c r="H16" s="4"/>
    </row>
    <row r="17" spans="1:8" ht="15" customHeight="1" x14ac:dyDescent="0.2">
      <c r="A17" s="4" t="s">
        <v>1005</v>
      </c>
      <c r="B17" s="8">
        <f>VLOOKUP($B$4,alimentos_master!$A:$AK,23,FALSE())*$B$5/100</f>
        <v>1.3</v>
      </c>
      <c r="C17" s="4"/>
      <c r="D17" s="4" t="s">
        <v>1001</v>
      </c>
      <c r="E17" s="4"/>
      <c r="F17" s="4"/>
      <c r="G17" s="4"/>
      <c r="H17" s="4"/>
    </row>
    <row r="18" spans="1:8" ht="15" customHeight="1" x14ac:dyDescent="0.2">
      <c r="A18" s="4" t="s">
        <v>1006</v>
      </c>
      <c r="B18" s="8">
        <f>VLOOKUP($B$4,alimentos_master!$A:$AK,24,FALSE())*$B$5/100</f>
        <v>5</v>
      </c>
      <c r="C18" s="4"/>
      <c r="D18" s="4" t="s">
        <v>1001</v>
      </c>
      <c r="E18" s="4"/>
      <c r="F18" s="4"/>
      <c r="G18" s="4"/>
      <c r="H18" s="4"/>
    </row>
    <row r="19" spans="1:8" ht="15" customHeight="1" x14ac:dyDescent="0.2">
      <c r="A19" s="4" t="s">
        <v>1007</v>
      </c>
      <c r="B19" s="8">
        <f>B6*B8</f>
        <v>450</v>
      </c>
      <c r="C19" s="4"/>
      <c r="D19" s="4" t="s">
        <v>1008</v>
      </c>
      <c r="E19" s="4"/>
      <c r="F19" s="4"/>
      <c r="G19" s="4"/>
      <c r="H19" s="4"/>
    </row>
    <row r="20" spans="1:8" ht="15" customHeight="1" x14ac:dyDescent="0.2">
      <c r="A20" s="4" t="s">
        <v>1009</v>
      </c>
      <c r="B20" s="8">
        <f>B6*B9</f>
        <v>150</v>
      </c>
      <c r="C20" s="4"/>
      <c r="D20" s="4" t="s">
        <v>1008</v>
      </c>
      <c r="E20" s="4"/>
      <c r="F20" s="4"/>
      <c r="G20" s="4"/>
      <c r="H20" s="4"/>
    </row>
    <row r="21" spans="1:8" ht="15" customHeight="1" x14ac:dyDescent="0.2">
      <c r="A21" s="4" t="s">
        <v>1010</v>
      </c>
      <c r="B21" s="8">
        <f>B6*B10</f>
        <v>75</v>
      </c>
      <c r="C21" s="4"/>
      <c r="D21" s="4" t="s">
        <v>1008</v>
      </c>
      <c r="E21" s="4"/>
      <c r="F21" s="4"/>
      <c r="G21" s="4"/>
      <c r="H21" s="4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"/>
  <sheetViews>
    <sheetView zoomScaleNormal="100" workbookViewId="0"/>
  </sheetViews>
  <sheetFormatPr baseColWidth="10" defaultColWidth="8.6640625" defaultRowHeight="15" x14ac:dyDescent="0.2"/>
  <cols>
    <col min="1" max="4" width="38" customWidth="1"/>
  </cols>
  <sheetData>
    <row r="1" spans="1:4" ht="24" customHeight="1" x14ac:dyDescent="0.2">
      <c r="A1" s="2" t="s">
        <v>56</v>
      </c>
      <c r="B1" s="2" t="s">
        <v>1011</v>
      </c>
      <c r="C1" s="2" t="s">
        <v>1012</v>
      </c>
      <c r="D1" s="2" t="s">
        <v>1013</v>
      </c>
    </row>
    <row r="2" spans="1:4" ht="24" customHeight="1" x14ac:dyDescent="0.2">
      <c r="A2" s="4" t="s">
        <v>1014</v>
      </c>
      <c r="B2" s="4" t="s">
        <v>1015</v>
      </c>
      <c r="C2" s="4" t="s">
        <v>1016</v>
      </c>
      <c r="D2" s="4" t="s">
        <v>1017</v>
      </c>
    </row>
    <row r="3" spans="1:4" ht="24" customHeight="1" x14ac:dyDescent="0.2">
      <c r="A3" s="4" t="s">
        <v>1018</v>
      </c>
      <c r="B3" s="4" t="s">
        <v>1019</v>
      </c>
      <c r="C3" s="4" t="s">
        <v>1020</v>
      </c>
      <c r="D3" s="4" t="s">
        <v>1021</v>
      </c>
    </row>
    <row r="4" spans="1:4" ht="24" customHeight="1" x14ac:dyDescent="0.2">
      <c r="A4" s="4" t="s">
        <v>1022</v>
      </c>
      <c r="B4" s="4" t="s">
        <v>1023</v>
      </c>
      <c r="C4" s="4" t="s">
        <v>1024</v>
      </c>
      <c r="D4" s="4" t="s">
        <v>1025</v>
      </c>
    </row>
    <row r="5" spans="1:4" ht="24" customHeight="1" x14ac:dyDescent="0.2">
      <c r="A5" s="4" t="s">
        <v>1026</v>
      </c>
      <c r="B5" s="4" t="s">
        <v>1027</v>
      </c>
      <c r="C5" s="4" t="s">
        <v>1028</v>
      </c>
      <c r="D5" s="4" t="s">
        <v>1029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"/>
  <sheetViews>
    <sheetView showGridLines="0" zoomScaleNormal="100" workbookViewId="0"/>
  </sheetViews>
  <sheetFormatPr baseColWidth="10" defaultColWidth="8.6640625" defaultRowHeight="15" x14ac:dyDescent="0.2"/>
  <cols>
    <col min="1" max="3" width="32" customWidth="1"/>
  </cols>
  <sheetData>
    <row r="1" spans="1:3" ht="24" customHeight="1" x14ac:dyDescent="0.2">
      <c r="A1" s="2" t="s">
        <v>1030</v>
      </c>
      <c r="B1" s="2" t="s">
        <v>990</v>
      </c>
      <c r="C1" s="2" t="s">
        <v>1031</v>
      </c>
    </row>
    <row r="2" spans="1:3" ht="24" customHeight="1" x14ac:dyDescent="0.2">
      <c r="A2" s="4" t="s">
        <v>1032</v>
      </c>
      <c r="B2" s="4">
        <v>1517</v>
      </c>
      <c r="C2" s="4" t="s">
        <v>1033</v>
      </c>
    </row>
    <row r="3" spans="1:3" ht="24" customHeight="1" x14ac:dyDescent="0.2">
      <c r="A3" s="4" t="s">
        <v>1034</v>
      </c>
      <c r="B3" s="4">
        <v>20</v>
      </c>
      <c r="C3" s="4" t="s">
        <v>1035</v>
      </c>
    </row>
    <row r="4" spans="1:3" ht="24" customHeight="1" x14ac:dyDescent="0.2">
      <c r="A4" s="4" t="s">
        <v>1036</v>
      </c>
      <c r="B4" s="4" t="s">
        <v>1037</v>
      </c>
      <c r="C4" s="4" t="s">
        <v>1038</v>
      </c>
    </row>
    <row r="5" spans="1:3" ht="24" customHeight="1" x14ac:dyDescent="0.2">
      <c r="A5" s="4" t="s">
        <v>1039</v>
      </c>
      <c r="B5" s="4">
        <v>0</v>
      </c>
      <c r="C5" s="4" t="s">
        <v>1040</v>
      </c>
    </row>
    <row r="6" spans="1:3" ht="15" customHeight="1" x14ac:dyDescent="0.2">
      <c r="A6" s="4" t="s">
        <v>1041</v>
      </c>
      <c r="B6" s="4" t="s">
        <v>1042</v>
      </c>
      <c r="C6" s="4" t="s">
        <v>1043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T215"/>
  <sheetViews>
    <sheetView zoomScaleNormal="100" workbookViewId="0">
      <pane ySplit="1" topLeftCell="A189" activePane="bottomLeft" state="frozen"/>
      <selection pane="bottomLeft" activeCell="A2" sqref="A2:XFD215"/>
    </sheetView>
  </sheetViews>
  <sheetFormatPr baseColWidth="10" defaultColWidth="8.6640625" defaultRowHeight="15" x14ac:dyDescent="0.2"/>
  <cols>
    <col min="1" max="3" width="12" customWidth="1"/>
    <col min="4" max="4" width="14" customWidth="1"/>
    <col min="5" max="6" width="12" customWidth="1"/>
    <col min="7" max="7" width="16" customWidth="1"/>
    <col min="8" max="18" width="12" customWidth="1"/>
    <col min="19" max="21" width="13" customWidth="1"/>
    <col min="22" max="26" width="12" customWidth="1"/>
    <col min="27" max="27" width="13" customWidth="1"/>
    <col min="28" max="29" width="12" customWidth="1"/>
    <col min="30" max="30" width="15" customWidth="1"/>
    <col min="31" max="31" width="12" customWidth="1"/>
    <col min="32" max="32" width="15" customWidth="1"/>
    <col min="33" max="33" width="12" customWidth="1"/>
    <col min="34" max="34" width="13" customWidth="1"/>
    <col min="35" max="35" width="18" customWidth="1"/>
    <col min="36" max="36" width="17" customWidth="1"/>
    <col min="37" max="37" width="16" customWidth="1"/>
    <col min="38" max="38" width="12" customWidth="1"/>
    <col min="39" max="39" width="18" customWidth="1"/>
    <col min="40" max="40" width="21" customWidth="1"/>
    <col min="41" max="41" width="23" customWidth="1"/>
    <col min="42" max="42" width="22" customWidth="1"/>
    <col min="43" max="43" width="21" customWidth="1"/>
    <col min="44" max="46" width="12" customWidth="1"/>
  </cols>
  <sheetData>
    <row r="1" spans="1:46" ht="15" customHeight="1" x14ac:dyDescent="0.2">
      <c r="A1" s="9" t="s">
        <v>13</v>
      </c>
      <c r="B1" s="9" t="s">
        <v>14</v>
      </c>
      <c r="C1" s="9" t="s">
        <v>15</v>
      </c>
      <c r="D1" s="9" t="s">
        <v>16</v>
      </c>
      <c r="E1" s="9" t="s">
        <v>17</v>
      </c>
      <c r="F1" s="9" t="s">
        <v>18</v>
      </c>
      <c r="G1" s="9" t="s">
        <v>19</v>
      </c>
      <c r="H1" s="9" t="s">
        <v>20</v>
      </c>
      <c r="I1" s="9" t="s">
        <v>21</v>
      </c>
      <c r="J1" s="9" t="s">
        <v>22</v>
      </c>
      <c r="K1" s="9" t="s">
        <v>23</v>
      </c>
      <c r="L1" s="9" t="s">
        <v>24</v>
      </c>
      <c r="M1" s="9" t="s">
        <v>25</v>
      </c>
      <c r="N1" s="9" t="s">
        <v>26</v>
      </c>
      <c r="O1" s="9" t="s">
        <v>27</v>
      </c>
      <c r="P1" s="9" t="s">
        <v>28</v>
      </c>
      <c r="Q1" s="9" t="s">
        <v>29</v>
      </c>
      <c r="R1" s="9" t="s">
        <v>30</v>
      </c>
      <c r="S1" s="9" t="s">
        <v>31</v>
      </c>
      <c r="T1" s="9" t="s">
        <v>32</v>
      </c>
      <c r="U1" s="9" t="s">
        <v>33</v>
      </c>
      <c r="V1" s="9" t="s">
        <v>34</v>
      </c>
      <c r="W1" s="9" t="s">
        <v>35</v>
      </c>
      <c r="X1" s="9" t="s">
        <v>36</v>
      </c>
      <c r="Y1" s="9" t="s">
        <v>37</v>
      </c>
      <c r="Z1" s="9" t="s">
        <v>38</v>
      </c>
      <c r="AA1" s="9" t="s">
        <v>39</v>
      </c>
      <c r="AB1" s="9" t="s">
        <v>40</v>
      </c>
      <c r="AC1" s="9" t="s">
        <v>41</v>
      </c>
      <c r="AD1" s="9" t="s">
        <v>42</v>
      </c>
      <c r="AE1" s="9" t="s">
        <v>43</v>
      </c>
      <c r="AF1" s="9" t="s">
        <v>44</v>
      </c>
      <c r="AG1" s="9" t="s">
        <v>45</v>
      </c>
      <c r="AH1" s="9" t="s">
        <v>46</v>
      </c>
      <c r="AI1" s="9" t="s">
        <v>47</v>
      </c>
      <c r="AJ1" s="9" t="s">
        <v>48</v>
      </c>
      <c r="AK1" s="9" t="s">
        <v>49</v>
      </c>
      <c r="AL1" s="9" t="s">
        <v>50</v>
      </c>
      <c r="AM1" s="9" t="s">
        <v>51</v>
      </c>
      <c r="AN1" s="9" t="s">
        <v>52</v>
      </c>
      <c r="AO1" s="9" t="s">
        <v>53</v>
      </c>
      <c r="AP1" s="9" t="s">
        <v>54</v>
      </c>
      <c r="AQ1" s="9" t="s">
        <v>55</v>
      </c>
      <c r="AR1" s="9" t="s">
        <v>56</v>
      </c>
      <c r="AS1" s="9" t="s">
        <v>57</v>
      </c>
      <c r="AT1" s="9" t="s">
        <v>58</v>
      </c>
    </row>
    <row r="2" spans="1:46" ht="15" customHeight="1" x14ac:dyDescent="0.2">
      <c r="A2">
        <v>1518</v>
      </c>
      <c r="B2" t="s">
        <v>1044</v>
      </c>
      <c r="C2" t="s">
        <v>690</v>
      </c>
      <c r="D2" t="s">
        <v>1045</v>
      </c>
      <c r="E2" t="s">
        <v>692</v>
      </c>
      <c r="F2" t="s">
        <v>63</v>
      </c>
      <c r="G2" t="s">
        <v>473</v>
      </c>
      <c r="H2" t="b">
        <f>FALSE()</f>
        <v>0</v>
      </c>
      <c r="I2" t="b">
        <f>FALSE()</f>
        <v>0</v>
      </c>
      <c r="J2" t="b">
        <f>FALSE()</f>
        <v>0</v>
      </c>
      <c r="K2" t="s">
        <v>126</v>
      </c>
      <c r="L2">
        <v>100</v>
      </c>
      <c r="M2">
        <v>105</v>
      </c>
      <c r="N2">
        <v>6.5</v>
      </c>
      <c r="O2">
        <v>6</v>
      </c>
      <c r="P2">
        <v>4</v>
      </c>
      <c r="Q2">
        <v>0</v>
      </c>
      <c r="R2">
        <v>6</v>
      </c>
      <c r="S2">
        <v>2</v>
      </c>
      <c r="T2">
        <v>2.5</v>
      </c>
      <c r="U2">
        <v>0.8</v>
      </c>
      <c r="V2">
        <v>0</v>
      </c>
      <c r="W2">
        <v>0.5</v>
      </c>
      <c r="X2">
        <v>380</v>
      </c>
      <c r="Y2">
        <v>250</v>
      </c>
      <c r="Z2">
        <v>20</v>
      </c>
      <c r="AA2">
        <v>15</v>
      </c>
      <c r="AB2">
        <v>1</v>
      </c>
      <c r="AC2">
        <v>1.2</v>
      </c>
      <c r="AD2">
        <v>4</v>
      </c>
      <c r="AE2">
        <v>10</v>
      </c>
      <c r="AF2">
        <v>0</v>
      </c>
      <c r="AG2">
        <v>0</v>
      </c>
      <c r="AH2">
        <v>0</v>
      </c>
      <c r="AI2">
        <v>30</v>
      </c>
      <c r="AJ2">
        <v>1.8</v>
      </c>
      <c r="AK2" t="s">
        <v>77</v>
      </c>
      <c r="AL2" t="s">
        <v>65</v>
      </c>
      <c r="AM2" t="s">
        <v>87</v>
      </c>
      <c r="AN2" t="s">
        <v>67</v>
      </c>
      <c r="AO2" t="s">
        <v>68</v>
      </c>
      <c r="AP2" t="s">
        <v>67</v>
      </c>
      <c r="AQ2" t="s">
        <v>70</v>
      </c>
      <c r="AR2" t="s">
        <v>71</v>
      </c>
      <c r="AS2" t="s">
        <v>530</v>
      </c>
      <c r="AT2" t="s">
        <v>1046</v>
      </c>
    </row>
    <row r="3" spans="1:46" ht="15" customHeight="1" x14ac:dyDescent="0.2">
      <c r="A3">
        <v>1519</v>
      </c>
      <c r="B3" t="s">
        <v>1047</v>
      </c>
      <c r="C3" t="s">
        <v>690</v>
      </c>
      <c r="D3" t="s">
        <v>1045</v>
      </c>
      <c r="E3" t="s">
        <v>692</v>
      </c>
      <c r="F3" t="s">
        <v>63</v>
      </c>
      <c r="G3" t="s">
        <v>473</v>
      </c>
      <c r="H3" t="b">
        <f>FALSE()</f>
        <v>0</v>
      </c>
      <c r="I3" t="b">
        <f>FALSE()</f>
        <v>0</v>
      </c>
      <c r="J3" t="b">
        <f>FALSE()</f>
        <v>0</v>
      </c>
      <c r="K3" t="s">
        <v>126</v>
      </c>
      <c r="L3">
        <v>100</v>
      </c>
      <c r="M3">
        <v>105</v>
      </c>
      <c r="N3">
        <v>6.5</v>
      </c>
      <c r="O3">
        <v>6</v>
      </c>
      <c r="P3">
        <v>4</v>
      </c>
      <c r="Q3">
        <v>0</v>
      </c>
      <c r="R3">
        <v>6</v>
      </c>
      <c r="S3">
        <v>2</v>
      </c>
      <c r="T3">
        <v>2.5</v>
      </c>
      <c r="U3">
        <v>0.8</v>
      </c>
      <c r="V3">
        <v>0</v>
      </c>
      <c r="W3">
        <v>0.5</v>
      </c>
      <c r="X3">
        <v>380</v>
      </c>
      <c r="Y3">
        <v>250</v>
      </c>
      <c r="Z3">
        <v>20</v>
      </c>
      <c r="AA3">
        <v>15</v>
      </c>
      <c r="AB3">
        <v>1</v>
      </c>
      <c r="AC3">
        <v>1.2</v>
      </c>
      <c r="AD3">
        <v>4</v>
      </c>
      <c r="AE3">
        <v>10</v>
      </c>
      <c r="AF3">
        <v>0</v>
      </c>
      <c r="AG3">
        <v>0</v>
      </c>
      <c r="AH3">
        <v>0</v>
      </c>
      <c r="AI3">
        <v>30</v>
      </c>
      <c r="AJ3">
        <v>1.8</v>
      </c>
      <c r="AK3" t="s">
        <v>77</v>
      </c>
      <c r="AL3" t="s">
        <v>65</v>
      </c>
      <c r="AM3" t="s">
        <v>87</v>
      </c>
      <c r="AN3" t="s">
        <v>67</v>
      </c>
      <c r="AO3" t="s">
        <v>68</v>
      </c>
      <c r="AP3" t="s">
        <v>67</v>
      </c>
      <c r="AQ3" t="s">
        <v>70</v>
      </c>
      <c r="AR3" t="s">
        <v>71</v>
      </c>
      <c r="AS3" t="s">
        <v>530</v>
      </c>
      <c r="AT3" t="s">
        <v>1046</v>
      </c>
    </row>
    <row r="4" spans="1:46" ht="15" customHeight="1" x14ac:dyDescent="0.2">
      <c r="A4">
        <v>1520</v>
      </c>
      <c r="B4" t="s">
        <v>1048</v>
      </c>
      <c r="C4" t="s">
        <v>690</v>
      </c>
      <c r="D4" t="s">
        <v>1045</v>
      </c>
      <c r="E4" t="s">
        <v>692</v>
      </c>
      <c r="F4" t="s">
        <v>63</v>
      </c>
      <c r="G4" t="s">
        <v>473</v>
      </c>
      <c r="H4" t="b">
        <f>FALSE()</f>
        <v>0</v>
      </c>
      <c r="I4" t="b">
        <f>FALSE()</f>
        <v>0</v>
      </c>
      <c r="J4" t="b">
        <f>FALSE()</f>
        <v>0</v>
      </c>
      <c r="K4" t="s">
        <v>126</v>
      </c>
      <c r="L4">
        <v>100</v>
      </c>
      <c r="M4">
        <v>105</v>
      </c>
      <c r="N4">
        <v>6.5</v>
      </c>
      <c r="O4">
        <v>6</v>
      </c>
      <c r="P4">
        <v>4</v>
      </c>
      <c r="Q4">
        <v>0</v>
      </c>
      <c r="R4">
        <v>6</v>
      </c>
      <c r="S4">
        <v>2</v>
      </c>
      <c r="T4">
        <v>2.5</v>
      </c>
      <c r="U4">
        <v>0.8</v>
      </c>
      <c r="V4">
        <v>0</v>
      </c>
      <c r="W4">
        <v>0.5</v>
      </c>
      <c r="X4">
        <v>380</v>
      </c>
      <c r="Y4">
        <v>250</v>
      </c>
      <c r="Z4">
        <v>20</v>
      </c>
      <c r="AA4">
        <v>15</v>
      </c>
      <c r="AB4">
        <v>1</v>
      </c>
      <c r="AC4">
        <v>1.2</v>
      </c>
      <c r="AD4">
        <v>4</v>
      </c>
      <c r="AE4">
        <v>10</v>
      </c>
      <c r="AF4">
        <v>0</v>
      </c>
      <c r="AG4">
        <v>0</v>
      </c>
      <c r="AH4">
        <v>0</v>
      </c>
      <c r="AI4">
        <v>30</v>
      </c>
      <c r="AJ4">
        <v>1.8</v>
      </c>
      <c r="AK4" t="s">
        <v>77</v>
      </c>
      <c r="AL4" t="s">
        <v>65</v>
      </c>
      <c r="AM4" t="s">
        <v>87</v>
      </c>
      <c r="AN4" t="s">
        <v>67</v>
      </c>
      <c r="AO4" t="s">
        <v>68</v>
      </c>
      <c r="AP4" t="s">
        <v>67</v>
      </c>
      <c r="AQ4" t="s">
        <v>70</v>
      </c>
      <c r="AR4" t="s">
        <v>71</v>
      </c>
      <c r="AS4" t="s">
        <v>530</v>
      </c>
      <c r="AT4" t="s">
        <v>1046</v>
      </c>
    </row>
    <row r="5" spans="1:46" ht="15" customHeight="1" x14ac:dyDescent="0.2">
      <c r="A5">
        <v>1521</v>
      </c>
      <c r="B5" t="s">
        <v>1049</v>
      </c>
      <c r="C5" t="s">
        <v>690</v>
      </c>
      <c r="D5" t="s">
        <v>696</v>
      </c>
      <c r="E5" t="s">
        <v>686</v>
      </c>
      <c r="F5" t="s">
        <v>63</v>
      </c>
      <c r="G5" t="s">
        <v>473</v>
      </c>
      <c r="H5" t="b">
        <f>FALSE()</f>
        <v>0</v>
      </c>
      <c r="I5" t="b">
        <f>TRUE()</f>
        <v>1</v>
      </c>
      <c r="J5" t="b">
        <f>FALSE()</f>
        <v>0</v>
      </c>
      <c r="K5" t="s">
        <v>87</v>
      </c>
      <c r="L5">
        <v>100</v>
      </c>
      <c r="M5">
        <v>460</v>
      </c>
      <c r="N5">
        <v>4.5</v>
      </c>
      <c r="O5">
        <v>5</v>
      </c>
      <c r="P5">
        <v>1.5</v>
      </c>
      <c r="Q5">
        <v>0</v>
      </c>
      <c r="R5">
        <v>46</v>
      </c>
      <c r="S5">
        <v>7</v>
      </c>
      <c r="T5">
        <v>25</v>
      </c>
      <c r="U5">
        <v>12</v>
      </c>
      <c r="V5">
        <v>0</v>
      </c>
      <c r="W5">
        <v>0.5</v>
      </c>
      <c r="X5">
        <v>700</v>
      </c>
      <c r="Y5">
        <v>250</v>
      </c>
      <c r="Z5">
        <v>180</v>
      </c>
      <c r="AA5">
        <v>40</v>
      </c>
      <c r="AB5">
        <v>1.5</v>
      </c>
      <c r="AC5">
        <v>0.8</v>
      </c>
      <c r="AD5">
        <v>5</v>
      </c>
      <c r="AE5">
        <v>30</v>
      </c>
      <c r="AF5">
        <v>0.1</v>
      </c>
      <c r="AG5">
        <v>0</v>
      </c>
      <c r="AH5">
        <v>0</v>
      </c>
      <c r="AI5">
        <v>0</v>
      </c>
      <c r="AJ5">
        <v>0</v>
      </c>
      <c r="AK5" t="s">
        <v>77</v>
      </c>
      <c r="AL5" t="s">
        <v>65</v>
      </c>
      <c r="AM5" t="s">
        <v>65</v>
      </c>
      <c r="AN5" t="s">
        <v>67</v>
      </c>
      <c r="AO5" t="s">
        <v>68</v>
      </c>
      <c r="AP5" t="s">
        <v>67</v>
      </c>
      <c r="AQ5" t="s">
        <v>70</v>
      </c>
      <c r="AR5" t="s">
        <v>71</v>
      </c>
      <c r="AS5" t="s">
        <v>530</v>
      </c>
      <c r="AT5" t="s">
        <v>1046</v>
      </c>
    </row>
    <row r="6" spans="1:46" ht="15" customHeight="1" x14ac:dyDescent="0.2">
      <c r="A6">
        <v>1522</v>
      </c>
      <c r="B6" t="s">
        <v>1050</v>
      </c>
      <c r="C6" t="s">
        <v>690</v>
      </c>
      <c r="D6" t="s">
        <v>696</v>
      </c>
      <c r="E6" t="s">
        <v>686</v>
      </c>
      <c r="F6" t="s">
        <v>63</v>
      </c>
      <c r="G6" t="s">
        <v>473</v>
      </c>
      <c r="H6" t="b">
        <f>FALSE()</f>
        <v>0</v>
      </c>
      <c r="I6" t="b">
        <f>TRUE()</f>
        <v>1</v>
      </c>
      <c r="J6" t="b">
        <f>FALSE()</f>
        <v>0</v>
      </c>
      <c r="K6" t="s">
        <v>87</v>
      </c>
      <c r="L6">
        <v>100</v>
      </c>
      <c r="M6">
        <v>460</v>
      </c>
      <c r="N6">
        <v>4.5</v>
      </c>
      <c r="O6">
        <v>5</v>
      </c>
      <c r="P6">
        <v>1.5</v>
      </c>
      <c r="Q6">
        <v>0</v>
      </c>
      <c r="R6">
        <v>46</v>
      </c>
      <c r="S6">
        <v>7</v>
      </c>
      <c r="T6">
        <v>25</v>
      </c>
      <c r="U6">
        <v>12</v>
      </c>
      <c r="V6">
        <v>0</v>
      </c>
      <c r="W6">
        <v>0.5</v>
      </c>
      <c r="X6">
        <v>700</v>
      </c>
      <c r="Y6">
        <v>250</v>
      </c>
      <c r="Z6">
        <v>180</v>
      </c>
      <c r="AA6">
        <v>40</v>
      </c>
      <c r="AB6">
        <v>1.5</v>
      </c>
      <c r="AC6">
        <v>0.8</v>
      </c>
      <c r="AD6">
        <v>5</v>
      </c>
      <c r="AE6">
        <v>30</v>
      </c>
      <c r="AF6">
        <v>0.1</v>
      </c>
      <c r="AG6">
        <v>0</v>
      </c>
      <c r="AH6">
        <v>0</v>
      </c>
      <c r="AI6">
        <v>0</v>
      </c>
      <c r="AJ6">
        <v>0</v>
      </c>
      <c r="AK6" t="s">
        <v>77</v>
      </c>
      <c r="AL6" t="s">
        <v>65</v>
      </c>
      <c r="AM6" t="s">
        <v>65</v>
      </c>
      <c r="AN6" t="s">
        <v>67</v>
      </c>
      <c r="AO6" t="s">
        <v>68</v>
      </c>
      <c r="AP6" t="s">
        <v>67</v>
      </c>
      <c r="AQ6" t="s">
        <v>70</v>
      </c>
      <c r="AR6" t="s">
        <v>71</v>
      </c>
      <c r="AS6" t="s">
        <v>530</v>
      </c>
      <c r="AT6" t="s">
        <v>1046</v>
      </c>
    </row>
    <row r="7" spans="1:46" ht="15" customHeight="1" x14ac:dyDescent="0.2">
      <c r="A7">
        <v>1523</v>
      </c>
      <c r="B7" t="s">
        <v>1051</v>
      </c>
      <c r="C7" t="s">
        <v>690</v>
      </c>
      <c r="D7" t="s">
        <v>696</v>
      </c>
      <c r="E7" t="s">
        <v>686</v>
      </c>
      <c r="F7" t="s">
        <v>63</v>
      </c>
      <c r="G7" t="s">
        <v>473</v>
      </c>
      <c r="H7" t="b">
        <f>FALSE()</f>
        <v>0</v>
      </c>
      <c r="I7" t="b">
        <f>TRUE()</f>
        <v>1</v>
      </c>
      <c r="J7" t="b">
        <f>FALSE()</f>
        <v>0</v>
      </c>
      <c r="K7" t="s">
        <v>87</v>
      </c>
      <c r="L7">
        <v>100</v>
      </c>
      <c r="M7">
        <v>460</v>
      </c>
      <c r="N7">
        <v>4.5</v>
      </c>
      <c r="O7">
        <v>5</v>
      </c>
      <c r="P7">
        <v>1.5</v>
      </c>
      <c r="Q7">
        <v>0</v>
      </c>
      <c r="R7">
        <v>46</v>
      </c>
      <c r="S7">
        <v>7</v>
      </c>
      <c r="T7">
        <v>25</v>
      </c>
      <c r="U7">
        <v>12</v>
      </c>
      <c r="V7">
        <v>0</v>
      </c>
      <c r="W7">
        <v>0.5</v>
      </c>
      <c r="X7">
        <v>700</v>
      </c>
      <c r="Y7">
        <v>250</v>
      </c>
      <c r="Z7">
        <v>180</v>
      </c>
      <c r="AA7">
        <v>40</v>
      </c>
      <c r="AB7">
        <v>1.5</v>
      </c>
      <c r="AC7">
        <v>0.8</v>
      </c>
      <c r="AD7">
        <v>5</v>
      </c>
      <c r="AE7">
        <v>30</v>
      </c>
      <c r="AF7">
        <v>0.1</v>
      </c>
      <c r="AG7">
        <v>0</v>
      </c>
      <c r="AH7">
        <v>0</v>
      </c>
      <c r="AI7">
        <v>0</v>
      </c>
      <c r="AJ7">
        <v>0</v>
      </c>
      <c r="AK7" t="s">
        <v>77</v>
      </c>
      <c r="AL7" t="s">
        <v>65</v>
      </c>
      <c r="AM7" t="s">
        <v>65</v>
      </c>
      <c r="AN7" t="s">
        <v>67</v>
      </c>
      <c r="AO7" t="s">
        <v>68</v>
      </c>
      <c r="AP7" t="s">
        <v>67</v>
      </c>
      <c r="AQ7" t="s">
        <v>70</v>
      </c>
      <c r="AR7" t="s">
        <v>71</v>
      </c>
      <c r="AS7" t="s">
        <v>530</v>
      </c>
      <c r="AT7" t="s">
        <v>1046</v>
      </c>
    </row>
    <row r="8" spans="1:46" ht="15" customHeight="1" x14ac:dyDescent="0.2">
      <c r="A8">
        <v>1524</v>
      </c>
      <c r="B8" t="s">
        <v>1052</v>
      </c>
      <c r="C8" t="s">
        <v>710</v>
      </c>
      <c r="D8" t="s">
        <v>1053</v>
      </c>
      <c r="E8" t="s">
        <v>562</v>
      </c>
      <c r="F8" t="s">
        <v>63</v>
      </c>
      <c r="G8" t="s">
        <v>603</v>
      </c>
      <c r="H8" t="b">
        <f>FALSE()</f>
        <v>0</v>
      </c>
      <c r="I8" t="b">
        <f>FALSE()</f>
        <v>0</v>
      </c>
      <c r="J8" t="b">
        <f>TRUE()</f>
        <v>1</v>
      </c>
      <c r="K8" t="s">
        <v>65</v>
      </c>
      <c r="L8">
        <v>100</v>
      </c>
      <c r="M8">
        <v>42</v>
      </c>
      <c r="N8">
        <v>0</v>
      </c>
      <c r="O8">
        <v>10.6</v>
      </c>
      <c r="P8">
        <v>10.6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4</v>
      </c>
      <c r="Y8">
        <v>2</v>
      </c>
      <c r="Z8">
        <v>5</v>
      </c>
      <c r="AA8">
        <v>1</v>
      </c>
      <c r="AB8">
        <v>0</v>
      </c>
      <c r="AC8">
        <v>0</v>
      </c>
      <c r="AD8">
        <v>0</v>
      </c>
      <c r="AE8">
        <v>0</v>
      </c>
      <c r="AF8">
        <v>0</v>
      </c>
      <c r="AG8">
        <v>10</v>
      </c>
      <c r="AH8">
        <v>0</v>
      </c>
      <c r="AI8">
        <v>63</v>
      </c>
      <c r="AJ8">
        <v>6.7</v>
      </c>
      <c r="AK8" t="s">
        <v>77</v>
      </c>
      <c r="AL8" t="s">
        <v>65</v>
      </c>
      <c r="AM8" t="s">
        <v>65</v>
      </c>
      <c r="AN8" t="s">
        <v>67</v>
      </c>
      <c r="AO8" t="s">
        <v>69</v>
      </c>
      <c r="AP8" t="s">
        <v>67</v>
      </c>
      <c r="AQ8" t="s">
        <v>127</v>
      </c>
      <c r="AR8" t="s">
        <v>71</v>
      </c>
      <c r="AS8" t="s">
        <v>530</v>
      </c>
      <c r="AT8" t="s">
        <v>1046</v>
      </c>
    </row>
    <row r="9" spans="1:46" ht="15" customHeight="1" x14ac:dyDescent="0.2">
      <c r="A9">
        <v>1525</v>
      </c>
      <c r="B9" t="s">
        <v>1054</v>
      </c>
      <c r="C9" t="s">
        <v>710</v>
      </c>
      <c r="D9" t="s">
        <v>1053</v>
      </c>
      <c r="E9" t="s">
        <v>562</v>
      </c>
      <c r="F9" t="s">
        <v>63</v>
      </c>
      <c r="G9" t="s">
        <v>603</v>
      </c>
      <c r="H9" t="b">
        <f>FALSE()</f>
        <v>0</v>
      </c>
      <c r="I9" t="b">
        <f>FALSE()</f>
        <v>0</v>
      </c>
      <c r="J9" t="b">
        <f>TRUE()</f>
        <v>1</v>
      </c>
      <c r="K9" t="s">
        <v>65</v>
      </c>
      <c r="L9">
        <v>100</v>
      </c>
      <c r="M9">
        <v>42</v>
      </c>
      <c r="N9">
        <v>0</v>
      </c>
      <c r="O9">
        <v>10.6</v>
      </c>
      <c r="P9">
        <v>10.6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4</v>
      </c>
      <c r="Y9">
        <v>2</v>
      </c>
      <c r="Z9">
        <v>5</v>
      </c>
      <c r="AA9">
        <v>1</v>
      </c>
      <c r="AB9">
        <v>0</v>
      </c>
      <c r="AC9">
        <v>0</v>
      </c>
      <c r="AD9">
        <v>0</v>
      </c>
      <c r="AE9">
        <v>0</v>
      </c>
      <c r="AF9">
        <v>0</v>
      </c>
      <c r="AG9">
        <v>10</v>
      </c>
      <c r="AH9">
        <v>0</v>
      </c>
      <c r="AI9">
        <v>63</v>
      </c>
      <c r="AJ9">
        <v>6.7</v>
      </c>
      <c r="AK9" t="s">
        <v>77</v>
      </c>
      <c r="AL9" t="s">
        <v>65</v>
      </c>
      <c r="AM9" t="s">
        <v>65</v>
      </c>
      <c r="AN9" t="s">
        <v>67</v>
      </c>
      <c r="AO9" t="s">
        <v>69</v>
      </c>
      <c r="AP9" t="s">
        <v>67</v>
      </c>
      <c r="AQ9" t="s">
        <v>127</v>
      </c>
      <c r="AR9" t="s">
        <v>71</v>
      </c>
      <c r="AS9" t="s">
        <v>530</v>
      </c>
      <c r="AT9" t="s">
        <v>1046</v>
      </c>
    </row>
    <row r="10" spans="1:46" ht="15" customHeight="1" x14ac:dyDescent="0.2">
      <c r="A10">
        <v>1526</v>
      </c>
      <c r="B10" t="s">
        <v>1055</v>
      </c>
      <c r="C10" t="s">
        <v>710</v>
      </c>
      <c r="D10" t="s">
        <v>1053</v>
      </c>
      <c r="E10" t="s">
        <v>562</v>
      </c>
      <c r="F10" t="s">
        <v>63</v>
      </c>
      <c r="G10" t="s">
        <v>603</v>
      </c>
      <c r="H10" t="b">
        <f>FALSE()</f>
        <v>0</v>
      </c>
      <c r="I10" t="b">
        <f>FALSE()</f>
        <v>0</v>
      </c>
      <c r="J10" t="b">
        <f>TRUE()</f>
        <v>1</v>
      </c>
      <c r="K10" t="s">
        <v>65</v>
      </c>
      <c r="L10">
        <v>100</v>
      </c>
      <c r="M10">
        <v>42</v>
      </c>
      <c r="N10">
        <v>0</v>
      </c>
      <c r="O10">
        <v>10.6</v>
      </c>
      <c r="P10">
        <v>10.6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4</v>
      </c>
      <c r="Y10">
        <v>2</v>
      </c>
      <c r="Z10">
        <v>5</v>
      </c>
      <c r="AA10">
        <v>1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10</v>
      </c>
      <c r="AH10">
        <v>0</v>
      </c>
      <c r="AI10">
        <v>63</v>
      </c>
      <c r="AJ10">
        <v>6.7</v>
      </c>
      <c r="AK10" t="s">
        <v>77</v>
      </c>
      <c r="AL10" t="s">
        <v>65</v>
      </c>
      <c r="AM10" t="s">
        <v>65</v>
      </c>
      <c r="AN10" t="s">
        <v>67</v>
      </c>
      <c r="AO10" t="s">
        <v>69</v>
      </c>
      <c r="AP10" t="s">
        <v>67</v>
      </c>
      <c r="AQ10" t="s">
        <v>127</v>
      </c>
      <c r="AR10" t="s">
        <v>71</v>
      </c>
      <c r="AS10" t="s">
        <v>530</v>
      </c>
      <c r="AT10" t="s">
        <v>1046</v>
      </c>
    </row>
    <row r="11" spans="1:46" ht="15" customHeight="1" x14ac:dyDescent="0.2">
      <c r="A11">
        <v>1527</v>
      </c>
      <c r="B11" t="s">
        <v>1056</v>
      </c>
      <c r="C11" t="s">
        <v>710</v>
      </c>
      <c r="D11" t="s">
        <v>1057</v>
      </c>
      <c r="E11" t="s">
        <v>562</v>
      </c>
      <c r="F11" t="s">
        <v>63</v>
      </c>
      <c r="G11" t="s">
        <v>603</v>
      </c>
      <c r="H11" t="b">
        <f>FALSE()</f>
        <v>0</v>
      </c>
      <c r="I11" t="b">
        <f>FALSE()</f>
        <v>0</v>
      </c>
      <c r="J11" t="b">
        <f>TRUE()</f>
        <v>1</v>
      </c>
      <c r="K11" t="s">
        <v>65</v>
      </c>
      <c r="L11">
        <v>100</v>
      </c>
      <c r="M11">
        <v>0.3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5</v>
      </c>
      <c r="Y11">
        <v>2</v>
      </c>
      <c r="Z11">
        <v>5</v>
      </c>
      <c r="AA11">
        <v>1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10</v>
      </c>
      <c r="AH11">
        <v>0</v>
      </c>
      <c r="AI11">
        <v>0</v>
      </c>
      <c r="AJ11">
        <v>0</v>
      </c>
      <c r="AK11" t="s">
        <v>77</v>
      </c>
      <c r="AL11" t="s">
        <v>65</v>
      </c>
      <c r="AM11" t="s">
        <v>65</v>
      </c>
      <c r="AN11" t="s">
        <v>67</v>
      </c>
      <c r="AO11" t="s">
        <v>69</v>
      </c>
      <c r="AP11" t="s">
        <v>67</v>
      </c>
      <c r="AQ11" t="s">
        <v>127</v>
      </c>
      <c r="AR11" t="s">
        <v>71</v>
      </c>
      <c r="AS11" t="s">
        <v>530</v>
      </c>
      <c r="AT11" t="s">
        <v>1046</v>
      </c>
    </row>
    <row r="12" spans="1:46" ht="15" customHeight="1" x14ac:dyDescent="0.2">
      <c r="A12">
        <v>1528</v>
      </c>
      <c r="B12" t="s">
        <v>1058</v>
      </c>
      <c r="C12" t="s">
        <v>710</v>
      </c>
      <c r="D12" t="s">
        <v>1057</v>
      </c>
      <c r="E12" t="s">
        <v>562</v>
      </c>
      <c r="F12" t="s">
        <v>63</v>
      </c>
      <c r="G12" t="s">
        <v>603</v>
      </c>
      <c r="H12" t="b">
        <f>FALSE()</f>
        <v>0</v>
      </c>
      <c r="I12" t="b">
        <f>FALSE()</f>
        <v>0</v>
      </c>
      <c r="J12" t="b">
        <f>TRUE()</f>
        <v>1</v>
      </c>
      <c r="K12" t="s">
        <v>65</v>
      </c>
      <c r="L12">
        <v>100</v>
      </c>
      <c r="M12">
        <v>0.3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5</v>
      </c>
      <c r="Y12">
        <v>2</v>
      </c>
      <c r="Z12">
        <v>5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10</v>
      </c>
      <c r="AH12">
        <v>0</v>
      </c>
      <c r="AI12">
        <v>0</v>
      </c>
      <c r="AJ12">
        <v>0</v>
      </c>
      <c r="AK12" t="s">
        <v>77</v>
      </c>
      <c r="AL12" t="s">
        <v>65</v>
      </c>
      <c r="AM12" t="s">
        <v>65</v>
      </c>
      <c r="AN12" t="s">
        <v>67</v>
      </c>
      <c r="AO12" t="s">
        <v>69</v>
      </c>
      <c r="AP12" t="s">
        <v>67</v>
      </c>
      <c r="AQ12" t="s">
        <v>127</v>
      </c>
      <c r="AR12" t="s">
        <v>71</v>
      </c>
      <c r="AS12" t="s">
        <v>530</v>
      </c>
      <c r="AT12" t="s">
        <v>1046</v>
      </c>
    </row>
    <row r="13" spans="1:46" ht="15" customHeight="1" x14ac:dyDescent="0.2">
      <c r="A13">
        <v>1529</v>
      </c>
      <c r="B13" t="s">
        <v>1059</v>
      </c>
      <c r="C13" t="s">
        <v>710</v>
      </c>
      <c r="D13" t="s">
        <v>1057</v>
      </c>
      <c r="E13" t="s">
        <v>562</v>
      </c>
      <c r="F13" t="s">
        <v>63</v>
      </c>
      <c r="G13" t="s">
        <v>603</v>
      </c>
      <c r="H13" t="b">
        <f>FALSE()</f>
        <v>0</v>
      </c>
      <c r="I13" t="b">
        <f>FALSE()</f>
        <v>0</v>
      </c>
      <c r="J13" t="b">
        <f>TRUE()</f>
        <v>1</v>
      </c>
      <c r="K13" t="s">
        <v>65</v>
      </c>
      <c r="L13">
        <v>100</v>
      </c>
      <c r="M13">
        <v>0.3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5</v>
      </c>
      <c r="Y13">
        <v>2</v>
      </c>
      <c r="Z13">
        <v>5</v>
      </c>
      <c r="AA13">
        <v>1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10</v>
      </c>
      <c r="AH13">
        <v>0</v>
      </c>
      <c r="AI13">
        <v>0</v>
      </c>
      <c r="AJ13">
        <v>0</v>
      </c>
      <c r="AK13" t="s">
        <v>77</v>
      </c>
      <c r="AL13" t="s">
        <v>65</v>
      </c>
      <c r="AM13" t="s">
        <v>65</v>
      </c>
      <c r="AN13" t="s">
        <v>67</v>
      </c>
      <c r="AO13" t="s">
        <v>69</v>
      </c>
      <c r="AP13" t="s">
        <v>67</v>
      </c>
      <c r="AQ13" t="s">
        <v>127</v>
      </c>
      <c r="AR13" t="s">
        <v>71</v>
      </c>
      <c r="AS13" t="s">
        <v>530</v>
      </c>
      <c r="AT13" t="s">
        <v>1046</v>
      </c>
    </row>
    <row r="14" spans="1:46" ht="15" customHeight="1" x14ac:dyDescent="0.2">
      <c r="A14">
        <v>1530</v>
      </c>
      <c r="B14" t="s">
        <v>1060</v>
      </c>
      <c r="C14" t="s">
        <v>710</v>
      </c>
      <c r="D14" t="s">
        <v>1053</v>
      </c>
      <c r="E14" t="s">
        <v>562</v>
      </c>
      <c r="F14" t="s">
        <v>63</v>
      </c>
      <c r="G14" t="s">
        <v>603</v>
      </c>
      <c r="H14" t="b">
        <f>FALSE()</f>
        <v>0</v>
      </c>
      <c r="I14" t="b">
        <f>FALSE()</f>
        <v>0</v>
      </c>
      <c r="J14" t="b">
        <f>TRUE()</f>
        <v>1</v>
      </c>
      <c r="K14" t="s">
        <v>65</v>
      </c>
      <c r="L14">
        <v>100</v>
      </c>
      <c r="M14">
        <v>45</v>
      </c>
      <c r="N14">
        <v>0</v>
      </c>
      <c r="O14">
        <v>11</v>
      </c>
      <c r="P14">
        <v>11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9</v>
      </c>
      <c r="Y14">
        <v>2</v>
      </c>
      <c r="Z14">
        <v>5</v>
      </c>
      <c r="AA14">
        <v>1</v>
      </c>
      <c r="AB14">
        <v>0</v>
      </c>
      <c r="AC14">
        <v>0</v>
      </c>
      <c r="AD14">
        <v>2</v>
      </c>
      <c r="AE14">
        <v>0</v>
      </c>
      <c r="AF14">
        <v>0</v>
      </c>
      <c r="AG14">
        <v>0</v>
      </c>
      <c r="AH14">
        <v>0</v>
      </c>
      <c r="AI14">
        <v>60</v>
      </c>
      <c r="AJ14">
        <v>6.6</v>
      </c>
      <c r="AK14" t="s">
        <v>77</v>
      </c>
      <c r="AL14" t="s">
        <v>65</v>
      </c>
      <c r="AM14" t="s">
        <v>65</v>
      </c>
      <c r="AN14" t="s">
        <v>67</v>
      </c>
      <c r="AO14" t="s">
        <v>69</v>
      </c>
      <c r="AP14" t="s">
        <v>67</v>
      </c>
      <c r="AQ14" t="s">
        <v>127</v>
      </c>
      <c r="AR14" t="s">
        <v>71</v>
      </c>
      <c r="AS14" t="s">
        <v>530</v>
      </c>
      <c r="AT14" t="s">
        <v>1046</v>
      </c>
    </row>
    <row r="15" spans="1:46" ht="15" customHeight="1" x14ac:dyDescent="0.2">
      <c r="A15">
        <v>1531</v>
      </c>
      <c r="B15" t="s">
        <v>1061</v>
      </c>
      <c r="C15" t="s">
        <v>710</v>
      </c>
      <c r="D15" t="s">
        <v>1053</v>
      </c>
      <c r="E15" t="s">
        <v>562</v>
      </c>
      <c r="F15" t="s">
        <v>63</v>
      </c>
      <c r="G15" t="s">
        <v>603</v>
      </c>
      <c r="H15" t="b">
        <f>FALSE()</f>
        <v>0</v>
      </c>
      <c r="I15" t="b">
        <f>FALSE()</f>
        <v>0</v>
      </c>
      <c r="J15" t="b">
        <f>TRUE()</f>
        <v>1</v>
      </c>
      <c r="K15" t="s">
        <v>65</v>
      </c>
      <c r="L15">
        <v>100</v>
      </c>
      <c r="M15">
        <v>45</v>
      </c>
      <c r="N15">
        <v>0</v>
      </c>
      <c r="O15">
        <v>11</v>
      </c>
      <c r="P15">
        <v>11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9</v>
      </c>
      <c r="Y15">
        <v>2</v>
      </c>
      <c r="Z15">
        <v>5</v>
      </c>
      <c r="AA15">
        <v>1</v>
      </c>
      <c r="AB15">
        <v>0</v>
      </c>
      <c r="AC15">
        <v>0</v>
      </c>
      <c r="AD15">
        <v>2</v>
      </c>
      <c r="AE15">
        <v>0</v>
      </c>
      <c r="AF15">
        <v>0</v>
      </c>
      <c r="AG15">
        <v>0</v>
      </c>
      <c r="AH15">
        <v>0</v>
      </c>
      <c r="AI15">
        <v>60</v>
      </c>
      <c r="AJ15">
        <v>6.6</v>
      </c>
      <c r="AK15" t="s">
        <v>77</v>
      </c>
      <c r="AL15" t="s">
        <v>65</v>
      </c>
      <c r="AM15" t="s">
        <v>65</v>
      </c>
      <c r="AN15" t="s">
        <v>67</v>
      </c>
      <c r="AO15" t="s">
        <v>69</v>
      </c>
      <c r="AP15" t="s">
        <v>67</v>
      </c>
      <c r="AQ15" t="s">
        <v>127</v>
      </c>
      <c r="AR15" t="s">
        <v>71</v>
      </c>
      <c r="AS15" t="s">
        <v>530</v>
      </c>
      <c r="AT15" t="s">
        <v>1046</v>
      </c>
    </row>
    <row r="16" spans="1:46" ht="15" customHeight="1" x14ac:dyDescent="0.2">
      <c r="A16">
        <v>1532</v>
      </c>
      <c r="B16" t="s">
        <v>1062</v>
      </c>
      <c r="C16" t="s">
        <v>710</v>
      </c>
      <c r="D16" t="s">
        <v>1053</v>
      </c>
      <c r="E16" t="s">
        <v>562</v>
      </c>
      <c r="F16" t="s">
        <v>63</v>
      </c>
      <c r="G16" t="s">
        <v>603</v>
      </c>
      <c r="H16" t="b">
        <f>FALSE()</f>
        <v>0</v>
      </c>
      <c r="I16" t="b">
        <f>FALSE()</f>
        <v>0</v>
      </c>
      <c r="J16" t="b">
        <f>TRUE()</f>
        <v>1</v>
      </c>
      <c r="K16" t="s">
        <v>65</v>
      </c>
      <c r="L16">
        <v>100</v>
      </c>
      <c r="M16">
        <v>45</v>
      </c>
      <c r="N16">
        <v>0</v>
      </c>
      <c r="O16">
        <v>11</v>
      </c>
      <c r="P16">
        <v>11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9</v>
      </c>
      <c r="Y16">
        <v>2</v>
      </c>
      <c r="Z16">
        <v>5</v>
      </c>
      <c r="AA16">
        <v>1</v>
      </c>
      <c r="AB16">
        <v>0</v>
      </c>
      <c r="AC16">
        <v>0</v>
      </c>
      <c r="AD16">
        <v>2</v>
      </c>
      <c r="AE16">
        <v>0</v>
      </c>
      <c r="AF16">
        <v>0</v>
      </c>
      <c r="AG16">
        <v>0</v>
      </c>
      <c r="AH16">
        <v>0</v>
      </c>
      <c r="AI16">
        <v>60</v>
      </c>
      <c r="AJ16">
        <v>6.6</v>
      </c>
      <c r="AK16" t="s">
        <v>77</v>
      </c>
      <c r="AL16" t="s">
        <v>65</v>
      </c>
      <c r="AM16" t="s">
        <v>65</v>
      </c>
      <c r="AN16" t="s">
        <v>67</v>
      </c>
      <c r="AO16" t="s">
        <v>69</v>
      </c>
      <c r="AP16" t="s">
        <v>67</v>
      </c>
      <c r="AQ16" t="s">
        <v>127</v>
      </c>
      <c r="AR16" t="s">
        <v>71</v>
      </c>
      <c r="AS16" t="s">
        <v>530</v>
      </c>
      <c r="AT16" t="s">
        <v>1046</v>
      </c>
    </row>
    <row r="17" spans="1:46" ht="15" customHeight="1" x14ac:dyDescent="0.2">
      <c r="A17">
        <v>1533</v>
      </c>
      <c r="B17" t="s">
        <v>1063</v>
      </c>
      <c r="C17" t="s">
        <v>710</v>
      </c>
      <c r="D17" t="s">
        <v>1053</v>
      </c>
      <c r="E17" t="s">
        <v>562</v>
      </c>
      <c r="F17" t="s">
        <v>63</v>
      </c>
      <c r="G17" t="s">
        <v>603</v>
      </c>
      <c r="H17" t="b">
        <f>FALSE()</f>
        <v>0</v>
      </c>
      <c r="I17" t="b">
        <f>FALSE()</f>
        <v>0</v>
      </c>
      <c r="J17" t="b">
        <f>TRUE()</f>
        <v>1</v>
      </c>
      <c r="K17" t="s">
        <v>65</v>
      </c>
      <c r="L17">
        <v>100</v>
      </c>
      <c r="M17">
        <v>40</v>
      </c>
      <c r="N17">
        <v>0</v>
      </c>
      <c r="O17">
        <v>10</v>
      </c>
      <c r="P17">
        <v>10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12</v>
      </c>
      <c r="Y17">
        <v>2</v>
      </c>
      <c r="Z17">
        <v>5</v>
      </c>
      <c r="AA17">
        <v>1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60</v>
      </c>
      <c r="AJ17">
        <v>6</v>
      </c>
      <c r="AK17" t="s">
        <v>77</v>
      </c>
      <c r="AL17" t="s">
        <v>65</v>
      </c>
      <c r="AM17" t="s">
        <v>65</v>
      </c>
      <c r="AN17" t="s">
        <v>67</v>
      </c>
      <c r="AO17" t="s">
        <v>69</v>
      </c>
      <c r="AP17" t="s">
        <v>67</v>
      </c>
      <c r="AQ17" t="s">
        <v>127</v>
      </c>
      <c r="AR17" t="s">
        <v>71</v>
      </c>
      <c r="AS17" t="s">
        <v>530</v>
      </c>
      <c r="AT17" t="s">
        <v>1046</v>
      </c>
    </row>
    <row r="18" spans="1:46" ht="15" customHeight="1" x14ac:dyDescent="0.2">
      <c r="A18">
        <v>1534</v>
      </c>
      <c r="B18" t="s">
        <v>1064</v>
      </c>
      <c r="C18" t="s">
        <v>710</v>
      </c>
      <c r="D18" t="s">
        <v>1053</v>
      </c>
      <c r="E18" t="s">
        <v>562</v>
      </c>
      <c r="F18" t="s">
        <v>63</v>
      </c>
      <c r="G18" t="s">
        <v>603</v>
      </c>
      <c r="H18" t="b">
        <f>FALSE()</f>
        <v>0</v>
      </c>
      <c r="I18" t="b">
        <f>FALSE()</f>
        <v>0</v>
      </c>
      <c r="J18" t="b">
        <f>TRUE()</f>
        <v>1</v>
      </c>
      <c r="K18" t="s">
        <v>65</v>
      </c>
      <c r="L18">
        <v>100</v>
      </c>
      <c r="M18">
        <v>40</v>
      </c>
      <c r="N18">
        <v>0</v>
      </c>
      <c r="O18">
        <v>10</v>
      </c>
      <c r="P18">
        <v>10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12</v>
      </c>
      <c r="Y18">
        <v>2</v>
      </c>
      <c r="Z18">
        <v>5</v>
      </c>
      <c r="AA18">
        <v>1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60</v>
      </c>
      <c r="AJ18">
        <v>6</v>
      </c>
      <c r="AK18" t="s">
        <v>77</v>
      </c>
      <c r="AL18" t="s">
        <v>65</v>
      </c>
      <c r="AM18" t="s">
        <v>65</v>
      </c>
      <c r="AN18" t="s">
        <v>67</v>
      </c>
      <c r="AO18" t="s">
        <v>69</v>
      </c>
      <c r="AP18" t="s">
        <v>67</v>
      </c>
      <c r="AQ18" t="s">
        <v>127</v>
      </c>
      <c r="AR18" t="s">
        <v>71</v>
      </c>
      <c r="AS18" t="s">
        <v>530</v>
      </c>
      <c r="AT18" t="s">
        <v>1046</v>
      </c>
    </row>
    <row r="19" spans="1:46" ht="15" customHeight="1" x14ac:dyDescent="0.2">
      <c r="A19">
        <v>1535</v>
      </c>
      <c r="B19" t="s">
        <v>1065</v>
      </c>
      <c r="C19" t="s">
        <v>710</v>
      </c>
      <c r="D19" t="s">
        <v>1053</v>
      </c>
      <c r="E19" t="s">
        <v>562</v>
      </c>
      <c r="F19" t="s">
        <v>63</v>
      </c>
      <c r="G19" t="s">
        <v>603</v>
      </c>
      <c r="H19" t="b">
        <f>FALSE()</f>
        <v>0</v>
      </c>
      <c r="I19" t="b">
        <f>FALSE()</f>
        <v>0</v>
      </c>
      <c r="J19" t="b">
        <f>TRUE()</f>
        <v>1</v>
      </c>
      <c r="K19" t="s">
        <v>65</v>
      </c>
      <c r="L19">
        <v>100</v>
      </c>
      <c r="M19">
        <v>40</v>
      </c>
      <c r="N19">
        <v>0</v>
      </c>
      <c r="O19">
        <v>10</v>
      </c>
      <c r="P19">
        <v>10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12</v>
      </c>
      <c r="Y19">
        <v>2</v>
      </c>
      <c r="Z19">
        <v>5</v>
      </c>
      <c r="AA19">
        <v>1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60</v>
      </c>
      <c r="AJ19">
        <v>6</v>
      </c>
      <c r="AK19" t="s">
        <v>77</v>
      </c>
      <c r="AL19" t="s">
        <v>65</v>
      </c>
      <c r="AM19" t="s">
        <v>65</v>
      </c>
      <c r="AN19" t="s">
        <v>67</v>
      </c>
      <c r="AO19" t="s">
        <v>69</v>
      </c>
      <c r="AP19" t="s">
        <v>67</v>
      </c>
      <c r="AQ19" t="s">
        <v>127</v>
      </c>
      <c r="AR19" t="s">
        <v>71</v>
      </c>
      <c r="AS19" t="s">
        <v>530</v>
      </c>
      <c r="AT19" t="s">
        <v>1046</v>
      </c>
    </row>
    <row r="20" spans="1:46" ht="15" customHeight="1" x14ac:dyDescent="0.2">
      <c r="A20">
        <v>1536</v>
      </c>
      <c r="B20" t="s">
        <v>1066</v>
      </c>
      <c r="C20" t="s">
        <v>710</v>
      </c>
      <c r="D20" t="s">
        <v>1053</v>
      </c>
      <c r="E20" t="s">
        <v>562</v>
      </c>
      <c r="F20" t="s">
        <v>63</v>
      </c>
      <c r="G20" t="s">
        <v>603</v>
      </c>
      <c r="H20" t="b">
        <f>FALSE()</f>
        <v>0</v>
      </c>
      <c r="I20" t="b">
        <f>FALSE()</f>
        <v>0</v>
      </c>
      <c r="J20" t="b">
        <f>TRUE()</f>
        <v>1</v>
      </c>
      <c r="K20" t="s">
        <v>65</v>
      </c>
      <c r="L20">
        <v>100</v>
      </c>
      <c r="M20">
        <v>34</v>
      </c>
      <c r="N20">
        <v>0</v>
      </c>
      <c r="O20">
        <v>8.5</v>
      </c>
      <c r="P20">
        <v>8.5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8</v>
      </c>
      <c r="Y20">
        <v>2</v>
      </c>
      <c r="Z20">
        <v>5</v>
      </c>
      <c r="AA20">
        <v>1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60</v>
      </c>
      <c r="AJ20">
        <v>5.0999999999999996</v>
      </c>
      <c r="AK20" t="s">
        <v>77</v>
      </c>
      <c r="AL20" t="s">
        <v>65</v>
      </c>
      <c r="AM20" t="s">
        <v>65</v>
      </c>
      <c r="AN20" t="s">
        <v>67</v>
      </c>
      <c r="AO20" t="s">
        <v>69</v>
      </c>
      <c r="AP20" t="s">
        <v>67</v>
      </c>
      <c r="AQ20" t="s">
        <v>127</v>
      </c>
      <c r="AR20" t="s">
        <v>71</v>
      </c>
      <c r="AS20" t="s">
        <v>530</v>
      </c>
      <c r="AT20" t="s">
        <v>1046</v>
      </c>
    </row>
    <row r="21" spans="1:46" ht="15" customHeight="1" x14ac:dyDescent="0.2">
      <c r="A21">
        <v>1537</v>
      </c>
      <c r="B21" t="s">
        <v>1067</v>
      </c>
      <c r="C21" t="s">
        <v>710</v>
      </c>
      <c r="D21" t="s">
        <v>1053</v>
      </c>
      <c r="E21" t="s">
        <v>562</v>
      </c>
      <c r="F21" t="s">
        <v>63</v>
      </c>
      <c r="G21" t="s">
        <v>603</v>
      </c>
      <c r="H21" t="b">
        <f>FALSE()</f>
        <v>0</v>
      </c>
      <c r="I21" t="b">
        <f>FALSE()</f>
        <v>0</v>
      </c>
      <c r="J21" t="b">
        <f>TRUE()</f>
        <v>1</v>
      </c>
      <c r="K21" t="s">
        <v>65</v>
      </c>
      <c r="L21">
        <v>100</v>
      </c>
      <c r="M21">
        <v>34</v>
      </c>
      <c r="N21">
        <v>0</v>
      </c>
      <c r="O21">
        <v>8.5</v>
      </c>
      <c r="P21">
        <v>8.5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8</v>
      </c>
      <c r="Y21">
        <v>2</v>
      </c>
      <c r="Z21">
        <v>5</v>
      </c>
      <c r="AA21">
        <v>1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60</v>
      </c>
      <c r="AJ21">
        <v>5.0999999999999996</v>
      </c>
      <c r="AK21" t="s">
        <v>77</v>
      </c>
      <c r="AL21" t="s">
        <v>65</v>
      </c>
      <c r="AM21" t="s">
        <v>65</v>
      </c>
      <c r="AN21" t="s">
        <v>67</v>
      </c>
      <c r="AO21" t="s">
        <v>69</v>
      </c>
      <c r="AP21" t="s">
        <v>67</v>
      </c>
      <c r="AQ21" t="s">
        <v>127</v>
      </c>
      <c r="AR21" t="s">
        <v>71</v>
      </c>
      <c r="AS21" t="s">
        <v>530</v>
      </c>
      <c r="AT21" t="s">
        <v>1046</v>
      </c>
    </row>
    <row r="22" spans="1:46" ht="15" customHeight="1" x14ac:dyDescent="0.2">
      <c r="A22">
        <v>1538</v>
      </c>
      <c r="B22" t="s">
        <v>1068</v>
      </c>
      <c r="C22" t="s">
        <v>710</v>
      </c>
      <c r="D22" t="s">
        <v>1053</v>
      </c>
      <c r="E22" t="s">
        <v>562</v>
      </c>
      <c r="F22" t="s">
        <v>63</v>
      </c>
      <c r="G22" t="s">
        <v>603</v>
      </c>
      <c r="H22" t="b">
        <f>FALSE()</f>
        <v>0</v>
      </c>
      <c r="I22" t="b">
        <f>FALSE()</f>
        <v>0</v>
      </c>
      <c r="J22" t="b">
        <f>TRUE()</f>
        <v>1</v>
      </c>
      <c r="K22" t="s">
        <v>65</v>
      </c>
      <c r="L22">
        <v>100</v>
      </c>
      <c r="M22">
        <v>34</v>
      </c>
      <c r="N22">
        <v>0</v>
      </c>
      <c r="O22">
        <v>8.5</v>
      </c>
      <c r="P22">
        <v>8.5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8</v>
      </c>
      <c r="Y22">
        <v>2</v>
      </c>
      <c r="Z22">
        <v>5</v>
      </c>
      <c r="AA22">
        <v>1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60</v>
      </c>
      <c r="AJ22">
        <v>5.0999999999999996</v>
      </c>
      <c r="AK22" t="s">
        <v>77</v>
      </c>
      <c r="AL22" t="s">
        <v>65</v>
      </c>
      <c r="AM22" t="s">
        <v>65</v>
      </c>
      <c r="AN22" t="s">
        <v>67</v>
      </c>
      <c r="AO22" t="s">
        <v>69</v>
      </c>
      <c r="AP22" t="s">
        <v>67</v>
      </c>
      <c r="AQ22" t="s">
        <v>127</v>
      </c>
      <c r="AR22" t="s">
        <v>71</v>
      </c>
      <c r="AS22" t="s">
        <v>530</v>
      </c>
      <c r="AT22" t="s">
        <v>1046</v>
      </c>
    </row>
    <row r="23" spans="1:46" ht="15" customHeight="1" x14ac:dyDescent="0.2">
      <c r="A23">
        <v>1539</v>
      </c>
      <c r="B23" t="s">
        <v>1069</v>
      </c>
      <c r="C23" t="s">
        <v>527</v>
      </c>
      <c r="D23" t="s">
        <v>1070</v>
      </c>
      <c r="E23" t="s">
        <v>686</v>
      </c>
      <c r="F23" t="s">
        <v>63</v>
      </c>
      <c r="G23" t="s">
        <v>473</v>
      </c>
      <c r="H23" t="b">
        <f>FALSE()</f>
        <v>0</v>
      </c>
      <c r="I23" t="b">
        <f>FALSE()</f>
        <v>0</v>
      </c>
      <c r="J23" t="b">
        <f>TRUE()</f>
        <v>1</v>
      </c>
      <c r="K23" t="s">
        <v>87</v>
      </c>
      <c r="L23">
        <v>100</v>
      </c>
      <c r="M23">
        <v>42</v>
      </c>
      <c r="N23">
        <v>1</v>
      </c>
      <c r="O23">
        <v>4.5</v>
      </c>
      <c r="P23">
        <v>3.5</v>
      </c>
      <c r="Q23">
        <v>0</v>
      </c>
      <c r="R23">
        <v>2.2000000000000002</v>
      </c>
      <c r="S23">
        <v>0.3</v>
      </c>
      <c r="T23">
        <v>1.7</v>
      </c>
      <c r="U23">
        <v>0.2</v>
      </c>
      <c r="V23">
        <v>0</v>
      </c>
      <c r="W23">
        <v>1</v>
      </c>
      <c r="X23">
        <v>220</v>
      </c>
      <c r="Y23">
        <v>220</v>
      </c>
      <c r="Z23">
        <v>15</v>
      </c>
      <c r="AA23">
        <v>12</v>
      </c>
      <c r="AB23">
        <v>0.4</v>
      </c>
      <c r="AC23">
        <v>0.2</v>
      </c>
      <c r="AD23">
        <v>15</v>
      </c>
      <c r="AE23">
        <v>15</v>
      </c>
      <c r="AF23">
        <v>0</v>
      </c>
      <c r="AG23">
        <v>0</v>
      </c>
      <c r="AH23">
        <v>0</v>
      </c>
      <c r="AI23">
        <v>35</v>
      </c>
      <c r="AJ23">
        <v>1.6</v>
      </c>
      <c r="AK23" t="s">
        <v>66</v>
      </c>
      <c r="AL23" t="s">
        <v>87</v>
      </c>
      <c r="AM23" t="s">
        <v>65</v>
      </c>
      <c r="AN23" t="s">
        <v>67</v>
      </c>
      <c r="AO23" t="s">
        <v>68</v>
      </c>
      <c r="AP23" t="s">
        <v>69</v>
      </c>
      <c r="AQ23" t="s">
        <v>70</v>
      </c>
      <c r="AR23" t="s">
        <v>71</v>
      </c>
      <c r="AS23" t="s">
        <v>530</v>
      </c>
      <c r="AT23" t="s">
        <v>1046</v>
      </c>
    </row>
    <row r="24" spans="1:46" ht="15" customHeight="1" x14ac:dyDescent="0.2">
      <c r="A24">
        <v>1540</v>
      </c>
      <c r="B24" t="s">
        <v>1071</v>
      </c>
      <c r="C24" t="s">
        <v>527</v>
      </c>
      <c r="D24" t="s">
        <v>1070</v>
      </c>
      <c r="E24" t="s">
        <v>686</v>
      </c>
      <c r="F24" t="s">
        <v>63</v>
      </c>
      <c r="G24" t="s">
        <v>473</v>
      </c>
      <c r="H24" t="b">
        <f>FALSE()</f>
        <v>0</v>
      </c>
      <c r="I24" t="b">
        <f>FALSE()</f>
        <v>0</v>
      </c>
      <c r="J24" t="b">
        <f>TRUE()</f>
        <v>1</v>
      </c>
      <c r="K24" t="s">
        <v>87</v>
      </c>
      <c r="L24">
        <v>100</v>
      </c>
      <c r="M24">
        <v>42</v>
      </c>
      <c r="N24">
        <v>1</v>
      </c>
      <c r="O24">
        <v>4.5</v>
      </c>
      <c r="P24">
        <v>3.5</v>
      </c>
      <c r="Q24">
        <v>0</v>
      </c>
      <c r="R24">
        <v>2.2000000000000002</v>
      </c>
      <c r="S24">
        <v>0.3</v>
      </c>
      <c r="T24">
        <v>1.7</v>
      </c>
      <c r="U24">
        <v>0.2</v>
      </c>
      <c r="V24">
        <v>0</v>
      </c>
      <c r="W24">
        <v>1</v>
      </c>
      <c r="X24">
        <v>220</v>
      </c>
      <c r="Y24">
        <v>220</v>
      </c>
      <c r="Z24">
        <v>15</v>
      </c>
      <c r="AA24">
        <v>12</v>
      </c>
      <c r="AB24">
        <v>0.4</v>
      </c>
      <c r="AC24">
        <v>0.2</v>
      </c>
      <c r="AD24">
        <v>15</v>
      </c>
      <c r="AE24">
        <v>15</v>
      </c>
      <c r="AF24">
        <v>0</v>
      </c>
      <c r="AG24">
        <v>0</v>
      </c>
      <c r="AH24">
        <v>0</v>
      </c>
      <c r="AI24">
        <v>35</v>
      </c>
      <c r="AJ24">
        <v>1.6</v>
      </c>
      <c r="AK24" t="s">
        <v>66</v>
      </c>
      <c r="AL24" t="s">
        <v>87</v>
      </c>
      <c r="AM24" t="s">
        <v>65</v>
      </c>
      <c r="AN24" t="s">
        <v>67</v>
      </c>
      <c r="AO24" t="s">
        <v>68</v>
      </c>
      <c r="AP24" t="s">
        <v>69</v>
      </c>
      <c r="AQ24" t="s">
        <v>70</v>
      </c>
      <c r="AR24" t="s">
        <v>71</v>
      </c>
      <c r="AS24" t="s">
        <v>530</v>
      </c>
      <c r="AT24" t="s">
        <v>1046</v>
      </c>
    </row>
    <row r="25" spans="1:46" ht="15" customHeight="1" x14ac:dyDescent="0.2">
      <c r="A25">
        <v>1541</v>
      </c>
      <c r="B25" t="s">
        <v>1072</v>
      </c>
      <c r="C25" t="s">
        <v>527</v>
      </c>
      <c r="D25" t="s">
        <v>1070</v>
      </c>
      <c r="E25" t="s">
        <v>686</v>
      </c>
      <c r="F25" t="s">
        <v>63</v>
      </c>
      <c r="G25" t="s">
        <v>473</v>
      </c>
      <c r="H25" t="b">
        <f>FALSE()</f>
        <v>0</v>
      </c>
      <c r="I25" t="b">
        <f>FALSE()</f>
        <v>0</v>
      </c>
      <c r="J25" t="b">
        <f>TRUE()</f>
        <v>1</v>
      </c>
      <c r="K25" t="s">
        <v>87</v>
      </c>
      <c r="L25">
        <v>100</v>
      </c>
      <c r="M25">
        <v>42</v>
      </c>
      <c r="N25">
        <v>1</v>
      </c>
      <c r="O25">
        <v>4.5</v>
      </c>
      <c r="P25">
        <v>3.5</v>
      </c>
      <c r="Q25">
        <v>0</v>
      </c>
      <c r="R25">
        <v>2.2000000000000002</v>
      </c>
      <c r="S25">
        <v>0.3</v>
      </c>
      <c r="T25">
        <v>1.7</v>
      </c>
      <c r="U25">
        <v>0.2</v>
      </c>
      <c r="V25">
        <v>0</v>
      </c>
      <c r="W25">
        <v>1</v>
      </c>
      <c r="X25">
        <v>220</v>
      </c>
      <c r="Y25">
        <v>220</v>
      </c>
      <c r="Z25">
        <v>15</v>
      </c>
      <c r="AA25">
        <v>12</v>
      </c>
      <c r="AB25">
        <v>0.4</v>
      </c>
      <c r="AC25">
        <v>0.2</v>
      </c>
      <c r="AD25">
        <v>15</v>
      </c>
      <c r="AE25">
        <v>15</v>
      </c>
      <c r="AF25">
        <v>0</v>
      </c>
      <c r="AG25">
        <v>0</v>
      </c>
      <c r="AH25">
        <v>0</v>
      </c>
      <c r="AI25">
        <v>35</v>
      </c>
      <c r="AJ25">
        <v>1.6</v>
      </c>
      <c r="AK25" t="s">
        <v>66</v>
      </c>
      <c r="AL25" t="s">
        <v>87</v>
      </c>
      <c r="AM25" t="s">
        <v>65</v>
      </c>
      <c r="AN25" t="s">
        <v>67</v>
      </c>
      <c r="AO25" t="s">
        <v>68</v>
      </c>
      <c r="AP25" t="s">
        <v>69</v>
      </c>
      <c r="AQ25" t="s">
        <v>70</v>
      </c>
      <c r="AR25" t="s">
        <v>71</v>
      </c>
      <c r="AS25" t="s">
        <v>530</v>
      </c>
      <c r="AT25" t="s">
        <v>1046</v>
      </c>
    </row>
    <row r="26" spans="1:46" ht="15" customHeight="1" x14ac:dyDescent="0.2">
      <c r="A26">
        <v>1542</v>
      </c>
      <c r="B26" t="s">
        <v>1073</v>
      </c>
      <c r="C26" t="s">
        <v>527</v>
      </c>
      <c r="D26" t="s">
        <v>1070</v>
      </c>
      <c r="E26" t="s">
        <v>686</v>
      </c>
      <c r="F26" t="s">
        <v>63</v>
      </c>
      <c r="G26" t="s">
        <v>473</v>
      </c>
      <c r="H26" t="b">
        <f>TRUE()</f>
        <v>1</v>
      </c>
      <c r="I26" t="b">
        <f>FALSE()</f>
        <v>0</v>
      </c>
      <c r="J26" t="b">
        <f>FALSE()</f>
        <v>0</v>
      </c>
      <c r="K26" t="s">
        <v>87</v>
      </c>
      <c r="L26">
        <v>100</v>
      </c>
      <c r="M26">
        <v>95</v>
      </c>
      <c r="N26">
        <v>2</v>
      </c>
      <c r="O26">
        <v>8</v>
      </c>
      <c r="P26">
        <v>4</v>
      </c>
      <c r="Q26">
        <v>0</v>
      </c>
      <c r="R26">
        <v>6</v>
      </c>
      <c r="S26">
        <v>1</v>
      </c>
      <c r="T26">
        <v>4.5</v>
      </c>
      <c r="U26">
        <v>0.5</v>
      </c>
      <c r="V26">
        <v>0</v>
      </c>
      <c r="W26">
        <v>1.2</v>
      </c>
      <c r="X26">
        <v>280</v>
      </c>
      <c r="Y26">
        <v>180</v>
      </c>
      <c r="Z26">
        <v>15</v>
      </c>
      <c r="AA26">
        <v>10</v>
      </c>
      <c r="AB26">
        <v>0.5</v>
      </c>
      <c r="AC26">
        <v>0.3</v>
      </c>
      <c r="AD26">
        <v>10</v>
      </c>
      <c r="AE26">
        <v>12</v>
      </c>
      <c r="AF26">
        <v>0</v>
      </c>
      <c r="AG26">
        <v>0</v>
      </c>
      <c r="AH26">
        <v>0</v>
      </c>
      <c r="AI26">
        <v>40</v>
      </c>
      <c r="AJ26">
        <v>3.2</v>
      </c>
      <c r="AK26" t="s">
        <v>66</v>
      </c>
      <c r="AL26" t="s">
        <v>87</v>
      </c>
      <c r="AM26" t="s">
        <v>65</v>
      </c>
      <c r="AN26" t="s">
        <v>67</v>
      </c>
      <c r="AO26" t="s">
        <v>68</v>
      </c>
      <c r="AP26" t="s">
        <v>69</v>
      </c>
      <c r="AQ26" t="s">
        <v>70</v>
      </c>
      <c r="AR26" t="s">
        <v>71</v>
      </c>
      <c r="AS26" t="s">
        <v>530</v>
      </c>
      <c r="AT26" t="s">
        <v>1046</v>
      </c>
    </row>
    <row r="27" spans="1:46" ht="15" customHeight="1" x14ac:dyDescent="0.2">
      <c r="A27">
        <v>1543</v>
      </c>
      <c r="B27" t="s">
        <v>1074</v>
      </c>
      <c r="C27" t="s">
        <v>527</v>
      </c>
      <c r="D27" t="s">
        <v>1070</v>
      </c>
      <c r="E27" t="s">
        <v>686</v>
      </c>
      <c r="F27" t="s">
        <v>63</v>
      </c>
      <c r="G27" t="s">
        <v>473</v>
      </c>
      <c r="H27" t="b">
        <f>TRUE()</f>
        <v>1</v>
      </c>
      <c r="I27" t="b">
        <f>FALSE()</f>
        <v>0</v>
      </c>
      <c r="J27" t="b">
        <f>FALSE()</f>
        <v>0</v>
      </c>
      <c r="K27" t="s">
        <v>87</v>
      </c>
      <c r="L27">
        <v>100</v>
      </c>
      <c r="M27">
        <v>95</v>
      </c>
      <c r="N27">
        <v>2</v>
      </c>
      <c r="O27">
        <v>8</v>
      </c>
      <c r="P27">
        <v>4</v>
      </c>
      <c r="Q27">
        <v>0</v>
      </c>
      <c r="R27">
        <v>6</v>
      </c>
      <c r="S27">
        <v>1</v>
      </c>
      <c r="T27">
        <v>4.5</v>
      </c>
      <c r="U27">
        <v>0.5</v>
      </c>
      <c r="V27">
        <v>0</v>
      </c>
      <c r="W27">
        <v>1.2</v>
      </c>
      <c r="X27">
        <v>280</v>
      </c>
      <c r="Y27">
        <v>180</v>
      </c>
      <c r="Z27">
        <v>15</v>
      </c>
      <c r="AA27">
        <v>10</v>
      </c>
      <c r="AB27">
        <v>0.5</v>
      </c>
      <c r="AC27">
        <v>0.3</v>
      </c>
      <c r="AD27">
        <v>10</v>
      </c>
      <c r="AE27">
        <v>12</v>
      </c>
      <c r="AF27">
        <v>0</v>
      </c>
      <c r="AG27">
        <v>0</v>
      </c>
      <c r="AH27">
        <v>0</v>
      </c>
      <c r="AI27">
        <v>40</v>
      </c>
      <c r="AJ27">
        <v>3.2</v>
      </c>
      <c r="AK27" t="s">
        <v>66</v>
      </c>
      <c r="AL27" t="s">
        <v>87</v>
      </c>
      <c r="AM27" t="s">
        <v>65</v>
      </c>
      <c r="AN27" t="s">
        <v>67</v>
      </c>
      <c r="AO27" t="s">
        <v>68</v>
      </c>
      <c r="AP27" t="s">
        <v>69</v>
      </c>
      <c r="AQ27" t="s">
        <v>70</v>
      </c>
      <c r="AR27" t="s">
        <v>71</v>
      </c>
      <c r="AS27" t="s">
        <v>530</v>
      </c>
      <c r="AT27" t="s">
        <v>1046</v>
      </c>
    </row>
    <row r="28" spans="1:46" ht="15" customHeight="1" x14ac:dyDescent="0.2">
      <c r="A28">
        <v>1544</v>
      </c>
      <c r="B28" t="s">
        <v>1075</v>
      </c>
      <c r="C28" t="s">
        <v>527</v>
      </c>
      <c r="D28" t="s">
        <v>1070</v>
      </c>
      <c r="E28" t="s">
        <v>686</v>
      </c>
      <c r="F28" t="s">
        <v>63</v>
      </c>
      <c r="G28" t="s">
        <v>473</v>
      </c>
      <c r="H28" t="b">
        <f>TRUE()</f>
        <v>1</v>
      </c>
      <c r="I28" t="b">
        <f>FALSE()</f>
        <v>0</v>
      </c>
      <c r="J28" t="b">
        <f>FALSE()</f>
        <v>0</v>
      </c>
      <c r="K28" t="s">
        <v>87</v>
      </c>
      <c r="L28">
        <v>100</v>
      </c>
      <c r="M28">
        <v>95</v>
      </c>
      <c r="N28">
        <v>2</v>
      </c>
      <c r="O28">
        <v>8</v>
      </c>
      <c r="P28">
        <v>4</v>
      </c>
      <c r="Q28">
        <v>0</v>
      </c>
      <c r="R28">
        <v>6</v>
      </c>
      <c r="S28">
        <v>1</v>
      </c>
      <c r="T28">
        <v>4.5</v>
      </c>
      <c r="U28">
        <v>0.5</v>
      </c>
      <c r="V28">
        <v>0</v>
      </c>
      <c r="W28">
        <v>1.2</v>
      </c>
      <c r="X28">
        <v>280</v>
      </c>
      <c r="Y28">
        <v>180</v>
      </c>
      <c r="Z28">
        <v>15</v>
      </c>
      <c r="AA28">
        <v>10</v>
      </c>
      <c r="AB28">
        <v>0.5</v>
      </c>
      <c r="AC28">
        <v>0.3</v>
      </c>
      <c r="AD28">
        <v>10</v>
      </c>
      <c r="AE28">
        <v>12</v>
      </c>
      <c r="AF28">
        <v>0</v>
      </c>
      <c r="AG28">
        <v>0</v>
      </c>
      <c r="AH28">
        <v>0</v>
      </c>
      <c r="AI28">
        <v>40</v>
      </c>
      <c r="AJ28">
        <v>3.2</v>
      </c>
      <c r="AK28" t="s">
        <v>66</v>
      </c>
      <c r="AL28" t="s">
        <v>87</v>
      </c>
      <c r="AM28" t="s">
        <v>65</v>
      </c>
      <c r="AN28" t="s">
        <v>67</v>
      </c>
      <c r="AO28" t="s">
        <v>68</v>
      </c>
      <c r="AP28" t="s">
        <v>69</v>
      </c>
      <c r="AQ28" t="s">
        <v>70</v>
      </c>
      <c r="AR28" t="s">
        <v>71</v>
      </c>
      <c r="AS28" t="s">
        <v>530</v>
      </c>
      <c r="AT28" t="s">
        <v>1046</v>
      </c>
    </row>
    <row r="29" spans="1:46" ht="15" customHeight="1" x14ac:dyDescent="0.2">
      <c r="A29">
        <v>1545</v>
      </c>
      <c r="B29" t="s">
        <v>1076</v>
      </c>
      <c r="C29" t="s">
        <v>527</v>
      </c>
      <c r="D29" t="s">
        <v>1077</v>
      </c>
      <c r="E29" t="s">
        <v>541</v>
      </c>
      <c r="F29" t="s">
        <v>63</v>
      </c>
      <c r="G29" t="s">
        <v>473</v>
      </c>
      <c r="H29" t="b">
        <f>TRUE()</f>
        <v>1</v>
      </c>
      <c r="I29" t="b">
        <f>TRUE()</f>
        <v>1</v>
      </c>
      <c r="J29" t="b">
        <f>FALSE()</f>
        <v>0</v>
      </c>
      <c r="K29" t="s">
        <v>87</v>
      </c>
      <c r="L29">
        <v>100</v>
      </c>
      <c r="M29">
        <v>155</v>
      </c>
      <c r="N29">
        <v>9</v>
      </c>
      <c r="O29">
        <v>14</v>
      </c>
      <c r="P29">
        <v>3</v>
      </c>
      <c r="Q29">
        <v>0</v>
      </c>
      <c r="R29">
        <v>7</v>
      </c>
      <c r="S29">
        <v>3</v>
      </c>
      <c r="T29">
        <v>2.5</v>
      </c>
      <c r="U29">
        <v>1</v>
      </c>
      <c r="V29">
        <v>0</v>
      </c>
      <c r="W29">
        <v>1.2</v>
      </c>
      <c r="X29">
        <v>380</v>
      </c>
      <c r="Y29">
        <v>220</v>
      </c>
      <c r="Z29">
        <v>110</v>
      </c>
      <c r="AA29">
        <v>20</v>
      </c>
      <c r="AB29">
        <v>0.8</v>
      </c>
      <c r="AC29">
        <v>0.9</v>
      </c>
      <c r="AD29">
        <v>3</v>
      </c>
      <c r="AE29">
        <v>20</v>
      </c>
      <c r="AF29">
        <v>0</v>
      </c>
      <c r="AG29">
        <v>0</v>
      </c>
      <c r="AH29">
        <v>0</v>
      </c>
      <c r="AI29">
        <v>55</v>
      </c>
      <c r="AJ29">
        <v>7.7</v>
      </c>
      <c r="AK29" t="s">
        <v>66</v>
      </c>
      <c r="AL29" t="s">
        <v>87</v>
      </c>
      <c r="AM29" t="s">
        <v>87</v>
      </c>
      <c r="AN29" t="s">
        <v>67</v>
      </c>
      <c r="AO29" t="s">
        <v>68</v>
      </c>
      <c r="AP29" t="s">
        <v>69</v>
      </c>
      <c r="AQ29" t="s">
        <v>70</v>
      </c>
      <c r="AR29" t="s">
        <v>71</v>
      </c>
      <c r="AS29" t="s">
        <v>530</v>
      </c>
      <c r="AT29" t="s">
        <v>1046</v>
      </c>
    </row>
    <row r="30" spans="1:46" ht="15" customHeight="1" x14ac:dyDescent="0.2">
      <c r="A30">
        <v>1546</v>
      </c>
      <c r="B30" t="s">
        <v>1078</v>
      </c>
      <c r="C30" t="s">
        <v>527</v>
      </c>
      <c r="D30" t="s">
        <v>1077</v>
      </c>
      <c r="E30" t="s">
        <v>541</v>
      </c>
      <c r="F30" t="s">
        <v>63</v>
      </c>
      <c r="G30" t="s">
        <v>473</v>
      </c>
      <c r="H30" t="b">
        <f>TRUE()</f>
        <v>1</v>
      </c>
      <c r="I30" t="b">
        <f>TRUE()</f>
        <v>1</v>
      </c>
      <c r="J30" t="b">
        <f>FALSE()</f>
        <v>0</v>
      </c>
      <c r="K30" t="s">
        <v>87</v>
      </c>
      <c r="L30">
        <v>100</v>
      </c>
      <c r="M30">
        <v>155</v>
      </c>
      <c r="N30">
        <v>9</v>
      </c>
      <c r="O30">
        <v>14</v>
      </c>
      <c r="P30">
        <v>3</v>
      </c>
      <c r="Q30">
        <v>0</v>
      </c>
      <c r="R30">
        <v>7</v>
      </c>
      <c r="S30">
        <v>3</v>
      </c>
      <c r="T30">
        <v>2.5</v>
      </c>
      <c r="U30">
        <v>1</v>
      </c>
      <c r="V30">
        <v>0</v>
      </c>
      <c r="W30">
        <v>1.2</v>
      </c>
      <c r="X30">
        <v>380</v>
      </c>
      <c r="Y30">
        <v>220</v>
      </c>
      <c r="Z30">
        <v>110</v>
      </c>
      <c r="AA30">
        <v>20</v>
      </c>
      <c r="AB30">
        <v>0.8</v>
      </c>
      <c r="AC30">
        <v>0.9</v>
      </c>
      <c r="AD30">
        <v>3</v>
      </c>
      <c r="AE30">
        <v>20</v>
      </c>
      <c r="AF30">
        <v>0</v>
      </c>
      <c r="AG30">
        <v>0</v>
      </c>
      <c r="AH30">
        <v>0</v>
      </c>
      <c r="AI30">
        <v>55</v>
      </c>
      <c r="AJ30">
        <v>7.7</v>
      </c>
      <c r="AK30" t="s">
        <v>66</v>
      </c>
      <c r="AL30" t="s">
        <v>87</v>
      </c>
      <c r="AM30" t="s">
        <v>87</v>
      </c>
      <c r="AN30" t="s">
        <v>67</v>
      </c>
      <c r="AO30" t="s">
        <v>68</v>
      </c>
      <c r="AP30" t="s">
        <v>69</v>
      </c>
      <c r="AQ30" t="s">
        <v>70</v>
      </c>
      <c r="AR30" t="s">
        <v>71</v>
      </c>
      <c r="AS30" t="s">
        <v>530</v>
      </c>
      <c r="AT30" t="s">
        <v>1046</v>
      </c>
    </row>
    <row r="31" spans="1:46" ht="15" customHeight="1" x14ac:dyDescent="0.2">
      <c r="A31">
        <v>1547</v>
      </c>
      <c r="B31" t="s">
        <v>1079</v>
      </c>
      <c r="C31" t="s">
        <v>527</v>
      </c>
      <c r="D31" t="s">
        <v>1077</v>
      </c>
      <c r="E31" t="s">
        <v>541</v>
      </c>
      <c r="F31" t="s">
        <v>63</v>
      </c>
      <c r="G31" t="s">
        <v>473</v>
      </c>
      <c r="H31" t="b">
        <f>TRUE()</f>
        <v>1</v>
      </c>
      <c r="I31" t="b">
        <f>TRUE()</f>
        <v>1</v>
      </c>
      <c r="J31" t="b">
        <f>FALSE()</f>
        <v>0</v>
      </c>
      <c r="K31" t="s">
        <v>87</v>
      </c>
      <c r="L31">
        <v>100</v>
      </c>
      <c r="M31">
        <v>155</v>
      </c>
      <c r="N31">
        <v>9</v>
      </c>
      <c r="O31">
        <v>14</v>
      </c>
      <c r="P31">
        <v>3</v>
      </c>
      <c r="Q31">
        <v>0</v>
      </c>
      <c r="R31">
        <v>7</v>
      </c>
      <c r="S31">
        <v>3</v>
      </c>
      <c r="T31">
        <v>2.5</v>
      </c>
      <c r="U31">
        <v>1</v>
      </c>
      <c r="V31">
        <v>0</v>
      </c>
      <c r="W31">
        <v>1.2</v>
      </c>
      <c r="X31">
        <v>380</v>
      </c>
      <c r="Y31">
        <v>220</v>
      </c>
      <c r="Z31">
        <v>110</v>
      </c>
      <c r="AA31">
        <v>20</v>
      </c>
      <c r="AB31">
        <v>0.8</v>
      </c>
      <c r="AC31">
        <v>0.9</v>
      </c>
      <c r="AD31">
        <v>3</v>
      </c>
      <c r="AE31">
        <v>20</v>
      </c>
      <c r="AF31">
        <v>0</v>
      </c>
      <c r="AG31">
        <v>0</v>
      </c>
      <c r="AH31">
        <v>0</v>
      </c>
      <c r="AI31">
        <v>55</v>
      </c>
      <c r="AJ31">
        <v>7.7</v>
      </c>
      <c r="AK31" t="s">
        <v>66</v>
      </c>
      <c r="AL31" t="s">
        <v>87</v>
      </c>
      <c r="AM31" t="s">
        <v>87</v>
      </c>
      <c r="AN31" t="s">
        <v>67</v>
      </c>
      <c r="AO31" t="s">
        <v>68</v>
      </c>
      <c r="AP31" t="s">
        <v>69</v>
      </c>
      <c r="AQ31" t="s">
        <v>70</v>
      </c>
      <c r="AR31" t="s">
        <v>71</v>
      </c>
      <c r="AS31" t="s">
        <v>530</v>
      </c>
      <c r="AT31" t="s">
        <v>1046</v>
      </c>
    </row>
    <row r="32" spans="1:46" ht="15" customHeight="1" x14ac:dyDescent="0.2">
      <c r="A32">
        <v>1548</v>
      </c>
      <c r="B32" t="s">
        <v>1080</v>
      </c>
      <c r="C32" t="s">
        <v>527</v>
      </c>
      <c r="D32" t="s">
        <v>1077</v>
      </c>
      <c r="E32" t="s">
        <v>541</v>
      </c>
      <c r="F32" t="s">
        <v>63</v>
      </c>
      <c r="G32" t="s">
        <v>473</v>
      </c>
      <c r="H32" t="b">
        <f>TRUE()</f>
        <v>1</v>
      </c>
      <c r="I32" t="b">
        <f>TRUE()</f>
        <v>1</v>
      </c>
      <c r="J32" t="b">
        <f>FALSE()</f>
        <v>0</v>
      </c>
      <c r="K32" t="s">
        <v>87</v>
      </c>
      <c r="L32">
        <v>100</v>
      </c>
      <c r="M32">
        <v>140</v>
      </c>
      <c r="N32">
        <v>6.5</v>
      </c>
      <c r="O32">
        <v>14.5</v>
      </c>
      <c r="P32">
        <v>3.5</v>
      </c>
      <c r="Q32">
        <v>0</v>
      </c>
      <c r="R32">
        <v>6.5</v>
      </c>
      <c r="S32">
        <v>3.2</v>
      </c>
      <c r="T32">
        <v>2</v>
      </c>
      <c r="U32">
        <v>0.8</v>
      </c>
      <c r="V32">
        <v>0</v>
      </c>
      <c r="W32">
        <v>2</v>
      </c>
      <c r="X32">
        <v>340</v>
      </c>
      <c r="Y32">
        <v>260</v>
      </c>
      <c r="Z32">
        <v>130</v>
      </c>
      <c r="AA32">
        <v>25</v>
      </c>
      <c r="AB32">
        <v>1.2</v>
      </c>
      <c r="AC32">
        <v>0.7</v>
      </c>
      <c r="AD32">
        <v>6</v>
      </c>
      <c r="AE32">
        <v>45</v>
      </c>
      <c r="AF32">
        <v>0</v>
      </c>
      <c r="AG32">
        <v>0</v>
      </c>
      <c r="AH32">
        <v>0</v>
      </c>
      <c r="AI32">
        <v>55</v>
      </c>
      <c r="AJ32">
        <v>8</v>
      </c>
      <c r="AK32" t="s">
        <v>66</v>
      </c>
      <c r="AL32" t="s">
        <v>87</v>
      </c>
      <c r="AM32" t="s">
        <v>87</v>
      </c>
      <c r="AN32" t="s">
        <v>67</v>
      </c>
      <c r="AO32" t="s">
        <v>68</v>
      </c>
      <c r="AP32" t="s">
        <v>69</v>
      </c>
      <c r="AQ32" t="s">
        <v>70</v>
      </c>
      <c r="AR32" t="s">
        <v>71</v>
      </c>
      <c r="AS32" t="s">
        <v>530</v>
      </c>
      <c r="AT32" t="s">
        <v>1046</v>
      </c>
    </row>
    <row r="33" spans="1:46" ht="15" customHeight="1" x14ac:dyDescent="0.2">
      <c r="A33">
        <v>1549</v>
      </c>
      <c r="B33" t="s">
        <v>1081</v>
      </c>
      <c r="C33" t="s">
        <v>527</v>
      </c>
      <c r="D33" t="s">
        <v>1077</v>
      </c>
      <c r="E33" t="s">
        <v>541</v>
      </c>
      <c r="F33" t="s">
        <v>63</v>
      </c>
      <c r="G33" t="s">
        <v>473</v>
      </c>
      <c r="H33" t="b">
        <f>TRUE()</f>
        <v>1</v>
      </c>
      <c r="I33" t="b">
        <f>TRUE()</f>
        <v>1</v>
      </c>
      <c r="J33" t="b">
        <f>FALSE()</f>
        <v>0</v>
      </c>
      <c r="K33" t="s">
        <v>87</v>
      </c>
      <c r="L33">
        <v>100</v>
      </c>
      <c r="M33">
        <v>140</v>
      </c>
      <c r="N33">
        <v>6.5</v>
      </c>
      <c r="O33">
        <v>14.5</v>
      </c>
      <c r="P33">
        <v>3.5</v>
      </c>
      <c r="Q33">
        <v>0</v>
      </c>
      <c r="R33">
        <v>6.5</v>
      </c>
      <c r="S33">
        <v>3.2</v>
      </c>
      <c r="T33">
        <v>2</v>
      </c>
      <c r="U33">
        <v>0.8</v>
      </c>
      <c r="V33">
        <v>0</v>
      </c>
      <c r="W33">
        <v>2</v>
      </c>
      <c r="X33">
        <v>340</v>
      </c>
      <c r="Y33">
        <v>260</v>
      </c>
      <c r="Z33">
        <v>130</v>
      </c>
      <c r="AA33">
        <v>25</v>
      </c>
      <c r="AB33">
        <v>1.2</v>
      </c>
      <c r="AC33">
        <v>0.7</v>
      </c>
      <c r="AD33">
        <v>6</v>
      </c>
      <c r="AE33">
        <v>45</v>
      </c>
      <c r="AF33">
        <v>0</v>
      </c>
      <c r="AG33">
        <v>0</v>
      </c>
      <c r="AH33">
        <v>0</v>
      </c>
      <c r="AI33">
        <v>55</v>
      </c>
      <c r="AJ33">
        <v>8</v>
      </c>
      <c r="AK33" t="s">
        <v>66</v>
      </c>
      <c r="AL33" t="s">
        <v>87</v>
      </c>
      <c r="AM33" t="s">
        <v>87</v>
      </c>
      <c r="AN33" t="s">
        <v>67</v>
      </c>
      <c r="AO33" t="s">
        <v>68</v>
      </c>
      <c r="AP33" t="s">
        <v>69</v>
      </c>
      <c r="AQ33" t="s">
        <v>70</v>
      </c>
      <c r="AR33" t="s">
        <v>71</v>
      </c>
      <c r="AS33" t="s">
        <v>530</v>
      </c>
      <c r="AT33" t="s">
        <v>1046</v>
      </c>
    </row>
    <row r="34" spans="1:46" ht="15" customHeight="1" x14ac:dyDescent="0.2">
      <c r="A34">
        <v>1550</v>
      </c>
      <c r="B34" t="s">
        <v>1082</v>
      </c>
      <c r="C34" t="s">
        <v>527</v>
      </c>
      <c r="D34" t="s">
        <v>1077</v>
      </c>
      <c r="E34" t="s">
        <v>541</v>
      </c>
      <c r="F34" t="s">
        <v>63</v>
      </c>
      <c r="G34" t="s">
        <v>473</v>
      </c>
      <c r="H34" t="b">
        <f>TRUE()</f>
        <v>1</v>
      </c>
      <c r="I34" t="b">
        <f>TRUE()</f>
        <v>1</v>
      </c>
      <c r="J34" t="b">
        <f>FALSE()</f>
        <v>0</v>
      </c>
      <c r="K34" t="s">
        <v>87</v>
      </c>
      <c r="L34">
        <v>100</v>
      </c>
      <c r="M34">
        <v>140</v>
      </c>
      <c r="N34">
        <v>6.5</v>
      </c>
      <c r="O34">
        <v>14.5</v>
      </c>
      <c r="P34">
        <v>3.5</v>
      </c>
      <c r="Q34">
        <v>0</v>
      </c>
      <c r="R34">
        <v>6.5</v>
      </c>
      <c r="S34">
        <v>3.2</v>
      </c>
      <c r="T34">
        <v>2</v>
      </c>
      <c r="U34">
        <v>0.8</v>
      </c>
      <c r="V34">
        <v>0</v>
      </c>
      <c r="W34">
        <v>2</v>
      </c>
      <c r="X34">
        <v>340</v>
      </c>
      <c r="Y34">
        <v>260</v>
      </c>
      <c r="Z34">
        <v>130</v>
      </c>
      <c r="AA34">
        <v>25</v>
      </c>
      <c r="AB34">
        <v>1.2</v>
      </c>
      <c r="AC34">
        <v>0.7</v>
      </c>
      <c r="AD34">
        <v>6</v>
      </c>
      <c r="AE34">
        <v>45</v>
      </c>
      <c r="AF34">
        <v>0</v>
      </c>
      <c r="AG34">
        <v>0</v>
      </c>
      <c r="AH34">
        <v>0</v>
      </c>
      <c r="AI34">
        <v>55</v>
      </c>
      <c r="AJ34">
        <v>8</v>
      </c>
      <c r="AK34" t="s">
        <v>66</v>
      </c>
      <c r="AL34" t="s">
        <v>87</v>
      </c>
      <c r="AM34" t="s">
        <v>87</v>
      </c>
      <c r="AN34" t="s">
        <v>67</v>
      </c>
      <c r="AO34" t="s">
        <v>68</v>
      </c>
      <c r="AP34" t="s">
        <v>69</v>
      </c>
      <c r="AQ34" t="s">
        <v>70</v>
      </c>
      <c r="AR34" t="s">
        <v>71</v>
      </c>
      <c r="AS34" t="s">
        <v>530</v>
      </c>
      <c r="AT34" t="s">
        <v>1046</v>
      </c>
    </row>
    <row r="35" spans="1:46" ht="15" customHeight="1" x14ac:dyDescent="0.2">
      <c r="A35">
        <v>1551</v>
      </c>
      <c r="B35" t="s">
        <v>1083</v>
      </c>
      <c r="C35" t="s">
        <v>527</v>
      </c>
      <c r="D35" t="s">
        <v>1077</v>
      </c>
      <c r="E35" t="s">
        <v>541</v>
      </c>
      <c r="F35" t="s">
        <v>63</v>
      </c>
      <c r="G35" t="s">
        <v>473</v>
      </c>
      <c r="H35" t="b">
        <f>TRUE()</f>
        <v>1</v>
      </c>
      <c r="I35" t="b">
        <f>TRUE()</f>
        <v>1</v>
      </c>
      <c r="J35" t="b">
        <f>FALSE()</f>
        <v>0</v>
      </c>
      <c r="K35" t="s">
        <v>87</v>
      </c>
      <c r="L35">
        <v>100</v>
      </c>
      <c r="M35">
        <v>150</v>
      </c>
      <c r="N35">
        <v>9.5</v>
      </c>
      <c r="O35">
        <v>13.5</v>
      </c>
      <c r="P35">
        <v>3</v>
      </c>
      <c r="Q35">
        <v>0</v>
      </c>
      <c r="R35">
        <v>6.5</v>
      </c>
      <c r="S35">
        <v>3</v>
      </c>
      <c r="T35">
        <v>2.2000000000000002</v>
      </c>
      <c r="U35">
        <v>0.8</v>
      </c>
      <c r="V35">
        <v>0</v>
      </c>
      <c r="W35">
        <v>1</v>
      </c>
      <c r="X35">
        <v>350</v>
      </c>
      <c r="Y35">
        <v>210</v>
      </c>
      <c r="Z35">
        <v>105</v>
      </c>
      <c r="AA35">
        <v>18</v>
      </c>
      <c r="AB35">
        <v>0.7</v>
      </c>
      <c r="AC35">
        <v>0.9</v>
      </c>
      <c r="AD35">
        <v>2</v>
      </c>
      <c r="AE35">
        <v>18</v>
      </c>
      <c r="AF35">
        <v>0</v>
      </c>
      <c r="AG35">
        <v>0</v>
      </c>
      <c r="AH35">
        <v>0</v>
      </c>
      <c r="AI35">
        <v>55</v>
      </c>
      <c r="AJ35">
        <v>7.4</v>
      </c>
      <c r="AK35" t="s">
        <v>66</v>
      </c>
      <c r="AL35" t="s">
        <v>87</v>
      </c>
      <c r="AM35" t="s">
        <v>87</v>
      </c>
      <c r="AN35" t="s">
        <v>67</v>
      </c>
      <c r="AO35" t="s">
        <v>68</v>
      </c>
      <c r="AP35" t="s">
        <v>69</v>
      </c>
      <c r="AQ35" t="s">
        <v>70</v>
      </c>
      <c r="AR35" t="s">
        <v>71</v>
      </c>
      <c r="AS35" t="s">
        <v>530</v>
      </c>
      <c r="AT35" t="s">
        <v>1046</v>
      </c>
    </row>
    <row r="36" spans="1:46" ht="15" customHeight="1" x14ac:dyDescent="0.2">
      <c r="A36">
        <v>1552</v>
      </c>
      <c r="B36" t="s">
        <v>1084</v>
      </c>
      <c r="C36" t="s">
        <v>527</v>
      </c>
      <c r="D36" t="s">
        <v>1077</v>
      </c>
      <c r="E36" t="s">
        <v>541</v>
      </c>
      <c r="F36" t="s">
        <v>63</v>
      </c>
      <c r="G36" t="s">
        <v>473</v>
      </c>
      <c r="H36" t="b">
        <f>TRUE()</f>
        <v>1</v>
      </c>
      <c r="I36" t="b">
        <f>TRUE()</f>
        <v>1</v>
      </c>
      <c r="J36" t="b">
        <f>FALSE()</f>
        <v>0</v>
      </c>
      <c r="K36" t="s">
        <v>87</v>
      </c>
      <c r="L36">
        <v>100</v>
      </c>
      <c r="M36">
        <v>150</v>
      </c>
      <c r="N36">
        <v>9.5</v>
      </c>
      <c r="O36">
        <v>13.5</v>
      </c>
      <c r="P36">
        <v>3</v>
      </c>
      <c r="Q36">
        <v>0</v>
      </c>
      <c r="R36">
        <v>6.5</v>
      </c>
      <c r="S36">
        <v>3</v>
      </c>
      <c r="T36">
        <v>2.2000000000000002</v>
      </c>
      <c r="U36">
        <v>0.8</v>
      </c>
      <c r="V36">
        <v>0</v>
      </c>
      <c r="W36">
        <v>1</v>
      </c>
      <c r="X36">
        <v>350</v>
      </c>
      <c r="Y36">
        <v>210</v>
      </c>
      <c r="Z36">
        <v>105</v>
      </c>
      <c r="AA36">
        <v>18</v>
      </c>
      <c r="AB36">
        <v>0.7</v>
      </c>
      <c r="AC36">
        <v>0.9</v>
      </c>
      <c r="AD36">
        <v>2</v>
      </c>
      <c r="AE36">
        <v>18</v>
      </c>
      <c r="AF36">
        <v>0</v>
      </c>
      <c r="AG36">
        <v>0</v>
      </c>
      <c r="AH36">
        <v>0</v>
      </c>
      <c r="AI36">
        <v>55</v>
      </c>
      <c r="AJ36">
        <v>7.4</v>
      </c>
      <c r="AK36" t="s">
        <v>66</v>
      </c>
      <c r="AL36" t="s">
        <v>87</v>
      </c>
      <c r="AM36" t="s">
        <v>87</v>
      </c>
      <c r="AN36" t="s">
        <v>67</v>
      </c>
      <c r="AO36" t="s">
        <v>68</v>
      </c>
      <c r="AP36" t="s">
        <v>69</v>
      </c>
      <c r="AQ36" t="s">
        <v>70</v>
      </c>
      <c r="AR36" t="s">
        <v>71</v>
      </c>
      <c r="AS36" t="s">
        <v>530</v>
      </c>
      <c r="AT36" t="s">
        <v>1046</v>
      </c>
    </row>
    <row r="37" spans="1:46" ht="15" customHeight="1" x14ac:dyDescent="0.2">
      <c r="A37">
        <v>1553</v>
      </c>
      <c r="B37" t="s">
        <v>1085</v>
      </c>
      <c r="C37" t="s">
        <v>527</v>
      </c>
      <c r="D37" t="s">
        <v>1077</v>
      </c>
      <c r="E37" t="s">
        <v>541</v>
      </c>
      <c r="F37" t="s">
        <v>63</v>
      </c>
      <c r="G37" t="s">
        <v>473</v>
      </c>
      <c r="H37" t="b">
        <f>TRUE()</f>
        <v>1</v>
      </c>
      <c r="I37" t="b">
        <f>TRUE()</f>
        <v>1</v>
      </c>
      <c r="J37" t="b">
        <f>FALSE()</f>
        <v>0</v>
      </c>
      <c r="K37" t="s">
        <v>87</v>
      </c>
      <c r="L37">
        <v>100</v>
      </c>
      <c r="M37">
        <v>150</v>
      </c>
      <c r="N37">
        <v>9.5</v>
      </c>
      <c r="O37">
        <v>13.5</v>
      </c>
      <c r="P37">
        <v>3</v>
      </c>
      <c r="Q37">
        <v>0</v>
      </c>
      <c r="R37">
        <v>6.5</v>
      </c>
      <c r="S37">
        <v>3</v>
      </c>
      <c r="T37">
        <v>2.2000000000000002</v>
      </c>
      <c r="U37">
        <v>0.8</v>
      </c>
      <c r="V37">
        <v>0</v>
      </c>
      <c r="W37">
        <v>1</v>
      </c>
      <c r="X37">
        <v>350</v>
      </c>
      <c r="Y37">
        <v>210</v>
      </c>
      <c r="Z37">
        <v>105</v>
      </c>
      <c r="AA37">
        <v>18</v>
      </c>
      <c r="AB37">
        <v>0.7</v>
      </c>
      <c r="AC37">
        <v>0.9</v>
      </c>
      <c r="AD37">
        <v>2</v>
      </c>
      <c r="AE37">
        <v>18</v>
      </c>
      <c r="AF37">
        <v>0</v>
      </c>
      <c r="AG37">
        <v>0</v>
      </c>
      <c r="AH37">
        <v>0</v>
      </c>
      <c r="AI37">
        <v>55</v>
      </c>
      <c r="AJ37">
        <v>7.4</v>
      </c>
      <c r="AK37" t="s">
        <v>66</v>
      </c>
      <c r="AL37" t="s">
        <v>87</v>
      </c>
      <c r="AM37" t="s">
        <v>87</v>
      </c>
      <c r="AN37" t="s">
        <v>67</v>
      </c>
      <c r="AO37" t="s">
        <v>68</v>
      </c>
      <c r="AP37" t="s">
        <v>69</v>
      </c>
      <c r="AQ37" t="s">
        <v>70</v>
      </c>
      <c r="AR37" t="s">
        <v>71</v>
      </c>
      <c r="AS37" t="s">
        <v>530</v>
      </c>
      <c r="AT37" t="s">
        <v>1046</v>
      </c>
    </row>
    <row r="38" spans="1:46" ht="15" customHeight="1" x14ac:dyDescent="0.2">
      <c r="A38">
        <v>1554</v>
      </c>
      <c r="B38" t="s">
        <v>1086</v>
      </c>
      <c r="C38" t="s">
        <v>527</v>
      </c>
      <c r="D38" t="s">
        <v>1077</v>
      </c>
      <c r="E38" t="s">
        <v>541</v>
      </c>
      <c r="F38" t="s">
        <v>63</v>
      </c>
      <c r="G38" t="s">
        <v>473</v>
      </c>
      <c r="H38" t="b">
        <f>TRUE()</f>
        <v>1</v>
      </c>
      <c r="I38" t="b">
        <f>TRUE()</f>
        <v>1</v>
      </c>
      <c r="J38" t="b">
        <f>FALSE()</f>
        <v>0</v>
      </c>
      <c r="K38" t="s">
        <v>87</v>
      </c>
      <c r="L38">
        <v>100</v>
      </c>
      <c r="M38">
        <v>165</v>
      </c>
      <c r="N38">
        <v>10</v>
      </c>
      <c r="O38">
        <v>13.5</v>
      </c>
      <c r="P38">
        <v>3</v>
      </c>
      <c r="Q38">
        <v>0</v>
      </c>
      <c r="R38">
        <v>8.5</v>
      </c>
      <c r="S38">
        <v>4</v>
      </c>
      <c r="T38">
        <v>3</v>
      </c>
      <c r="U38">
        <v>0.8</v>
      </c>
      <c r="V38">
        <v>0</v>
      </c>
      <c r="W38">
        <v>1</v>
      </c>
      <c r="X38">
        <v>360</v>
      </c>
      <c r="Y38">
        <v>230</v>
      </c>
      <c r="Z38">
        <v>110</v>
      </c>
      <c r="AA38">
        <v>19</v>
      </c>
      <c r="AB38">
        <v>1.3</v>
      </c>
      <c r="AC38">
        <v>1.5</v>
      </c>
      <c r="AD38">
        <v>2</v>
      </c>
      <c r="AE38">
        <v>18</v>
      </c>
      <c r="AF38">
        <v>0</v>
      </c>
      <c r="AG38">
        <v>0</v>
      </c>
      <c r="AH38">
        <v>0</v>
      </c>
      <c r="AI38">
        <v>55</v>
      </c>
      <c r="AJ38">
        <v>7.4</v>
      </c>
      <c r="AK38" t="s">
        <v>66</v>
      </c>
      <c r="AL38" t="s">
        <v>87</v>
      </c>
      <c r="AM38" t="s">
        <v>87</v>
      </c>
      <c r="AN38" t="s">
        <v>67</v>
      </c>
      <c r="AO38" t="s">
        <v>68</v>
      </c>
      <c r="AP38" t="s">
        <v>69</v>
      </c>
      <c r="AQ38" t="s">
        <v>70</v>
      </c>
      <c r="AR38" t="s">
        <v>71</v>
      </c>
      <c r="AS38" t="s">
        <v>530</v>
      </c>
      <c r="AT38" t="s">
        <v>1046</v>
      </c>
    </row>
    <row r="39" spans="1:46" ht="15" customHeight="1" x14ac:dyDescent="0.2">
      <c r="A39">
        <v>1555</v>
      </c>
      <c r="B39" t="s">
        <v>1087</v>
      </c>
      <c r="C39" t="s">
        <v>527</v>
      </c>
      <c r="D39" t="s">
        <v>1077</v>
      </c>
      <c r="E39" t="s">
        <v>541</v>
      </c>
      <c r="F39" t="s">
        <v>63</v>
      </c>
      <c r="G39" t="s">
        <v>473</v>
      </c>
      <c r="H39" t="b">
        <f>TRUE()</f>
        <v>1</v>
      </c>
      <c r="I39" t="b">
        <f>TRUE()</f>
        <v>1</v>
      </c>
      <c r="J39" t="b">
        <f>FALSE()</f>
        <v>0</v>
      </c>
      <c r="K39" t="s">
        <v>87</v>
      </c>
      <c r="L39">
        <v>100</v>
      </c>
      <c r="M39">
        <v>165</v>
      </c>
      <c r="N39">
        <v>10</v>
      </c>
      <c r="O39">
        <v>13.5</v>
      </c>
      <c r="P39">
        <v>3</v>
      </c>
      <c r="Q39">
        <v>0</v>
      </c>
      <c r="R39">
        <v>8.5</v>
      </c>
      <c r="S39">
        <v>4</v>
      </c>
      <c r="T39">
        <v>3</v>
      </c>
      <c r="U39">
        <v>0.8</v>
      </c>
      <c r="V39">
        <v>0</v>
      </c>
      <c r="W39">
        <v>1</v>
      </c>
      <c r="X39">
        <v>360</v>
      </c>
      <c r="Y39">
        <v>230</v>
      </c>
      <c r="Z39">
        <v>110</v>
      </c>
      <c r="AA39">
        <v>19</v>
      </c>
      <c r="AB39">
        <v>1.3</v>
      </c>
      <c r="AC39">
        <v>1.5</v>
      </c>
      <c r="AD39">
        <v>2</v>
      </c>
      <c r="AE39">
        <v>18</v>
      </c>
      <c r="AF39">
        <v>0</v>
      </c>
      <c r="AG39">
        <v>0</v>
      </c>
      <c r="AH39">
        <v>0</v>
      </c>
      <c r="AI39">
        <v>55</v>
      </c>
      <c r="AJ39">
        <v>7.4</v>
      </c>
      <c r="AK39" t="s">
        <v>66</v>
      </c>
      <c r="AL39" t="s">
        <v>87</v>
      </c>
      <c r="AM39" t="s">
        <v>87</v>
      </c>
      <c r="AN39" t="s">
        <v>67</v>
      </c>
      <c r="AO39" t="s">
        <v>68</v>
      </c>
      <c r="AP39" t="s">
        <v>69</v>
      </c>
      <c r="AQ39" t="s">
        <v>70</v>
      </c>
      <c r="AR39" t="s">
        <v>71</v>
      </c>
      <c r="AS39" t="s">
        <v>530</v>
      </c>
      <c r="AT39" t="s">
        <v>1046</v>
      </c>
    </row>
    <row r="40" spans="1:46" ht="15" customHeight="1" x14ac:dyDescent="0.2">
      <c r="A40">
        <v>1556</v>
      </c>
      <c r="B40" t="s">
        <v>1088</v>
      </c>
      <c r="C40" t="s">
        <v>527</v>
      </c>
      <c r="D40" t="s">
        <v>1077</v>
      </c>
      <c r="E40" t="s">
        <v>541</v>
      </c>
      <c r="F40" t="s">
        <v>63</v>
      </c>
      <c r="G40" t="s">
        <v>473</v>
      </c>
      <c r="H40" t="b">
        <f>TRUE()</f>
        <v>1</v>
      </c>
      <c r="I40" t="b">
        <f>TRUE()</f>
        <v>1</v>
      </c>
      <c r="J40" t="b">
        <f>FALSE()</f>
        <v>0</v>
      </c>
      <c r="K40" t="s">
        <v>87</v>
      </c>
      <c r="L40">
        <v>100</v>
      </c>
      <c r="M40">
        <v>165</v>
      </c>
      <c r="N40">
        <v>10</v>
      </c>
      <c r="O40">
        <v>13.5</v>
      </c>
      <c r="P40">
        <v>3</v>
      </c>
      <c r="Q40">
        <v>0</v>
      </c>
      <c r="R40">
        <v>8.5</v>
      </c>
      <c r="S40">
        <v>4</v>
      </c>
      <c r="T40">
        <v>3</v>
      </c>
      <c r="U40">
        <v>0.8</v>
      </c>
      <c r="V40">
        <v>0</v>
      </c>
      <c r="W40">
        <v>1</v>
      </c>
      <c r="X40">
        <v>360</v>
      </c>
      <c r="Y40">
        <v>230</v>
      </c>
      <c r="Z40">
        <v>110</v>
      </c>
      <c r="AA40">
        <v>19</v>
      </c>
      <c r="AB40">
        <v>1.3</v>
      </c>
      <c r="AC40">
        <v>1.5</v>
      </c>
      <c r="AD40">
        <v>2</v>
      </c>
      <c r="AE40">
        <v>18</v>
      </c>
      <c r="AF40">
        <v>0</v>
      </c>
      <c r="AG40">
        <v>0</v>
      </c>
      <c r="AH40">
        <v>0</v>
      </c>
      <c r="AI40">
        <v>55</v>
      </c>
      <c r="AJ40">
        <v>7.4</v>
      </c>
      <c r="AK40" t="s">
        <v>66</v>
      </c>
      <c r="AL40" t="s">
        <v>87</v>
      </c>
      <c r="AM40" t="s">
        <v>87</v>
      </c>
      <c r="AN40" t="s">
        <v>67</v>
      </c>
      <c r="AO40" t="s">
        <v>68</v>
      </c>
      <c r="AP40" t="s">
        <v>69</v>
      </c>
      <c r="AQ40" t="s">
        <v>70</v>
      </c>
      <c r="AR40" t="s">
        <v>71</v>
      </c>
      <c r="AS40" t="s">
        <v>530</v>
      </c>
      <c r="AT40" t="s">
        <v>1046</v>
      </c>
    </row>
    <row r="41" spans="1:46" ht="15" customHeight="1" x14ac:dyDescent="0.2">
      <c r="A41">
        <v>1557</v>
      </c>
      <c r="B41" t="s">
        <v>1089</v>
      </c>
      <c r="C41" t="s">
        <v>527</v>
      </c>
      <c r="D41" t="s">
        <v>1077</v>
      </c>
      <c r="E41" t="s">
        <v>541</v>
      </c>
      <c r="F41" t="s">
        <v>63</v>
      </c>
      <c r="G41" t="s">
        <v>473</v>
      </c>
      <c r="H41" t="b">
        <f>TRUE()</f>
        <v>1</v>
      </c>
      <c r="I41" t="b">
        <f>TRUE()</f>
        <v>1</v>
      </c>
      <c r="J41" t="b">
        <f>FALSE()</f>
        <v>0</v>
      </c>
      <c r="K41" t="s">
        <v>87</v>
      </c>
      <c r="L41">
        <v>100</v>
      </c>
      <c r="M41">
        <v>148</v>
      </c>
      <c r="N41">
        <v>8</v>
      </c>
      <c r="O41">
        <v>14</v>
      </c>
      <c r="P41">
        <v>3</v>
      </c>
      <c r="Q41">
        <v>0</v>
      </c>
      <c r="R41">
        <v>6.5</v>
      </c>
      <c r="S41">
        <v>3</v>
      </c>
      <c r="T41">
        <v>2.2000000000000002</v>
      </c>
      <c r="U41">
        <v>0.8</v>
      </c>
      <c r="V41">
        <v>0</v>
      </c>
      <c r="W41">
        <v>1</v>
      </c>
      <c r="X41">
        <v>340</v>
      </c>
      <c r="Y41">
        <v>210</v>
      </c>
      <c r="Z41">
        <v>100</v>
      </c>
      <c r="AA41">
        <v>18</v>
      </c>
      <c r="AB41">
        <v>0.9</v>
      </c>
      <c r="AC41">
        <v>1</v>
      </c>
      <c r="AD41">
        <v>2</v>
      </c>
      <c r="AE41">
        <v>16</v>
      </c>
      <c r="AF41">
        <v>0</v>
      </c>
      <c r="AG41">
        <v>0</v>
      </c>
      <c r="AH41">
        <v>0</v>
      </c>
      <c r="AI41">
        <v>55</v>
      </c>
      <c r="AJ41">
        <v>7.7</v>
      </c>
      <c r="AK41" t="s">
        <v>66</v>
      </c>
      <c r="AL41" t="s">
        <v>87</v>
      </c>
      <c r="AM41" t="s">
        <v>87</v>
      </c>
      <c r="AN41" t="s">
        <v>67</v>
      </c>
      <c r="AO41" t="s">
        <v>68</v>
      </c>
      <c r="AP41" t="s">
        <v>69</v>
      </c>
      <c r="AQ41" t="s">
        <v>70</v>
      </c>
      <c r="AR41" t="s">
        <v>71</v>
      </c>
      <c r="AS41" t="s">
        <v>530</v>
      </c>
      <c r="AT41" t="s">
        <v>1046</v>
      </c>
    </row>
    <row r="42" spans="1:46" ht="15" customHeight="1" x14ac:dyDescent="0.2">
      <c r="A42">
        <v>1558</v>
      </c>
      <c r="B42" t="s">
        <v>1090</v>
      </c>
      <c r="C42" t="s">
        <v>527</v>
      </c>
      <c r="D42" t="s">
        <v>1077</v>
      </c>
      <c r="E42" t="s">
        <v>541</v>
      </c>
      <c r="F42" t="s">
        <v>63</v>
      </c>
      <c r="G42" t="s">
        <v>473</v>
      </c>
      <c r="H42" t="b">
        <f>TRUE()</f>
        <v>1</v>
      </c>
      <c r="I42" t="b">
        <f>TRUE()</f>
        <v>1</v>
      </c>
      <c r="J42" t="b">
        <f>FALSE()</f>
        <v>0</v>
      </c>
      <c r="K42" t="s">
        <v>87</v>
      </c>
      <c r="L42">
        <v>100</v>
      </c>
      <c r="M42">
        <v>148</v>
      </c>
      <c r="N42">
        <v>8</v>
      </c>
      <c r="O42">
        <v>14</v>
      </c>
      <c r="P42">
        <v>3</v>
      </c>
      <c r="Q42">
        <v>0</v>
      </c>
      <c r="R42">
        <v>6.5</v>
      </c>
      <c r="S42">
        <v>3</v>
      </c>
      <c r="T42">
        <v>2.2000000000000002</v>
      </c>
      <c r="U42">
        <v>0.8</v>
      </c>
      <c r="V42">
        <v>0</v>
      </c>
      <c r="W42">
        <v>1</v>
      </c>
      <c r="X42">
        <v>340</v>
      </c>
      <c r="Y42">
        <v>210</v>
      </c>
      <c r="Z42">
        <v>100</v>
      </c>
      <c r="AA42">
        <v>18</v>
      </c>
      <c r="AB42">
        <v>0.9</v>
      </c>
      <c r="AC42">
        <v>1</v>
      </c>
      <c r="AD42">
        <v>2</v>
      </c>
      <c r="AE42">
        <v>16</v>
      </c>
      <c r="AF42">
        <v>0</v>
      </c>
      <c r="AG42">
        <v>0</v>
      </c>
      <c r="AH42">
        <v>0</v>
      </c>
      <c r="AI42">
        <v>55</v>
      </c>
      <c r="AJ42">
        <v>7.7</v>
      </c>
      <c r="AK42" t="s">
        <v>66</v>
      </c>
      <c r="AL42" t="s">
        <v>87</v>
      </c>
      <c r="AM42" t="s">
        <v>87</v>
      </c>
      <c r="AN42" t="s">
        <v>67</v>
      </c>
      <c r="AO42" t="s">
        <v>68</v>
      </c>
      <c r="AP42" t="s">
        <v>69</v>
      </c>
      <c r="AQ42" t="s">
        <v>70</v>
      </c>
      <c r="AR42" t="s">
        <v>71</v>
      </c>
      <c r="AS42" t="s">
        <v>530</v>
      </c>
      <c r="AT42" t="s">
        <v>1046</v>
      </c>
    </row>
    <row r="43" spans="1:46" ht="15" customHeight="1" x14ac:dyDescent="0.2">
      <c r="A43">
        <v>1559</v>
      </c>
      <c r="B43" t="s">
        <v>1091</v>
      </c>
      <c r="C43" t="s">
        <v>527</v>
      </c>
      <c r="D43" t="s">
        <v>1077</v>
      </c>
      <c r="E43" t="s">
        <v>541</v>
      </c>
      <c r="F43" t="s">
        <v>63</v>
      </c>
      <c r="G43" t="s">
        <v>473</v>
      </c>
      <c r="H43" t="b">
        <f>TRUE()</f>
        <v>1</v>
      </c>
      <c r="I43" t="b">
        <f>TRUE()</f>
        <v>1</v>
      </c>
      <c r="J43" t="b">
        <f>FALSE()</f>
        <v>0</v>
      </c>
      <c r="K43" t="s">
        <v>87</v>
      </c>
      <c r="L43">
        <v>100</v>
      </c>
      <c r="M43">
        <v>148</v>
      </c>
      <c r="N43">
        <v>8</v>
      </c>
      <c r="O43">
        <v>14</v>
      </c>
      <c r="P43">
        <v>3</v>
      </c>
      <c r="Q43">
        <v>0</v>
      </c>
      <c r="R43">
        <v>6.5</v>
      </c>
      <c r="S43">
        <v>3</v>
      </c>
      <c r="T43">
        <v>2.2000000000000002</v>
      </c>
      <c r="U43">
        <v>0.8</v>
      </c>
      <c r="V43">
        <v>0</v>
      </c>
      <c r="W43">
        <v>1</v>
      </c>
      <c r="X43">
        <v>340</v>
      </c>
      <c r="Y43">
        <v>210</v>
      </c>
      <c r="Z43">
        <v>100</v>
      </c>
      <c r="AA43">
        <v>18</v>
      </c>
      <c r="AB43">
        <v>0.9</v>
      </c>
      <c r="AC43">
        <v>1</v>
      </c>
      <c r="AD43">
        <v>2</v>
      </c>
      <c r="AE43">
        <v>16</v>
      </c>
      <c r="AF43">
        <v>0</v>
      </c>
      <c r="AG43">
        <v>0</v>
      </c>
      <c r="AH43">
        <v>0</v>
      </c>
      <c r="AI43">
        <v>55</v>
      </c>
      <c r="AJ43">
        <v>7.7</v>
      </c>
      <c r="AK43" t="s">
        <v>66</v>
      </c>
      <c r="AL43" t="s">
        <v>87</v>
      </c>
      <c r="AM43" t="s">
        <v>87</v>
      </c>
      <c r="AN43" t="s">
        <v>67</v>
      </c>
      <c r="AO43" t="s">
        <v>68</v>
      </c>
      <c r="AP43" t="s">
        <v>69</v>
      </c>
      <c r="AQ43" t="s">
        <v>70</v>
      </c>
      <c r="AR43" t="s">
        <v>71</v>
      </c>
      <c r="AS43" t="s">
        <v>530</v>
      </c>
      <c r="AT43" t="s">
        <v>1046</v>
      </c>
    </row>
    <row r="44" spans="1:46" ht="15" customHeight="1" x14ac:dyDescent="0.2">
      <c r="A44">
        <v>1560</v>
      </c>
      <c r="B44" t="s">
        <v>1092</v>
      </c>
      <c r="C44" t="s">
        <v>527</v>
      </c>
      <c r="D44" t="s">
        <v>61</v>
      </c>
      <c r="E44" t="s">
        <v>692</v>
      </c>
      <c r="F44" t="s">
        <v>63</v>
      </c>
      <c r="G44" t="s">
        <v>473</v>
      </c>
      <c r="H44" t="b">
        <f>FALSE()</f>
        <v>0</v>
      </c>
      <c r="I44" t="b">
        <f>FALSE()</f>
        <v>0</v>
      </c>
      <c r="J44" t="b">
        <f>FALSE()</f>
        <v>0</v>
      </c>
      <c r="K44" t="s">
        <v>87</v>
      </c>
      <c r="L44">
        <v>100</v>
      </c>
      <c r="M44">
        <v>158</v>
      </c>
      <c r="N44">
        <v>8</v>
      </c>
      <c r="O44">
        <v>22</v>
      </c>
      <c r="P44">
        <v>1</v>
      </c>
      <c r="Q44">
        <v>0</v>
      </c>
      <c r="R44">
        <v>4</v>
      </c>
      <c r="S44">
        <v>0.8</v>
      </c>
      <c r="T44">
        <v>2.2999999999999998</v>
      </c>
      <c r="U44">
        <v>0.6</v>
      </c>
      <c r="V44">
        <v>0</v>
      </c>
      <c r="W44">
        <v>1</v>
      </c>
      <c r="X44">
        <v>320</v>
      </c>
      <c r="Y44">
        <v>180</v>
      </c>
      <c r="Z44">
        <v>25</v>
      </c>
      <c r="AA44">
        <v>20</v>
      </c>
      <c r="AB44">
        <v>1</v>
      </c>
      <c r="AC44">
        <v>0.9</v>
      </c>
      <c r="AD44">
        <v>6</v>
      </c>
      <c r="AE44">
        <v>15</v>
      </c>
      <c r="AF44">
        <v>0</v>
      </c>
      <c r="AG44">
        <v>0</v>
      </c>
      <c r="AH44">
        <v>0</v>
      </c>
      <c r="AI44">
        <v>68</v>
      </c>
      <c r="AJ44">
        <v>15</v>
      </c>
      <c r="AK44" t="s">
        <v>66</v>
      </c>
      <c r="AL44" t="s">
        <v>87</v>
      </c>
      <c r="AM44" t="s">
        <v>87</v>
      </c>
      <c r="AN44" t="s">
        <v>67</v>
      </c>
      <c r="AO44" t="s">
        <v>68</v>
      </c>
      <c r="AP44" t="s">
        <v>69</v>
      </c>
      <c r="AQ44" t="s">
        <v>70</v>
      </c>
      <c r="AR44" t="s">
        <v>71</v>
      </c>
      <c r="AS44" t="s">
        <v>530</v>
      </c>
      <c r="AT44" t="s">
        <v>1046</v>
      </c>
    </row>
    <row r="45" spans="1:46" ht="15" customHeight="1" x14ac:dyDescent="0.2">
      <c r="A45">
        <v>1561</v>
      </c>
      <c r="B45" t="s">
        <v>1093</v>
      </c>
      <c r="C45" t="s">
        <v>527</v>
      </c>
      <c r="D45" t="s">
        <v>61</v>
      </c>
      <c r="E45" t="s">
        <v>692</v>
      </c>
      <c r="F45" t="s">
        <v>63</v>
      </c>
      <c r="G45" t="s">
        <v>473</v>
      </c>
      <c r="H45" t="b">
        <f>FALSE()</f>
        <v>0</v>
      </c>
      <c r="I45" t="b">
        <f>FALSE()</f>
        <v>0</v>
      </c>
      <c r="J45" t="b">
        <f>FALSE()</f>
        <v>0</v>
      </c>
      <c r="K45" t="s">
        <v>87</v>
      </c>
      <c r="L45">
        <v>100</v>
      </c>
      <c r="M45">
        <v>158</v>
      </c>
      <c r="N45">
        <v>8</v>
      </c>
      <c r="O45">
        <v>22</v>
      </c>
      <c r="P45">
        <v>1</v>
      </c>
      <c r="Q45">
        <v>0</v>
      </c>
      <c r="R45">
        <v>4</v>
      </c>
      <c r="S45">
        <v>0.8</v>
      </c>
      <c r="T45">
        <v>2.2999999999999998</v>
      </c>
      <c r="U45">
        <v>0.6</v>
      </c>
      <c r="V45">
        <v>0</v>
      </c>
      <c r="W45">
        <v>1</v>
      </c>
      <c r="X45">
        <v>320</v>
      </c>
      <c r="Y45">
        <v>180</v>
      </c>
      <c r="Z45">
        <v>25</v>
      </c>
      <c r="AA45">
        <v>20</v>
      </c>
      <c r="AB45">
        <v>1</v>
      </c>
      <c r="AC45">
        <v>0.9</v>
      </c>
      <c r="AD45">
        <v>6</v>
      </c>
      <c r="AE45">
        <v>15</v>
      </c>
      <c r="AF45">
        <v>0</v>
      </c>
      <c r="AG45">
        <v>0</v>
      </c>
      <c r="AH45">
        <v>0</v>
      </c>
      <c r="AI45">
        <v>68</v>
      </c>
      <c r="AJ45">
        <v>15</v>
      </c>
      <c r="AK45" t="s">
        <v>66</v>
      </c>
      <c r="AL45" t="s">
        <v>87</v>
      </c>
      <c r="AM45" t="s">
        <v>87</v>
      </c>
      <c r="AN45" t="s">
        <v>67</v>
      </c>
      <c r="AO45" t="s">
        <v>68</v>
      </c>
      <c r="AP45" t="s">
        <v>69</v>
      </c>
      <c r="AQ45" t="s">
        <v>70</v>
      </c>
      <c r="AR45" t="s">
        <v>71</v>
      </c>
      <c r="AS45" t="s">
        <v>530</v>
      </c>
      <c r="AT45" t="s">
        <v>1046</v>
      </c>
    </row>
    <row r="46" spans="1:46" ht="15" customHeight="1" x14ac:dyDescent="0.2">
      <c r="A46">
        <v>1562</v>
      </c>
      <c r="B46" t="s">
        <v>1094</v>
      </c>
      <c r="C46" t="s">
        <v>527</v>
      </c>
      <c r="D46" t="s">
        <v>61</v>
      </c>
      <c r="E46" t="s">
        <v>692</v>
      </c>
      <c r="F46" t="s">
        <v>63</v>
      </c>
      <c r="G46" t="s">
        <v>473</v>
      </c>
      <c r="H46" t="b">
        <f>FALSE()</f>
        <v>0</v>
      </c>
      <c r="I46" t="b">
        <f>FALSE()</f>
        <v>0</v>
      </c>
      <c r="J46" t="b">
        <f>FALSE()</f>
        <v>0</v>
      </c>
      <c r="K46" t="s">
        <v>87</v>
      </c>
      <c r="L46">
        <v>100</v>
      </c>
      <c r="M46">
        <v>158</v>
      </c>
      <c r="N46">
        <v>8</v>
      </c>
      <c r="O46">
        <v>22</v>
      </c>
      <c r="P46">
        <v>1</v>
      </c>
      <c r="Q46">
        <v>0</v>
      </c>
      <c r="R46">
        <v>4</v>
      </c>
      <c r="S46">
        <v>0.8</v>
      </c>
      <c r="T46">
        <v>2.2999999999999998</v>
      </c>
      <c r="U46">
        <v>0.6</v>
      </c>
      <c r="V46">
        <v>0</v>
      </c>
      <c r="W46">
        <v>1</v>
      </c>
      <c r="X46">
        <v>320</v>
      </c>
      <c r="Y46">
        <v>180</v>
      </c>
      <c r="Z46">
        <v>25</v>
      </c>
      <c r="AA46">
        <v>20</v>
      </c>
      <c r="AB46">
        <v>1</v>
      </c>
      <c r="AC46">
        <v>0.9</v>
      </c>
      <c r="AD46">
        <v>6</v>
      </c>
      <c r="AE46">
        <v>15</v>
      </c>
      <c r="AF46">
        <v>0</v>
      </c>
      <c r="AG46">
        <v>0</v>
      </c>
      <c r="AH46">
        <v>0</v>
      </c>
      <c r="AI46">
        <v>68</v>
      </c>
      <c r="AJ46">
        <v>15</v>
      </c>
      <c r="AK46" t="s">
        <v>66</v>
      </c>
      <c r="AL46" t="s">
        <v>87</v>
      </c>
      <c r="AM46" t="s">
        <v>87</v>
      </c>
      <c r="AN46" t="s">
        <v>67</v>
      </c>
      <c r="AO46" t="s">
        <v>68</v>
      </c>
      <c r="AP46" t="s">
        <v>69</v>
      </c>
      <c r="AQ46" t="s">
        <v>70</v>
      </c>
      <c r="AR46" t="s">
        <v>71</v>
      </c>
      <c r="AS46" t="s">
        <v>530</v>
      </c>
      <c r="AT46" t="s">
        <v>1046</v>
      </c>
    </row>
    <row r="47" spans="1:46" ht="15" customHeight="1" x14ac:dyDescent="0.2">
      <c r="A47">
        <v>1563</v>
      </c>
      <c r="B47" t="s">
        <v>1095</v>
      </c>
      <c r="C47" t="s">
        <v>527</v>
      </c>
      <c r="D47" t="s">
        <v>61</v>
      </c>
      <c r="E47" t="s">
        <v>541</v>
      </c>
      <c r="F47" t="s">
        <v>63</v>
      </c>
      <c r="G47" t="s">
        <v>473</v>
      </c>
      <c r="H47" t="b">
        <f>FALSE()</f>
        <v>0</v>
      </c>
      <c r="I47" t="b">
        <f>FALSE()</f>
        <v>0</v>
      </c>
      <c r="J47" t="b">
        <f>FALSE()</f>
        <v>0</v>
      </c>
      <c r="K47" t="s">
        <v>87</v>
      </c>
      <c r="L47">
        <v>100</v>
      </c>
      <c r="M47">
        <v>145</v>
      </c>
      <c r="N47">
        <v>6</v>
      </c>
      <c r="O47">
        <v>22</v>
      </c>
      <c r="P47">
        <v>1</v>
      </c>
      <c r="Q47">
        <v>0</v>
      </c>
      <c r="R47">
        <v>3.5</v>
      </c>
      <c r="S47">
        <v>0.7</v>
      </c>
      <c r="T47">
        <v>2</v>
      </c>
      <c r="U47">
        <v>0.5</v>
      </c>
      <c r="V47">
        <v>0</v>
      </c>
      <c r="W47">
        <v>1.2</v>
      </c>
      <c r="X47">
        <v>300</v>
      </c>
      <c r="Y47">
        <v>150</v>
      </c>
      <c r="Z47">
        <v>20</v>
      </c>
      <c r="AA47">
        <v>16</v>
      </c>
      <c r="AB47">
        <v>0.8</v>
      </c>
      <c r="AC47">
        <v>0.7</v>
      </c>
      <c r="AD47">
        <v>3</v>
      </c>
      <c r="AE47">
        <v>12</v>
      </c>
      <c r="AF47">
        <v>0</v>
      </c>
      <c r="AG47">
        <v>0</v>
      </c>
      <c r="AH47">
        <v>0</v>
      </c>
      <c r="AI47">
        <v>70</v>
      </c>
      <c r="AJ47">
        <v>15.4</v>
      </c>
      <c r="AK47" t="s">
        <v>66</v>
      </c>
      <c r="AL47" t="s">
        <v>87</v>
      </c>
      <c r="AM47" t="s">
        <v>87</v>
      </c>
      <c r="AN47" t="s">
        <v>67</v>
      </c>
      <c r="AO47" t="s">
        <v>68</v>
      </c>
      <c r="AP47" t="s">
        <v>69</v>
      </c>
      <c r="AQ47" t="s">
        <v>70</v>
      </c>
      <c r="AR47" t="s">
        <v>71</v>
      </c>
      <c r="AS47" t="s">
        <v>530</v>
      </c>
      <c r="AT47" t="s">
        <v>1046</v>
      </c>
    </row>
    <row r="48" spans="1:46" ht="15" customHeight="1" x14ac:dyDescent="0.2">
      <c r="A48">
        <v>1564</v>
      </c>
      <c r="B48" t="s">
        <v>1096</v>
      </c>
      <c r="C48" t="s">
        <v>527</v>
      </c>
      <c r="D48" t="s">
        <v>61</v>
      </c>
      <c r="E48" t="s">
        <v>541</v>
      </c>
      <c r="F48" t="s">
        <v>63</v>
      </c>
      <c r="G48" t="s">
        <v>473</v>
      </c>
      <c r="H48" t="b">
        <f>FALSE()</f>
        <v>0</v>
      </c>
      <c r="I48" t="b">
        <f>FALSE()</f>
        <v>0</v>
      </c>
      <c r="J48" t="b">
        <f>FALSE()</f>
        <v>0</v>
      </c>
      <c r="K48" t="s">
        <v>87</v>
      </c>
      <c r="L48">
        <v>100</v>
      </c>
      <c r="M48">
        <v>145</v>
      </c>
      <c r="N48">
        <v>6</v>
      </c>
      <c r="O48">
        <v>22</v>
      </c>
      <c r="P48">
        <v>1</v>
      </c>
      <c r="Q48">
        <v>0</v>
      </c>
      <c r="R48">
        <v>3.5</v>
      </c>
      <c r="S48">
        <v>0.7</v>
      </c>
      <c r="T48">
        <v>2</v>
      </c>
      <c r="U48">
        <v>0.5</v>
      </c>
      <c r="V48">
        <v>0</v>
      </c>
      <c r="W48">
        <v>1.2</v>
      </c>
      <c r="X48">
        <v>300</v>
      </c>
      <c r="Y48">
        <v>150</v>
      </c>
      <c r="Z48">
        <v>20</v>
      </c>
      <c r="AA48">
        <v>16</v>
      </c>
      <c r="AB48">
        <v>0.8</v>
      </c>
      <c r="AC48">
        <v>0.7</v>
      </c>
      <c r="AD48">
        <v>3</v>
      </c>
      <c r="AE48">
        <v>12</v>
      </c>
      <c r="AF48">
        <v>0</v>
      </c>
      <c r="AG48">
        <v>0</v>
      </c>
      <c r="AH48">
        <v>0</v>
      </c>
      <c r="AI48">
        <v>70</v>
      </c>
      <c r="AJ48">
        <v>15.4</v>
      </c>
      <c r="AK48" t="s">
        <v>66</v>
      </c>
      <c r="AL48" t="s">
        <v>87</v>
      </c>
      <c r="AM48" t="s">
        <v>87</v>
      </c>
      <c r="AN48" t="s">
        <v>67</v>
      </c>
      <c r="AO48" t="s">
        <v>68</v>
      </c>
      <c r="AP48" t="s">
        <v>69</v>
      </c>
      <c r="AQ48" t="s">
        <v>70</v>
      </c>
      <c r="AR48" t="s">
        <v>71</v>
      </c>
      <c r="AS48" t="s">
        <v>530</v>
      </c>
      <c r="AT48" t="s">
        <v>1046</v>
      </c>
    </row>
    <row r="49" spans="1:46" ht="15" customHeight="1" x14ac:dyDescent="0.2">
      <c r="A49">
        <v>1565</v>
      </c>
      <c r="B49" t="s">
        <v>1097</v>
      </c>
      <c r="C49" t="s">
        <v>527</v>
      </c>
      <c r="D49" t="s">
        <v>61</v>
      </c>
      <c r="E49" t="s">
        <v>541</v>
      </c>
      <c r="F49" t="s">
        <v>63</v>
      </c>
      <c r="G49" t="s">
        <v>473</v>
      </c>
      <c r="H49" t="b">
        <f>FALSE()</f>
        <v>0</v>
      </c>
      <c r="I49" t="b">
        <f>FALSE()</f>
        <v>0</v>
      </c>
      <c r="J49" t="b">
        <f>FALSE()</f>
        <v>0</v>
      </c>
      <c r="K49" t="s">
        <v>87</v>
      </c>
      <c r="L49">
        <v>100</v>
      </c>
      <c r="M49">
        <v>145</v>
      </c>
      <c r="N49">
        <v>6</v>
      </c>
      <c r="O49">
        <v>22</v>
      </c>
      <c r="P49">
        <v>1</v>
      </c>
      <c r="Q49">
        <v>0</v>
      </c>
      <c r="R49">
        <v>3.5</v>
      </c>
      <c r="S49">
        <v>0.7</v>
      </c>
      <c r="T49">
        <v>2</v>
      </c>
      <c r="U49">
        <v>0.5</v>
      </c>
      <c r="V49">
        <v>0</v>
      </c>
      <c r="W49">
        <v>1.2</v>
      </c>
      <c r="X49">
        <v>300</v>
      </c>
      <c r="Y49">
        <v>150</v>
      </c>
      <c r="Z49">
        <v>20</v>
      </c>
      <c r="AA49">
        <v>16</v>
      </c>
      <c r="AB49">
        <v>0.8</v>
      </c>
      <c r="AC49">
        <v>0.7</v>
      </c>
      <c r="AD49">
        <v>3</v>
      </c>
      <c r="AE49">
        <v>12</v>
      </c>
      <c r="AF49">
        <v>0</v>
      </c>
      <c r="AG49">
        <v>0</v>
      </c>
      <c r="AH49">
        <v>0</v>
      </c>
      <c r="AI49">
        <v>70</v>
      </c>
      <c r="AJ49">
        <v>15.4</v>
      </c>
      <c r="AK49" t="s">
        <v>66</v>
      </c>
      <c r="AL49" t="s">
        <v>87</v>
      </c>
      <c r="AM49" t="s">
        <v>87</v>
      </c>
      <c r="AN49" t="s">
        <v>67</v>
      </c>
      <c r="AO49" t="s">
        <v>68</v>
      </c>
      <c r="AP49" t="s">
        <v>69</v>
      </c>
      <c r="AQ49" t="s">
        <v>70</v>
      </c>
      <c r="AR49" t="s">
        <v>71</v>
      </c>
      <c r="AS49" t="s">
        <v>530</v>
      </c>
      <c r="AT49" t="s">
        <v>1046</v>
      </c>
    </row>
    <row r="50" spans="1:46" ht="15" customHeight="1" x14ac:dyDescent="0.2">
      <c r="A50">
        <v>1566</v>
      </c>
      <c r="B50" t="s">
        <v>1098</v>
      </c>
      <c r="C50" t="s">
        <v>472</v>
      </c>
      <c r="D50" t="s">
        <v>1099</v>
      </c>
      <c r="E50" t="s">
        <v>62</v>
      </c>
      <c r="F50" t="s">
        <v>63</v>
      </c>
      <c r="G50" t="s">
        <v>473</v>
      </c>
      <c r="H50" t="b">
        <f>TRUE()</f>
        <v>1</v>
      </c>
      <c r="I50" t="b">
        <f>FALSE()</f>
        <v>0</v>
      </c>
      <c r="J50" t="b">
        <f>FALSE()</f>
        <v>0</v>
      </c>
      <c r="K50" t="s">
        <v>65</v>
      </c>
      <c r="L50">
        <v>100</v>
      </c>
      <c r="M50">
        <v>143</v>
      </c>
      <c r="N50">
        <v>17</v>
      </c>
      <c r="O50">
        <v>1</v>
      </c>
      <c r="P50">
        <v>0.3</v>
      </c>
      <c r="Q50">
        <v>0</v>
      </c>
      <c r="R50">
        <v>8</v>
      </c>
      <c r="S50">
        <v>2.2000000000000002</v>
      </c>
      <c r="T50">
        <v>3.3</v>
      </c>
      <c r="U50">
        <v>1.8</v>
      </c>
      <c r="V50">
        <v>0</v>
      </c>
      <c r="W50">
        <v>0.2</v>
      </c>
      <c r="X50">
        <v>380</v>
      </c>
      <c r="Y50">
        <v>250</v>
      </c>
      <c r="Z50">
        <v>15</v>
      </c>
      <c r="AA50">
        <v>20</v>
      </c>
      <c r="AB50">
        <v>1.5</v>
      </c>
      <c r="AC50">
        <v>2</v>
      </c>
      <c r="AD50">
        <v>0</v>
      </c>
      <c r="AE50">
        <v>10</v>
      </c>
      <c r="AF50">
        <v>0.2</v>
      </c>
      <c r="AG50">
        <v>0</v>
      </c>
      <c r="AH50">
        <v>0</v>
      </c>
      <c r="AI50">
        <v>0</v>
      </c>
      <c r="AJ50">
        <v>0</v>
      </c>
      <c r="AK50" t="s">
        <v>66</v>
      </c>
      <c r="AL50" t="s">
        <v>65</v>
      </c>
      <c r="AM50" t="s">
        <v>87</v>
      </c>
      <c r="AN50" t="s">
        <v>67</v>
      </c>
      <c r="AO50" t="s">
        <v>68</v>
      </c>
      <c r="AP50" t="s">
        <v>69</v>
      </c>
      <c r="AQ50" t="s">
        <v>70</v>
      </c>
      <c r="AR50" t="s">
        <v>71</v>
      </c>
      <c r="AS50" t="s">
        <v>530</v>
      </c>
      <c r="AT50" t="s">
        <v>1046</v>
      </c>
    </row>
    <row r="51" spans="1:46" ht="15" customHeight="1" x14ac:dyDescent="0.2">
      <c r="A51">
        <v>1567</v>
      </c>
      <c r="B51" t="s">
        <v>1100</v>
      </c>
      <c r="C51" t="s">
        <v>472</v>
      </c>
      <c r="D51" t="s">
        <v>1099</v>
      </c>
      <c r="E51" t="s">
        <v>62</v>
      </c>
      <c r="F51" t="s">
        <v>63</v>
      </c>
      <c r="G51" t="s">
        <v>473</v>
      </c>
      <c r="H51" t="b">
        <f>TRUE()</f>
        <v>1</v>
      </c>
      <c r="I51" t="b">
        <f>FALSE()</f>
        <v>0</v>
      </c>
      <c r="J51" t="b">
        <f>FALSE()</f>
        <v>0</v>
      </c>
      <c r="K51" t="s">
        <v>65</v>
      </c>
      <c r="L51">
        <v>100</v>
      </c>
      <c r="M51">
        <v>143</v>
      </c>
      <c r="N51">
        <v>17</v>
      </c>
      <c r="O51">
        <v>1</v>
      </c>
      <c r="P51">
        <v>0.3</v>
      </c>
      <c r="Q51">
        <v>0</v>
      </c>
      <c r="R51">
        <v>8</v>
      </c>
      <c r="S51">
        <v>2.2000000000000002</v>
      </c>
      <c r="T51">
        <v>3.3</v>
      </c>
      <c r="U51">
        <v>1.8</v>
      </c>
      <c r="V51">
        <v>0</v>
      </c>
      <c r="W51">
        <v>0.2</v>
      </c>
      <c r="X51">
        <v>380</v>
      </c>
      <c r="Y51">
        <v>250</v>
      </c>
      <c r="Z51">
        <v>15</v>
      </c>
      <c r="AA51">
        <v>20</v>
      </c>
      <c r="AB51">
        <v>1.5</v>
      </c>
      <c r="AC51">
        <v>2</v>
      </c>
      <c r="AD51">
        <v>0</v>
      </c>
      <c r="AE51">
        <v>10</v>
      </c>
      <c r="AF51">
        <v>0.2</v>
      </c>
      <c r="AG51">
        <v>0</v>
      </c>
      <c r="AH51">
        <v>0</v>
      </c>
      <c r="AI51">
        <v>0</v>
      </c>
      <c r="AJ51">
        <v>0</v>
      </c>
      <c r="AK51" t="s">
        <v>66</v>
      </c>
      <c r="AL51" t="s">
        <v>65</v>
      </c>
      <c r="AM51" t="s">
        <v>87</v>
      </c>
      <c r="AN51" t="s">
        <v>67</v>
      </c>
      <c r="AO51" t="s">
        <v>68</v>
      </c>
      <c r="AP51" t="s">
        <v>69</v>
      </c>
      <c r="AQ51" t="s">
        <v>70</v>
      </c>
      <c r="AR51" t="s">
        <v>71</v>
      </c>
      <c r="AS51" t="s">
        <v>530</v>
      </c>
      <c r="AT51" t="s">
        <v>1046</v>
      </c>
    </row>
    <row r="52" spans="1:46" ht="15" customHeight="1" x14ac:dyDescent="0.2">
      <c r="A52">
        <v>1568</v>
      </c>
      <c r="B52" t="s">
        <v>1101</v>
      </c>
      <c r="C52" t="s">
        <v>472</v>
      </c>
      <c r="D52" t="s">
        <v>1099</v>
      </c>
      <c r="E52" t="s">
        <v>62</v>
      </c>
      <c r="F52" t="s">
        <v>63</v>
      </c>
      <c r="G52" t="s">
        <v>473</v>
      </c>
      <c r="H52" t="b">
        <f>TRUE()</f>
        <v>1</v>
      </c>
      <c r="I52" t="b">
        <f>FALSE()</f>
        <v>0</v>
      </c>
      <c r="J52" t="b">
        <f>FALSE()</f>
        <v>0</v>
      </c>
      <c r="K52" t="s">
        <v>65</v>
      </c>
      <c r="L52">
        <v>100</v>
      </c>
      <c r="M52">
        <v>143</v>
      </c>
      <c r="N52">
        <v>17</v>
      </c>
      <c r="O52">
        <v>1</v>
      </c>
      <c r="P52">
        <v>0.3</v>
      </c>
      <c r="Q52">
        <v>0</v>
      </c>
      <c r="R52">
        <v>8</v>
      </c>
      <c r="S52">
        <v>2.2000000000000002</v>
      </c>
      <c r="T52">
        <v>3.3</v>
      </c>
      <c r="U52">
        <v>1.8</v>
      </c>
      <c r="V52">
        <v>0</v>
      </c>
      <c r="W52">
        <v>0.2</v>
      </c>
      <c r="X52">
        <v>380</v>
      </c>
      <c r="Y52">
        <v>250</v>
      </c>
      <c r="Z52">
        <v>15</v>
      </c>
      <c r="AA52">
        <v>20</v>
      </c>
      <c r="AB52">
        <v>1.5</v>
      </c>
      <c r="AC52">
        <v>2</v>
      </c>
      <c r="AD52">
        <v>0</v>
      </c>
      <c r="AE52">
        <v>10</v>
      </c>
      <c r="AF52">
        <v>0.2</v>
      </c>
      <c r="AG52">
        <v>0</v>
      </c>
      <c r="AH52">
        <v>0</v>
      </c>
      <c r="AI52">
        <v>0</v>
      </c>
      <c r="AJ52">
        <v>0</v>
      </c>
      <c r="AK52" t="s">
        <v>66</v>
      </c>
      <c r="AL52" t="s">
        <v>65</v>
      </c>
      <c r="AM52" t="s">
        <v>87</v>
      </c>
      <c r="AN52" t="s">
        <v>67</v>
      </c>
      <c r="AO52" t="s">
        <v>68</v>
      </c>
      <c r="AP52" t="s">
        <v>69</v>
      </c>
      <c r="AQ52" t="s">
        <v>70</v>
      </c>
      <c r="AR52" t="s">
        <v>71</v>
      </c>
      <c r="AS52" t="s">
        <v>530</v>
      </c>
      <c r="AT52" t="s">
        <v>1046</v>
      </c>
    </row>
    <row r="53" spans="1:46" ht="15" customHeight="1" x14ac:dyDescent="0.2">
      <c r="A53">
        <v>1569</v>
      </c>
      <c r="B53" t="s">
        <v>1102</v>
      </c>
      <c r="C53" t="s">
        <v>472</v>
      </c>
      <c r="D53" t="s">
        <v>1099</v>
      </c>
      <c r="E53" t="s">
        <v>458</v>
      </c>
      <c r="F53" t="s">
        <v>63</v>
      </c>
      <c r="G53" t="s">
        <v>473</v>
      </c>
      <c r="H53" t="b">
        <f>TRUE()</f>
        <v>1</v>
      </c>
      <c r="I53" t="b">
        <f>FALSE()</f>
        <v>0</v>
      </c>
      <c r="J53" t="b">
        <f>FALSE()</f>
        <v>0</v>
      </c>
      <c r="K53" t="s">
        <v>65</v>
      </c>
      <c r="L53">
        <v>100</v>
      </c>
      <c r="M53">
        <v>160.19999999999999</v>
      </c>
      <c r="N53">
        <v>18.36</v>
      </c>
      <c r="O53">
        <v>1</v>
      </c>
      <c r="P53">
        <v>0.3</v>
      </c>
      <c r="Q53">
        <v>0</v>
      </c>
      <c r="R53">
        <v>8.64</v>
      </c>
      <c r="S53">
        <v>2.38</v>
      </c>
      <c r="T53">
        <v>3.56</v>
      </c>
      <c r="U53">
        <v>1.94</v>
      </c>
      <c r="V53">
        <v>0</v>
      </c>
      <c r="W53">
        <v>0.2</v>
      </c>
      <c r="X53">
        <v>380</v>
      </c>
      <c r="Y53">
        <v>250</v>
      </c>
      <c r="Z53">
        <v>15</v>
      </c>
      <c r="AA53">
        <v>20</v>
      </c>
      <c r="AB53">
        <v>1.5</v>
      </c>
      <c r="AC53">
        <v>2</v>
      </c>
      <c r="AD53">
        <v>0</v>
      </c>
      <c r="AE53">
        <v>10</v>
      </c>
      <c r="AF53">
        <v>0.2</v>
      </c>
      <c r="AG53">
        <v>0</v>
      </c>
      <c r="AH53">
        <v>0</v>
      </c>
      <c r="AI53">
        <v>0</v>
      </c>
      <c r="AJ53">
        <v>0</v>
      </c>
      <c r="AK53" t="s">
        <v>66</v>
      </c>
      <c r="AL53" t="s">
        <v>65</v>
      </c>
      <c r="AM53" t="s">
        <v>87</v>
      </c>
      <c r="AN53" t="s">
        <v>67</v>
      </c>
      <c r="AO53" t="s">
        <v>68</v>
      </c>
      <c r="AP53" t="s">
        <v>69</v>
      </c>
      <c r="AQ53" t="s">
        <v>70</v>
      </c>
      <c r="AR53" t="s">
        <v>71</v>
      </c>
      <c r="AS53" t="s">
        <v>530</v>
      </c>
      <c r="AT53" t="s">
        <v>1046</v>
      </c>
    </row>
    <row r="54" spans="1:46" ht="15" customHeight="1" x14ac:dyDescent="0.2">
      <c r="A54">
        <v>1570</v>
      </c>
      <c r="B54" t="s">
        <v>1103</v>
      </c>
      <c r="C54" t="s">
        <v>472</v>
      </c>
      <c r="D54" t="s">
        <v>1099</v>
      </c>
      <c r="E54" t="s">
        <v>458</v>
      </c>
      <c r="F54" t="s">
        <v>63</v>
      </c>
      <c r="G54" t="s">
        <v>473</v>
      </c>
      <c r="H54" t="b">
        <f>TRUE()</f>
        <v>1</v>
      </c>
      <c r="I54" t="b">
        <f>FALSE()</f>
        <v>0</v>
      </c>
      <c r="J54" t="b">
        <f>FALSE()</f>
        <v>0</v>
      </c>
      <c r="K54" t="s">
        <v>65</v>
      </c>
      <c r="L54">
        <v>100</v>
      </c>
      <c r="M54">
        <v>160.19999999999999</v>
      </c>
      <c r="N54">
        <v>18.36</v>
      </c>
      <c r="O54">
        <v>1</v>
      </c>
      <c r="P54">
        <v>0.3</v>
      </c>
      <c r="Q54">
        <v>0</v>
      </c>
      <c r="R54">
        <v>8.64</v>
      </c>
      <c r="S54">
        <v>2.38</v>
      </c>
      <c r="T54">
        <v>3.56</v>
      </c>
      <c r="U54">
        <v>1.94</v>
      </c>
      <c r="V54">
        <v>0</v>
      </c>
      <c r="W54">
        <v>0.2</v>
      </c>
      <c r="X54">
        <v>380</v>
      </c>
      <c r="Y54">
        <v>250</v>
      </c>
      <c r="Z54">
        <v>15</v>
      </c>
      <c r="AA54">
        <v>20</v>
      </c>
      <c r="AB54">
        <v>1.5</v>
      </c>
      <c r="AC54">
        <v>2</v>
      </c>
      <c r="AD54">
        <v>0</v>
      </c>
      <c r="AE54">
        <v>10</v>
      </c>
      <c r="AF54">
        <v>0.2</v>
      </c>
      <c r="AG54">
        <v>0</v>
      </c>
      <c r="AH54">
        <v>0</v>
      </c>
      <c r="AI54">
        <v>0</v>
      </c>
      <c r="AJ54">
        <v>0</v>
      </c>
      <c r="AK54" t="s">
        <v>66</v>
      </c>
      <c r="AL54" t="s">
        <v>65</v>
      </c>
      <c r="AM54" t="s">
        <v>87</v>
      </c>
      <c r="AN54" t="s">
        <v>67</v>
      </c>
      <c r="AO54" t="s">
        <v>68</v>
      </c>
      <c r="AP54" t="s">
        <v>69</v>
      </c>
      <c r="AQ54" t="s">
        <v>70</v>
      </c>
      <c r="AR54" t="s">
        <v>71</v>
      </c>
      <c r="AS54" t="s">
        <v>530</v>
      </c>
      <c r="AT54" t="s">
        <v>1046</v>
      </c>
    </row>
    <row r="55" spans="1:46" ht="15" customHeight="1" x14ac:dyDescent="0.2">
      <c r="A55">
        <v>1571</v>
      </c>
      <c r="B55" t="s">
        <v>1104</v>
      </c>
      <c r="C55" t="s">
        <v>472</v>
      </c>
      <c r="D55" t="s">
        <v>1099</v>
      </c>
      <c r="E55" t="s">
        <v>458</v>
      </c>
      <c r="F55" t="s">
        <v>63</v>
      </c>
      <c r="G55" t="s">
        <v>473</v>
      </c>
      <c r="H55" t="b">
        <f>TRUE()</f>
        <v>1</v>
      </c>
      <c r="I55" t="b">
        <f>FALSE()</f>
        <v>0</v>
      </c>
      <c r="J55" t="b">
        <f>FALSE()</f>
        <v>0</v>
      </c>
      <c r="K55" t="s">
        <v>65</v>
      </c>
      <c r="L55">
        <v>100</v>
      </c>
      <c r="M55">
        <v>160.19999999999999</v>
      </c>
      <c r="N55">
        <v>18.36</v>
      </c>
      <c r="O55">
        <v>1</v>
      </c>
      <c r="P55">
        <v>0.3</v>
      </c>
      <c r="Q55">
        <v>0</v>
      </c>
      <c r="R55">
        <v>8.64</v>
      </c>
      <c r="S55">
        <v>2.38</v>
      </c>
      <c r="T55">
        <v>3.56</v>
      </c>
      <c r="U55">
        <v>1.94</v>
      </c>
      <c r="V55">
        <v>0</v>
      </c>
      <c r="W55">
        <v>0.2</v>
      </c>
      <c r="X55">
        <v>380</v>
      </c>
      <c r="Y55">
        <v>250</v>
      </c>
      <c r="Z55">
        <v>15</v>
      </c>
      <c r="AA55">
        <v>20</v>
      </c>
      <c r="AB55">
        <v>1.5</v>
      </c>
      <c r="AC55">
        <v>2</v>
      </c>
      <c r="AD55">
        <v>0</v>
      </c>
      <c r="AE55">
        <v>10</v>
      </c>
      <c r="AF55">
        <v>0.2</v>
      </c>
      <c r="AG55">
        <v>0</v>
      </c>
      <c r="AH55">
        <v>0</v>
      </c>
      <c r="AI55">
        <v>0</v>
      </c>
      <c r="AJ55">
        <v>0</v>
      </c>
      <c r="AK55" t="s">
        <v>66</v>
      </c>
      <c r="AL55" t="s">
        <v>65</v>
      </c>
      <c r="AM55" t="s">
        <v>87</v>
      </c>
      <c r="AN55" t="s">
        <v>67</v>
      </c>
      <c r="AO55" t="s">
        <v>68</v>
      </c>
      <c r="AP55" t="s">
        <v>69</v>
      </c>
      <c r="AQ55" t="s">
        <v>70</v>
      </c>
      <c r="AR55" t="s">
        <v>71</v>
      </c>
      <c r="AS55" t="s">
        <v>530</v>
      </c>
      <c r="AT55" t="s">
        <v>1046</v>
      </c>
    </row>
    <row r="56" spans="1:46" ht="15" customHeight="1" x14ac:dyDescent="0.2">
      <c r="A56">
        <v>1572</v>
      </c>
      <c r="B56" t="s">
        <v>1105</v>
      </c>
      <c r="C56" t="s">
        <v>472</v>
      </c>
      <c r="D56" t="s">
        <v>1099</v>
      </c>
      <c r="E56" t="s">
        <v>62</v>
      </c>
      <c r="F56" t="s">
        <v>63</v>
      </c>
      <c r="G56" t="s">
        <v>473</v>
      </c>
      <c r="H56" t="b">
        <f>FALSE()</f>
        <v>0</v>
      </c>
      <c r="I56" t="b">
        <f>FALSE()</f>
        <v>0</v>
      </c>
      <c r="J56" t="b">
        <f>FALSE()</f>
        <v>0</v>
      </c>
      <c r="K56" t="s">
        <v>65</v>
      </c>
      <c r="L56">
        <v>100</v>
      </c>
      <c r="M56">
        <v>215</v>
      </c>
      <c r="N56">
        <v>18</v>
      </c>
      <c r="O56">
        <v>1</v>
      </c>
      <c r="P56">
        <v>0.3</v>
      </c>
      <c r="Q56">
        <v>0</v>
      </c>
      <c r="R56">
        <v>15</v>
      </c>
      <c r="S56">
        <v>6</v>
      </c>
      <c r="T56">
        <v>6.5</v>
      </c>
      <c r="U56">
        <v>0.6</v>
      </c>
      <c r="V56">
        <v>0</v>
      </c>
      <c r="W56">
        <v>0.2</v>
      </c>
      <c r="X56">
        <v>380</v>
      </c>
      <c r="Y56">
        <v>250</v>
      </c>
      <c r="Z56">
        <v>15</v>
      </c>
      <c r="AA56">
        <v>20</v>
      </c>
      <c r="AB56">
        <v>1.5</v>
      </c>
      <c r="AC56">
        <v>2</v>
      </c>
      <c r="AD56">
        <v>0</v>
      </c>
      <c r="AE56">
        <v>10</v>
      </c>
      <c r="AF56">
        <v>0.2</v>
      </c>
      <c r="AG56">
        <v>0</v>
      </c>
      <c r="AH56">
        <v>0</v>
      </c>
      <c r="AI56">
        <v>0</v>
      </c>
      <c r="AJ56">
        <v>0</v>
      </c>
      <c r="AK56" t="s">
        <v>66</v>
      </c>
      <c r="AL56" t="s">
        <v>65</v>
      </c>
      <c r="AM56" t="s">
        <v>87</v>
      </c>
      <c r="AN56" t="s">
        <v>67</v>
      </c>
      <c r="AO56" t="s">
        <v>68</v>
      </c>
      <c r="AP56" t="s">
        <v>69</v>
      </c>
      <c r="AQ56" t="s">
        <v>70</v>
      </c>
      <c r="AR56" t="s">
        <v>71</v>
      </c>
      <c r="AS56" t="s">
        <v>530</v>
      </c>
      <c r="AT56" t="s">
        <v>1046</v>
      </c>
    </row>
    <row r="57" spans="1:46" ht="15" customHeight="1" x14ac:dyDescent="0.2">
      <c r="A57">
        <v>1573</v>
      </c>
      <c r="B57" t="s">
        <v>1106</v>
      </c>
      <c r="C57" t="s">
        <v>472</v>
      </c>
      <c r="D57" t="s">
        <v>1099</v>
      </c>
      <c r="E57" t="s">
        <v>62</v>
      </c>
      <c r="F57" t="s">
        <v>63</v>
      </c>
      <c r="G57" t="s">
        <v>473</v>
      </c>
      <c r="H57" t="b">
        <f>FALSE()</f>
        <v>0</v>
      </c>
      <c r="I57" t="b">
        <f>FALSE()</f>
        <v>0</v>
      </c>
      <c r="J57" t="b">
        <f>FALSE()</f>
        <v>0</v>
      </c>
      <c r="K57" t="s">
        <v>65</v>
      </c>
      <c r="L57">
        <v>100</v>
      </c>
      <c r="M57">
        <v>215</v>
      </c>
      <c r="N57">
        <v>18</v>
      </c>
      <c r="O57">
        <v>1</v>
      </c>
      <c r="P57">
        <v>0.3</v>
      </c>
      <c r="Q57">
        <v>0</v>
      </c>
      <c r="R57">
        <v>15</v>
      </c>
      <c r="S57">
        <v>6</v>
      </c>
      <c r="T57">
        <v>6.5</v>
      </c>
      <c r="U57">
        <v>0.6</v>
      </c>
      <c r="V57">
        <v>0</v>
      </c>
      <c r="W57">
        <v>0.2</v>
      </c>
      <c r="X57">
        <v>380</v>
      </c>
      <c r="Y57">
        <v>250</v>
      </c>
      <c r="Z57">
        <v>15</v>
      </c>
      <c r="AA57">
        <v>20</v>
      </c>
      <c r="AB57">
        <v>1.5</v>
      </c>
      <c r="AC57">
        <v>2</v>
      </c>
      <c r="AD57">
        <v>0</v>
      </c>
      <c r="AE57">
        <v>10</v>
      </c>
      <c r="AF57">
        <v>0.2</v>
      </c>
      <c r="AG57">
        <v>0</v>
      </c>
      <c r="AH57">
        <v>0</v>
      </c>
      <c r="AI57">
        <v>0</v>
      </c>
      <c r="AJ57">
        <v>0</v>
      </c>
      <c r="AK57" t="s">
        <v>66</v>
      </c>
      <c r="AL57" t="s">
        <v>65</v>
      </c>
      <c r="AM57" t="s">
        <v>87</v>
      </c>
      <c r="AN57" t="s">
        <v>67</v>
      </c>
      <c r="AO57" t="s">
        <v>68</v>
      </c>
      <c r="AP57" t="s">
        <v>69</v>
      </c>
      <c r="AQ57" t="s">
        <v>70</v>
      </c>
      <c r="AR57" t="s">
        <v>71</v>
      </c>
      <c r="AS57" t="s">
        <v>530</v>
      </c>
      <c r="AT57" t="s">
        <v>1046</v>
      </c>
    </row>
    <row r="58" spans="1:46" ht="15" customHeight="1" x14ac:dyDescent="0.2">
      <c r="A58">
        <v>1574</v>
      </c>
      <c r="B58" t="s">
        <v>1107</v>
      </c>
      <c r="C58" t="s">
        <v>472</v>
      </c>
      <c r="D58" t="s">
        <v>1099</v>
      </c>
      <c r="E58" t="s">
        <v>62</v>
      </c>
      <c r="F58" t="s">
        <v>63</v>
      </c>
      <c r="G58" t="s">
        <v>473</v>
      </c>
      <c r="H58" t="b">
        <f>FALSE()</f>
        <v>0</v>
      </c>
      <c r="I58" t="b">
        <f>FALSE()</f>
        <v>0</v>
      </c>
      <c r="J58" t="b">
        <f>FALSE()</f>
        <v>0</v>
      </c>
      <c r="K58" t="s">
        <v>65</v>
      </c>
      <c r="L58">
        <v>100</v>
      </c>
      <c r="M58">
        <v>215</v>
      </c>
      <c r="N58">
        <v>18</v>
      </c>
      <c r="O58">
        <v>1</v>
      </c>
      <c r="P58">
        <v>0.3</v>
      </c>
      <c r="Q58">
        <v>0</v>
      </c>
      <c r="R58">
        <v>15</v>
      </c>
      <c r="S58">
        <v>6</v>
      </c>
      <c r="T58">
        <v>6.5</v>
      </c>
      <c r="U58">
        <v>0.6</v>
      </c>
      <c r="V58">
        <v>0</v>
      </c>
      <c r="W58">
        <v>0.2</v>
      </c>
      <c r="X58">
        <v>380</v>
      </c>
      <c r="Y58">
        <v>250</v>
      </c>
      <c r="Z58">
        <v>15</v>
      </c>
      <c r="AA58">
        <v>20</v>
      </c>
      <c r="AB58">
        <v>1.5</v>
      </c>
      <c r="AC58">
        <v>2</v>
      </c>
      <c r="AD58">
        <v>0</v>
      </c>
      <c r="AE58">
        <v>10</v>
      </c>
      <c r="AF58">
        <v>0.2</v>
      </c>
      <c r="AG58">
        <v>0</v>
      </c>
      <c r="AH58">
        <v>0</v>
      </c>
      <c r="AI58">
        <v>0</v>
      </c>
      <c r="AJ58">
        <v>0</v>
      </c>
      <c r="AK58" t="s">
        <v>66</v>
      </c>
      <c r="AL58" t="s">
        <v>65</v>
      </c>
      <c r="AM58" t="s">
        <v>87</v>
      </c>
      <c r="AN58" t="s">
        <v>67</v>
      </c>
      <c r="AO58" t="s">
        <v>68</v>
      </c>
      <c r="AP58" t="s">
        <v>69</v>
      </c>
      <c r="AQ58" t="s">
        <v>70</v>
      </c>
      <c r="AR58" t="s">
        <v>71</v>
      </c>
      <c r="AS58" t="s">
        <v>530</v>
      </c>
      <c r="AT58" t="s">
        <v>1046</v>
      </c>
    </row>
    <row r="59" spans="1:46" ht="15" customHeight="1" x14ac:dyDescent="0.2">
      <c r="A59">
        <v>1575</v>
      </c>
      <c r="B59" t="s">
        <v>1108</v>
      </c>
      <c r="C59" t="s">
        <v>472</v>
      </c>
      <c r="D59" t="s">
        <v>1099</v>
      </c>
      <c r="E59" t="s">
        <v>458</v>
      </c>
      <c r="F59" t="s">
        <v>63</v>
      </c>
      <c r="G59" t="s">
        <v>473</v>
      </c>
      <c r="H59" t="b">
        <f>FALSE()</f>
        <v>0</v>
      </c>
      <c r="I59" t="b">
        <f>FALSE()</f>
        <v>0</v>
      </c>
      <c r="J59" t="b">
        <f>FALSE()</f>
        <v>0</v>
      </c>
      <c r="K59" t="s">
        <v>65</v>
      </c>
      <c r="L59">
        <v>100</v>
      </c>
      <c r="M59">
        <v>240.8</v>
      </c>
      <c r="N59">
        <v>19.440000000000001</v>
      </c>
      <c r="O59">
        <v>1</v>
      </c>
      <c r="P59">
        <v>0.3</v>
      </c>
      <c r="Q59">
        <v>0</v>
      </c>
      <c r="R59">
        <v>16.2</v>
      </c>
      <c r="S59">
        <v>6.48</v>
      </c>
      <c r="T59">
        <v>7.02</v>
      </c>
      <c r="U59">
        <v>0.65</v>
      </c>
      <c r="V59">
        <v>0</v>
      </c>
      <c r="W59">
        <v>0.2</v>
      </c>
      <c r="X59">
        <v>380</v>
      </c>
      <c r="Y59">
        <v>250</v>
      </c>
      <c r="Z59">
        <v>15</v>
      </c>
      <c r="AA59">
        <v>20</v>
      </c>
      <c r="AB59">
        <v>1.5</v>
      </c>
      <c r="AC59">
        <v>2</v>
      </c>
      <c r="AD59">
        <v>0</v>
      </c>
      <c r="AE59">
        <v>10</v>
      </c>
      <c r="AF59">
        <v>0.2</v>
      </c>
      <c r="AG59">
        <v>0</v>
      </c>
      <c r="AH59">
        <v>0</v>
      </c>
      <c r="AI59">
        <v>0</v>
      </c>
      <c r="AJ59">
        <v>0</v>
      </c>
      <c r="AK59" t="s">
        <v>66</v>
      </c>
      <c r="AL59" t="s">
        <v>65</v>
      </c>
      <c r="AM59" t="s">
        <v>87</v>
      </c>
      <c r="AN59" t="s">
        <v>67</v>
      </c>
      <c r="AO59" t="s">
        <v>68</v>
      </c>
      <c r="AP59" t="s">
        <v>69</v>
      </c>
      <c r="AQ59" t="s">
        <v>70</v>
      </c>
      <c r="AR59" t="s">
        <v>71</v>
      </c>
      <c r="AS59" t="s">
        <v>530</v>
      </c>
      <c r="AT59" t="s">
        <v>1046</v>
      </c>
    </row>
    <row r="60" spans="1:46" ht="15" customHeight="1" x14ac:dyDescent="0.2">
      <c r="A60">
        <v>1576</v>
      </c>
      <c r="B60" t="s">
        <v>1109</v>
      </c>
      <c r="C60" t="s">
        <v>472</v>
      </c>
      <c r="D60" t="s">
        <v>1099</v>
      </c>
      <c r="E60" t="s">
        <v>458</v>
      </c>
      <c r="F60" t="s">
        <v>63</v>
      </c>
      <c r="G60" t="s">
        <v>473</v>
      </c>
      <c r="H60" t="b">
        <f>FALSE()</f>
        <v>0</v>
      </c>
      <c r="I60" t="b">
        <f>FALSE()</f>
        <v>0</v>
      </c>
      <c r="J60" t="b">
        <f>FALSE()</f>
        <v>0</v>
      </c>
      <c r="K60" t="s">
        <v>65</v>
      </c>
      <c r="L60">
        <v>100</v>
      </c>
      <c r="M60">
        <v>240.8</v>
      </c>
      <c r="N60">
        <v>19.440000000000001</v>
      </c>
      <c r="O60">
        <v>1</v>
      </c>
      <c r="P60">
        <v>0.3</v>
      </c>
      <c r="Q60">
        <v>0</v>
      </c>
      <c r="R60">
        <v>16.2</v>
      </c>
      <c r="S60">
        <v>6.48</v>
      </c>
      <c r="T60">
        <v>7.02</v>
      </c>
      <c r="U60">
        <v>0.65</v>
      </c>
      <c r="V60">
        <v>0</v>
      </c>
      <c r="W60">
        <v>0.2</v>
      </c>
      <c r="X60">
        <v>380</v>
      </c>
      <c r="Y60">
        <v>250</v>
      </c>
      <c r="Z60">
        <v>15</v>
      </c>
      <c r="AA60">
        <v>20</v>
      </c>
      <c r="AB60">
        <v>1.5</v>
      </c>
      <c r="AC60">
        <v>2</v>
      </c>
      <c r="AD60">
        <v>0</v>
      </c>
      <c r="AE60">
        <v>10</v>
      </c>
      <c r="AF60">
        <v>0.2</v>
      </c>
      <c r="AG60">
        <v>0</v>
      </c>
      <c r="AH60">
        <v>0</v>
      </c>
      <c r="AI60">
        <v>0</v>
      </c>
      <c r="AJ60">
        <v>0</v>
      </c>
      <c r="AK60" t="s">
        <v>66</v>
      </c>
      <c r="AL60" t="s">
        <v>65</v>
      </c>
      <c r="AM60" t="s">
        <v>87</v>
      </c>
      <c r="AN60" t="s">
        <v>67</v>
      </c>
      <c r="AO60" t="s">
        <v>68</v>
      </c>
      <c r="AP60" t="s">
        <v>69</v>
      </c>
      <c r="AQ60" t="s">
        <v>70</v>
      </c>
      <c r="AR60" t="s">
        <v>71</v>
      </c>
      <c r="AS60" t="s">
        <v>530</v>
      </c>
      <c r="AT60" t="s">
        <v>1046</v>
      </c>
    </row>
    <row r="61" spans="1:46" ht="15" customHeight="1" x14ac:dyDescent="0.2">
      <c r="A61">
        <v>1577</v>
      </c>
      <c r="B61" t="s">
        <v>1110</v>
      </c>
      <c r="C61" t="s">
        <v>472</v>
      </c>
      <c r="D61" t="s">
        <v>1099</v>
      </c>
      <c r="E61" t="s">
        <v>458</v>
      </c>
      <c r="F61" t="s">
        <v>63</v>
      </c>
      <c r="G61" t="s">
        <v>473</v>
      </c>
      <c r="H61" t="b">
        <f>FALSE()</f>
        <v>0</v>
      </c>
      <c r="I61" t="b">
        <f>FALSE()</f>
        <v>0</v>
      </c>
      <c r="J61" t="b">
        <f>FALSE()</f>
        <v>0</v>
      </c>
      <c r="K61" t="s">
        <v>65</v>
      </c>
      <c r="L61">
        <v>100</v>
      </c>
      <c r="M61">
        <v>240.8</v>
      </c>
      <c r="N61">
        <v>19.440000000000001</v>
      </c>
      <c r="O61">
        <v>1</v>
      </c>
      <c r="P61">
        <v>0.3</v>
      </c>
      <c r="Q61">
        <v>0</v>
      </c>
      <c r="R61">
        <v>16.2</v>
      </c>
      <c r="S61">
        <v>6.48</v>
      </c>
      <c r="T61">
        <v>7.02</v>
      </c>
      <c r="U61">
        <v>0.65</v>
      </c>
      <c r="V61">
        <v>0</v>
      </c>
      <c r="W61">
        <v>0.2</v>
      </c>
      <c r="X61">
        <v>380</v>
      </c>
      <c r="Y61">
        <v>250</v>
      </c>
      <c r="Z61">
        <v>15</v>
      </c>
      <c r="AA61">
        <v>20</v>
      </c>
      <c r="AB61">
        <v>1.5</v>
      </c>
      <c r="AC61">
        <v>2</v>
      </c>
      <c r="AD61">
        <v>0</v>
      </c>
      <c r="AE61">
        <v>10</v>
      </c>
      <c r="AF61">
        <v>0.2</v>
      </c>
      <c r="AG61">
        <v>0</v>
      </c>
      <c r="AH61">
        <v>0</v>
      </c>
      <c r="AI61">
        <v>0</v>
      </c>
      <c r="AJ61">
        <v>0</v>
      </c>
      <c r="AK61" t="s">
        <v>66</v>
      </c>
      <c r="AL61" t="s">
        <v>65</v>
      </c>
      <c r="AM61" t="s">
        <v>87</v>
      </c>
      <c r="AN61" t="s">
        <v>67</v>
      </c>
      <c r="AO61" t="s">
        <v>68</v>
      </c>
      <c r="AP61" t="s">
        <v>69</v>
      </c>
      <c r="AQ61" t="s">
        <v>70</v>
      </c>
      <c r="AR61" t="s">
        <v>71</v>
      </c>
      <c r="AS61" t="s">
        <v>530</v>
      </c>
      <c r="AT61" t="s">
        <v>1046</v>
      </c>
    </row>
    <row r="62" spans="1:46" ht="15" customHeight="1" x14ac:dyDescent="0.2">
      <c r="A62">
        <v>1578</v>
      </c>
      <c r="B62" t="s">
        <v>1111</v>
      </c>
      <c r="C62" t="s">
        <v>472</v>
      </c>
      <c r="D62" t="s">
        <v>1099</v>
      </c>
      <c r="E62" t="s">
        <v>62</v>
      </c>
      <c r="F62" t="s">
        <v>63</v>
      </c>
      <c r="G62" t="s">
        <v>473</v>
      </c>
      <c r="H62" t="b">
        <f>FALSE()</f>
        <v>0</v>
      </c>
      <c r="I62" t="b">
        <f>FALSE()</f>
        <v>0</v>
      </c>
      <c r="J62" t="b">
        <f>FALSE()</f>
        <v>0</v>
      </c>
      <c r="K62" t="s">
        <v>65</v>
      </c>
      <c r="L62">
        <v>100</v>
      </c>
      <c r="M62">
        <v>210</v>
      </c>
      <c r="N62">
        <v>17</v>
      </c>
      <c r="O62">
        <v>1</v>
      </c>
      <c r="P62">
        <v>0.3</v>
      </c>
      <c r="Q62">
        <v>0</v>
      </c>
      <c r="R62">
        <v>15.5</v>
      </c>
      <c r="S62">
        <v>5.5</v>
      </c>
      <c r="T62">
        <v>7</v>
      </c>
      <c r="U62">
        <v>1.5</v>
      </c>
      <c r="V62">
        <v>0</v>
      </c>
      <c r="W62">
        <v>0.2</v>
      </c>
      <c r="X62">
        <v>380</v>
      </c>
      <c r="Y62">
        <v>250</v>
      </c>
      <c r="Z62">
        <v>15</v>
      </c>
      <c r="AA62">
        <v>20</v>
      </c>
      <c r="AB62">
        <v>1.5</v>
      </c>
      <c r="AC62">
        <v>2</v>
      </c>
      <c r="AD62">
        <v>0</v>
      </c>
      <c r="AE62">
        <v>10</v>
      </c>
      <c r="AF62">
        <v>0.2</v>
      </c>
      <c r="AG62">
        <v>0</v>
      </c>
      <c r="AH62">
        <v>0</v>
      </c>
      <c r="AI62">
        <v>0</v>
      </c>
      <c r="AJ62">
        <v>0</v>
      </c>
      <c r="AK62" t="s">
        <v>66</v>
      </c>
      <c r="AL62" t="s">
        <v>65</v>
      </c>
      <c r="AM62" t="s">
        <v>87</v>
      </c>
      <c r="AN62" t="s">
        <v>67</v>
      </c>
      <c r="AO62" t="s">
        <v>68</v>
      </c>
      <c r="AP62" t="s">
        <v>69</v>
      </c>
      <c r="AQ62" t="s">
        <v>70</v>
      </c>
      <c r="AR62" t="s">
        <v>71</v>
      </c>
      <c r="AS62" t="s">
        <v>530</v>
      </c>
      <c r="AT62" t="s">
        <v>1046</v>
      </c>
    </row>
    <row r="63" spans="1:46" ht="15" customHeight="1" x14ac:dyDescent="0.2">
      <c r="A63">
        <v>1579</v>
      </c>
      <c r="B63" t="s">
        <v>1112</v>
      </c>
      <c r="C63" t="s">
        <v>472</v>
      </c>
      <c r="D63" t="s">
        <v>1099</v>
      </c>
      <c r="E63" t="s">
        <v>62</v>
      </c>
      <c r="F63" t="s">
        <v>63</v>
      </c>
      <c r="G63" t="s">
        <v>473</v>
      </c>
      <c r="H63" t="b">
        <f>FALSE()</f>
        <v>0</v>
      </c>
      <c r="I63" t="b">
        <f>FALSE()</f>
        <v>0</v>
      </c>
      <c r="J63" t="b">
        <f>FALSE()</f>
        <v>0</v>
      </c>
      <c r="K63" t="s">
        <v>65</v>
      </c>
      <c r="L63">
        <v>100</v>
      </c>
      <c r="M63">
        <v>210</v>
      </c>
      <c r="N63">
        <v>17</v>
      </c>
      <c r="O63">
        <v>1</v>
      </c>
      <c r="P63">
        <v>0.3</v>
      </c>
      <c r="Q63">
        <v>0</v>
      </c>
      <c r="R63">
        <v>15.5</v>
      </c>
      <c r="S63">
        <v>5.5</v>
      </c>
      <c r="T63">
        <v>7</v>
      </c>
      <c r="U63">
        <v>1.5</v>
      </c>
      <c r="V63">
        <v>0</v>
      </c>
      <c r="W63">
        <v>0.2</v>
      </c>
      <c r="X63">
        <v>380</v>
      </c>
      <c r="Y63">
        <v>250</v>
      </c>
      <c r="Z63">
        <v>15</v>
      </c>
      <c r="AA63">
        <v>20</v>
      </c>
      <c r="AB63">
        <v>1.5</v>
      </c>
      <c r="AC63">
        <v>2</v>
      </c>
      <c r="AD63">
        <v>0</v>
      </c>
      <c r="AE63">
        <v>10</v>
      </c>
      <c r="AF63">
        <v>0.2</v>
      </c>
      <c r="AG63">
        <v>0</v>
      </c>
      <c r="AH63">
        <v>0</v>
      </c>
      <c r="AI63">
        <v>0</v>
      </c>
      <c r="AJ63">
        <v>0</v>
      </c>
      <c r="AK63" t="s">
        <v>66</v>
      </c>
      <c r="AL63" t="s">
        <v>65</v>
      </c>
      <c r="AM63" t="s">
        <v>87</v>
      </c>
      <c r="AN63" t="s">
        <v>67</v>
      </c>
      <c r="AO63" t="s">
        <v>68</v>
      </c>
      <c r="AP63" t="s">
        <v>69</v>
      </c>
      <c r="AQ63" t="s">
        <v>70</v>
      </c>
      <c r="AR63" t="s">
        <v>71</v>
      </c>
      <c r="AS63" t="s">
        <v>530</v>
      </c>
      <c r="AT63" t="s">
        <v>1046</v>
      </c>
    </row>
    <row r="64" spans="1:46" ht="15" customHeight="1" x14ac:dyDescent="0.2">
      <c r="A64">
        <v>1580</v>
      </c>
      <c r="B64" t="s">
        <v>1113</v>
      </c>
      <c r="C64" t="s">
        <v>472</v>
      </c>
      <c r="D64" t="s">
        <v>1099</v>
      </c>
      <c r="E64" t="s">
        <v>62</v>
      </c>
      <c r="F64" t="s">
        <v>63</v>
      </c>
      <c r="G64" t="s">
        <v>473</v>
      </c>
      <c r="H64" t="b">
        <f>FALSE()</f>
        <v>0</v>
      </c>
      <c r="I64" t="b">
        <f>FALSE()</f>
        <v>0</v>
      </c>
      <c r="J64" t="b">
        <f>FALSE()</f>
        <v>0</v>
      </c>
      <c r="K64" t="s">
        <v>65</v>
      </c>
      <c r="L64">
        <v>100</v>
      </c>
      <c r="M64">
        <v>210</v>
      </c>
      <c r="N64">
        <v>17</v>
      </c>
      <c r="O64">
        <v>1</v>
      </c>
      <c r="P64">
        <v>0.3</v>
      </c>
      <c r="Q64">
        <v>0</v>
      </c>
      <c r="R64">
        <v>15.5</v>
      </c>
      <c r="S64">
        <v>5.5</v>
      </c>
      <c r="T64">
        <v>7</v>
      </c>
      <c r="U64">
        <v>1.5</v>
      </c>
      <c r="V64">
        <v>0</v>
      </c>
      <c r="W64">
        <v>0.2</v>
      </c>
      <c r="X64">
        <v>380</v>
      </c>
      <c r="Y64">
        <v>250</v>
      </c>
      <c r="Z64">
        <v>15</v>
      </c>
      <c r="AA64">
        <v>20</v>
      </c>
      <c r="AB64">
        <v>1.5</v>
      </c>
      <c r="AC64">
        <v>2</v>
      </c>
      <c r="AD64">
        <v>0</v>
      </c>
      <c r="AE64">
        <v>10</v>
      </c>
      <c r="AF64">
        <v>0.2</v>
      </c>
      <c r="AG64">
        <v>0</v>
      </c>
      <c r="AH64">
        <v>0</v>
      </c>
      <c r="AI64">
        <v>0</v>
      </c>
      <c r="AJ64">
        <v>0</v>
      </c>
      <c r="AK64" t="s">
        <v>66</v>
      </c>
      <c r="AL64" t="s">
        <v>65</v>
      </c>
      <c r="AM64" t="s">
        <v>87</v>
      </c>
      <c r="AN64" t="s">
        <v>67</v>
      </c>
      <c r="AO64" t="s">
        <v>68</v>
      </c>
      <c r="AP64" t="s">
        <v>69</v>
      </c>
      <c r="AQ64" t="s">
        <v>70</v>
      </c>
      <c r="AR64" t="s">
        <v>71</v>
      </c>
      <c r="AS64" t="s">
        <v>530</v>
      </c>
      <c r="AT64" t="s">
        <v>1046</v>
      </c>
    </row>
    <row r="65" spans="1:46" ht="15" customHeight="1" x14ac:dyDescent="0.2">
      <c r="A65">
        <v>1581</v>
      </c>
      <c r="B65" t="s">
        <v>1114</v>
      </c>
      <c r="C65" t="s">
        <v>472</v>
      </c>
      <c r="D65" t="s">
        <v>1099</v>
      </c>
      <c r="E65" t="s">
        <v>458</v>
      </c>
      <c r="F65" t="s">
        <v>63</v>
      </c>
      <c r="G65" t="s">
        <v>473</v>
      </c>
      <c r="H65" t="b">
        <f>FALSE()</f>
        <v>0</v>
      </c>
      <c r="I65" t="b">
        <f>FALSE()</f>
        <v>0</v>
      </c>
      <c r="J65" t="b">
        <f>FALSE()</f>
        <v>0</v>
      </c>
      <c r="K65" t="s">
        <v>65</v>
      </c>
      <c r="L65">
        <v>100</v>
      </c>
      <c r="M65">
        <v>235.2</v>
      </c>
      <c r="N65">
        <v>18.36</v>
      </c>
      <c r="O65">
        <v>1</v>
      </c>
      <c r="P65">
        <v>0.3</v>
      </c>
      <c r="Q65">
        <v>0</v>
      </c>
      <c r="R65">
        <v>16.739999999999998</v>
      </c>
      <c r="S65">
        <v>5.94</v>
      </c>
      <c r="T65">
        <v>7.56</v>
      </c>
      <c r="U65">
        <v>1.62</v>
      </c>
      <c r="V65">
        <v>0</v>
      </c>
      <c r="W65">
        <v>0.2</v>
      </c>
      <c r="X65">
        <v>380</v>
      </c>
      <c r="Y65">
        <v>250</v>
      </c>
      <c r="Z65">
        <v>15</v>
      </c>
      <c r="AA65">
        <v>20</v>
      </c>
      <c r="AB65">
        <v>1.5</v>
      </c>
      <c r="AC65">
        <v>2</v>
      </c>
      <c r="AD65">
        <v>0</v>
      </c>
      <c r="AE65">
        <v>10</v>
      </c>
      <c r="AF65">
        <v>0.2</v>
      </c>
      <c r="AG65">
        <v>0</v>
      </c>
      <c r="AH65">
        <v>0</v>
      </c>
      <c r="AI65">
        <v>0</v>
      </c>
      <c r="AJ65">
        <v>0</v>
      </c>
      <c r="AK65" t="s">
        <v>66</v>
      </c>
      <c r="AL65" t="s">
        <v>65</v>
      </c>
      <c r="AM65" t="s">
        <v>87</v>
      </c>
      <c r="AN65" t="s">
        <v>67</v>
      </c>
      <c r="AO65" t="s">
        <v>68</v>
      </c>
      <c r="AP65" t="s">
        <v>69</v>
      </c>
      <c r="AQ65" t="s">
        <v>70</v>
      </c>
      <c r="AR65" t="s">
        <v>71</v>
      </c>
      <c r="AS65" t="s">
        <v>530</v>
      </c>
      <c r="AT65" t="s">
        <v>1046</v>
      </c>
    </row>
    <row r="66" spans="1:46" ht="15" customHeight="1" x14ac:dyDescent="0.2">
      <c r="A66">
        <v>1582</v>
      </c>
      <c r="B66" t="s">
        <v>1115</v>
      </c>
      <c r="C66" t="s">
        <v>472</v>
      </c>
      <c r="D66" t="s">
        <v>1099</v>
      </c>
      <c r="E66" t="s">
        <v>458</v>
      </c>
      <c r="F66" t="s">
        <v>63</v>
      </c>
      <c r="G66" t="s">
        <v>473</v>
      </c>
      <c r="H66" t="b">
        <f>FALSE()</f>
        <v>0</v>
      </c>
      <c r="I66" t="b">
        <f>FALSE()</f>
        <v>0</v>
      </c>
      <c r="J66" t="b">
        <f>FALSE()</f>
        <v>0</v>
      </c>
      <c r="K66" t="s">
        <v>65</v>
      </c>
      <c r="L66">
        <v>100</v>
      </c>
      <c r="M66">
        <v>235.2</v>
      </c>
      <c r="N66">
        <v>18.36</v>
      </c>
      <c r="O66">
        <v>1</v>
      </c>
      <c r="P66">
        <v>0.3</v>
      </c>
      <c r="Q66">
        <v>0</v>
      </c>
      <c r="R66">
        <v>16.739999999999998</v>
      </c>
      <c r="S66">
        <v>5.94</v>
      </c>
      <c r="T66">
        <v>7.56</v>
      </c>
      <c r="U66">
        <v>1.62</v>
      </c>
      <c r="V66">
        <v>0</v>
      </c>
      <c r="W66">
        <v>0.2</v>
      </c>
      <c r="X66">
        <v>380</v>
      </c>
      <c r="Y66">
        <v>250</v>
      </c>
      <c r="Z66">
        <v>15</v>
      </c>
      <c r="AA66">
        <v>20</v>
      </c>
      <c r="AB66">
        <v>1.5</v>
      </c>
      <c r="AC66">
        <v>2</v>
      </c>
      <c r="AD66">
        <v>0</v>
      </c>
      <c r="AE66">
        <v>10</v>
      </c>
      <c r="AF66">
        <v>0.2</v>
      </c>
      <c r="AG66">
        <v>0</v>
      </c>
      <c r="AH66">
        <v>0</v>
      </c>
      <c r="AI66">
        <v>0</v>
      </c>
      <c r="AJ66">
        <v>0</v>
      </c>
      <c r="AK66" t="s">
        <v>66</v>
      </c>
      <c r="AL66" t="s">
        <v>65</v>
      </c>
      <c r="AM66" t="s">
        <v>87</v>
      </c>
      <c r="AN66" t="s">
        <v>67</v>
      </c>
      <c r="AO66" t="s">
        <v>68</v>
      </c>
      <c r="AP66" t="s">
        <v>69</v>
      </c>
      <c r="AQ66" t="s">
        <v>70</v>
      </c>
      <c r="AR66" t="s">
        <v>71</v>
      </c>
      <c r="AS66" t="s">
        <v>530</v>
      </c>
      <c r="AT66" t="s">
        <v>1046</v>
      </c>
    </row>
    <row r="67" spans="1:46" ht="15" customHeight="1" x14ac:dyDescent="0.2">
      <c r="A67">
        <v>1583</v>
      </c>
      <c r="B67" t="s">
        <v>1116</v>
      </c>
      <c r="C67" t="s">
        <v>472</v>
      </c>
      <c r="D67" t="s">
        <v>1099</v>
      </c>
      <c r="E67" t="s">
        <v>458</v>
      </c>
      <c r="F67" t="s">
        <v>63</v>
      </c>
      <c r="G67" t="s">
        <v>473</v>
      </c>
      <c r="H67" t="b">
        <f>FALSE()</f>
        <v>0</v>
      </c>
      <c r="I67" t="b">
        <f>FALSE()</f>
        <v>0</v>
      </c>
      <c r="J67" t="b">
        <f>FALSE()</f>
        <v>0</v>
      </c>
      <c r="K67" t="s">
        <v>65</v>
      </c>
      <c r="L67">
        <v>100</v>
      </c>
      <c r="M67">
        <v>235.2</v>
      </c>
      <c r="N67">
        <v>18.36</v>
      </c>
      <c r="O67">
        <v>1</v>
      </c>
      <c r="P67">
        <v>0.3</v>
      </c>
      <c r="Q67">
        <v>0</v>
      </c>
      <c r="R67">
        <v>16.739999999999998</v>
      </c>
      <c r="S67">
        <v>5.94</v>
      </c>
      <c r="T67">
        <v>7.56</v>
      </c>
      <c r="U67">
        <v>1.62</v>
      </c>
      <c r="V67">
        <v>0</v>
      </c>
      <c r="W67">
        <v>0.2</v>
      </c>
      <c r="X67">
        <v>380</v>
      </c>
      <c r="Y67">
        <v>250</v>
      </c>
      <c r="Z67">
        <v>15</v>
      </c>
      <c r="AA67">
        <v>20</v>
      </c>
      <c r="AB67">
        <v>1.5</v>
      </c>
      <c r="AC67">
        <v>2</v>
      </c>
      <c r="AD67">
        <v>0</v>
      </c>
      <c r="AE67">
        <v>10</v>
      </c>
      <c r="AF67">
        <v>0.2</v>
      </c>
      <c r="AG67">
        <v>0</v>
      </c>
      <c r="AH67">
        <v>0</v>
      </c>
      <c r="AI67">
        <v>0</v>
      </c>
      <c r="AJ67">
        <v>0</v>
      </c>
      <c r="AK67" t="s">
        <v>66</v>
      </c>
      <c r="AL67" t="s">
        <v>65</v>
      </c>
      <c r="AM67" t="s">
        <v>87</v>
      </c>
      <c r="AN67" t="s">
        <v>67</v>
      </c>
      <c r="AO67" t="s">
        <v>68</v>
      </c>
      <c r="AP67" t="s">
        <v>69</v>
      </c>
      <c r="AQ67" t="s">
        <v>70</v>
      </c>
      <c r="AR67" t="s">
        <v>71</v>
      </c>
      <c r="AS67" t="s">
        <v>530</v>
      </c>
      <c r="AT67" t="s">
        <v>1046</v>
      </c>
    </row>
    <row r="68" spans="1:46" ht="15" customHeight="1" x14ac:dyDescent="0.2">
      <c r="A68">
        <v>1584</v>
      </c>
      <c r="B68" t="s">
        <v>1117</v>
      </c>
      <c r="C68" t="s">
        <v>472</v>
      </c>
      <c r="D68" t="s">
        <v>1099</v>
      </c>
      <c r="E68" t="s">
        <v>62</v>
      </c>
      <c r="F68" t="s">
        <v>63</v>
      </c>
      <c r="G68" t="s">
        <v>473</v>
      </c>
      <c r="H68" t="b">
        <f>TRUE()</f>
        <v>1</v>
      </c>
      <c r="I68" t="b">
        <f>FALSE()</f>
        <v>0</v>
      </c>
      <c r="J68" t="b">
        <f>FALSE()</f>
        <v>0</v>
      </c>
      <c r="K68" t="s">
        <v>65</v>
      </c>
      <c r="L68">
        <v>100</v>
      </c>
      <c r="M68">
        <v>135</v>
      </c>
      <c r="N68">
        <v>18</v>
      </c>
      <c r="O68">
        <v>1</v>
      </c>
      <c r="P68">
        <v>0.3</v>
      </c>
      <c r="Q68">
        <v>0</v>
      </c>
      <c r="R68">
        <v>6.5</v>
      </c>
      <c r="S68">
        <v>1.8</v>
      </c>
      <c r="T68">
        <v>2.5</v>
      </c>
      <c r="U68">
        <v>1.4</v>
      </c>
      <c r="V68">
        <v>0</v>
      </c>
      <c r="W68">
        <v>0.2</v>
      </c>
      <c r="X68">
        <v>370</v>
      </c>
      <c r="Y68">
        <v>250</v>
      </c>
      <c r="Z68">
        <v>15</v>
      </c>
      <c r="AA68">
        <v>20</v>
      </c>
      <c r="AB68">
        <v>1.5</v>
      </c>
      <c r="AC68">
        <v>2</v>
      </c>
      <c r="AD68">
        <v>0</v>
      </c>
      <c r="AE68">
        <v>10</v>
      </c>
      <c r="AF68">
        <v>0.2</v>
      </c>
      <c r="AG68">
        <v>0</v>
      </c>
      <c r="AH68">
        <v>0</v>
      </c>
      <c r="AI68">
        <v>0</v>
      </c>
      <c r="AJ68">
        <v>0</v>
      </c>
      <c r="AK68" t="s">
        <v>66</v>
      </c>
      <c r="AL68" t="s">
        <v>65</v>
      </c>
      <c r="AM68" t="s">
        <v>87</v>
      </c>
      <c r="AN68" t="s">
        <v>67</v>
      </c>
      <c r="AO68" t="s">
        <v>68</v>
      </c>
      <c r="AP68" t="s">
        <v>69</v>
      </c>
      <c r="AQ68" t="s">
        <v>70</v>
      </c>
      <c r="AR68" t="s">
        <v>71</v>
      </c>
      <c r="AS68" t="s">
        <v>530</v>
      </c>
      <c r="AT68" t="s">
        <v>1046</v>
      </c>
    </row>
    <row r="69" spans="1:46" ht="15" customHeight="1" x14ac:dyDescent="0.2">
      <c r="A69">
        <v>1585</v>
      </c>
      <c r="B69" t="s">
        <v>1118</v>
      </c>
      <c r="C69" t="s">
        <v>472</v>
      </c>
      <c r="D69" t="s">
        <v>1099</v>
      </c>
      <c r="E69" t="s">
        <v>62</v>
      </c>
      <c r="F69" t="s">
        <v>63</v>
      </c>
      <c r="G69" t="s">
        <v>473</v>
      </c>
      <c r="H69" t="b">
        <f>TRUE()</f>
        <v>1</v>
      </c>
      <c r="I69" t="b">
        <f>FALSE()</f>
        <v>0</v>
      </c>
      <c r="J69" t="b">
        <f>FALSE()</f>
        <v>0</v>
      </c>
      <c r="K69" t="s">
        <v>65</v>
      </c>
      <c r="L69">
        <v>100</v>
      </c>
      <c r="M69">
        <v>135</v>
      </c>
      <c r="N69">
        <v>18</v>
      </c>
      <c r="O69">
        <v>1</v>
      </c>
      <c r="P69">
        <v>0.3</v>
      </c>
      <c r="Q69">
        <v>0</v>
      </c>
      <c r="R69">
        <v>6.5</v>
      </c>
      <c r="S69">
        <v>1.8</v>
      </c>
      <c r="T69">
        <v>2.5</v>
      </c>
      <c r="U69">
        <v>1.4</v>
      </c>
      <c r="V69">
        <v>0</v>
      </c>
      <c r="W69">
        <v>0.2</v>
      </c>
      <c r="X69">
        <v>370</v>
      </c>
      <c r="Y69">
        <v>250</v>
      </c>
      <c r="Z69">
        <v>15</v>
      </c>
      <c r="AA69">
        <v>20</v>
      </c>
      <c r="AB69">
        <v>1.5</v>
      </c>
      <c r="AC69">
        <v>2</v>
      </c>
      <c r="AD69">
        <v>0</v>
      </c>
      <c r="AE69">
        <v>10</v>
      </c>
      <c r="AF69">
        <v>0.2</v>
      </c>
      <c r="AG69">
        <v>0</v>
      </c>
      <c r="AH69">
        <v>0</v>
      </c>
      <c r="AI69">
        <v>0</v>
      </c>
      <c r="AJ69">
        <v>0</v>
      </c>
      <c r="AK69" t="s">
        <v>66</v>
      </c>
      <c r="AL69" t="s">
        <v>65</v>
      </c>
      <c r="AM69" t="s">
        <v>87</v>
      </c>
      <c r="AN69" t="s">
        <v>67</v>
      </c>
      <c r="AO69" t="s">
        <v>68</v>
      </c>
      <c r="AP69" t="s">
        <v>69</v>
      </c>
      <c r="AQ69" t="s">
        <v>70</v>
      </c>
      <c r="AR69" t="s">
        <v>71</v>
      </c>
      <c r="AS69" t="s">
        <v>530</v>
      </c>
      <c r="AT69" t="s">
        <v>1046</v>
      </c>
    </row>
    <row r="70" spans="1:46" ht="15" customHeight="1" x14ac:dyDescent="0.2">
      <c r="A70">
        <v>1586</v>
      </c>
      <c r="B70" t="s">
        <v>1119</v>
      </c>
      <c r="C70" t="s">
        <v>472</v>
      </c>
      <c r="D70" t="s">
        <v>1099</v>
      </c>
      <c r="E70" t="s">
        <v>62</v>
      </c>
      <c r="F70" t="s">
        <v>63</v>
      </c>
      <c r="G70" t="s">
        <v>473</v>
      </c>
      <c r="H70" t="b">
        <f>TRUE()</f>
        <v>1</v>
      </c>
      <c r="I70" t="b">
        <f>FALSE()</f>
        <v>0</v>
      </c>
      <c r="J70" t="b">
        <f>FALSE()</f>
        <v>0</v>
      </c>
      <c r="K70" t="s">
        <v>65</v>
      </c>
      <c r="L70">
        <v>100</v>
      </c>
      <c r="M70">
        <v>135</v>
      </c>
      <c r="N70">
        <v>18</v>
      </c>
      <c r="O70">
        <v>1</v>
      </c>
      <c r="P70">
        <v>0.3</v>
      </c>
      <c r="Q70">
        <v>0</v>
      </c>
      <c r="R70">
        <v>6.5</v>
      </c>
      <c r="S70">
        <v>1.8</v>
      </c>
      <c r="T70">
        <v>2.5</v>
      </c>
      <c r="U70">
        <v>1.4</v>
      </c>
      <c r="V70">
        <v>0</v>
      </c>
      <c r="W70">
        <v>0.2</v>
      </c>
      <c r="X70">
        <v>370</v>
      </c>
      <c r="Y70">
        <v>250</v>
      </c>
      <c r="Z70">
        <v>15</v>
      </c>
      <c r="AA70">
        <v>20</v>
      </c>
      <c r="AB70">
        <v>1.5</v>
      </c>
      <c r="AC70">
        <v>2</v>
      </c>
      <c r="AD70">
        <v>0</v>
      </c>
      <c r="AE70">
        <v>10</v>
      </c>
      <c r="AF70">
        <v>0.2</v>
      </c>
      <c r="AG70">
        <v>0</v>
      </c>
      <c r="AH70">
        <v>0</v>
      </c>
      <c r="AI70">
        <v>0</v>
      </c>
      <c r="AJ70">
        <v>0</v>
      </c>
      <c r="AK70" t="s">
        <v>66</v>
      </c>
      <c r="AL70" t="s">
        <v>65</v>
      </c>
      <c r="AM70" t="s">
        <v>87</v>
      </c>
      <c r="AN70" t="s">
        <v>67</v>
      </c>
      <c r="AO70" t="s">
        <v>68</v>
      </c>
      <c r="AP70" t="s">
        <v>69</v>
      </c>
      <c r="AQ70" t="s">
        <v>70</v>
      </c>
      <c r="AR70" t="s">
        <v>71</v>
      </c>
      <c r="AS70" t="s">
        <v>530</v>
      </c>
      <c r="AT70" t="s">
        <v>1046</v>
      </c>
    </row>
    <row r="71" spans="1:46" ht="15" customHeight="1" x14ac:dyDescent="0.2">
      <c r="A71">
        <v>1587</v>
      </c>
      <c r="B71" t="s">
        <v>1120</v>
      </c>
      <c r="C71" t="s">
        <v>472</v>
      </c>
      <c r="D71" t="s">
        <v>1099</v>
      </c>
      <c r="E71" t="s">
        <v>458</v>
      </c>
      <c r="F71" t="s">
        <v>63</v>
      </c>
      <c r="G71" t="s">
        <v>473</v>
      </c>
      <c r="H71" t="b">
        <f>TRUE()</f>
        <v>1</v>
      </c>
      <c r="I71" t="b">
        <f>FALSE()</f>
        <v>0</v>
      </c>
      <c r="J71" t="b">
        <f>FALSE()</f>
        <v>0</v>
      </c>
      <c r="K71" t="s">
        <v>65</v>
      </c>
      <c r="L71">
        <v>100</v>
      </c>
      <c r="M71">
        <v>151.19999999999999</v>
      </c>
      <c r="N71">
        <v>19.440000000000001</v>
      </c>
      <c r="O71">
        <v>1</v>
      </c>
      <c r="P71">
        <v>0.3</v>
      </c>
      <c r="Q71">
        <v>0</v>
      </c>
      <c r="R71">
        <v>7.02</v>
      </c>
      <c r="S71">
        <v>1.94</v>
      </c>
      <c r="T71">
        <v>2.7</v>
      </c>
      <c r="U71">
        <v>1.51</v>
      </c>
      <c r="V71">
        <v>0</v>
      </c>
      <c r="W71">
        <v>0.2</v>
      </c>
      <c r="X71">
        <v>370</v>
      </c>
      <c r="Y71">
        <v>250</v>
      </c>
      <c r="Z71">
        <v>15</v>
      </c>
      <c r="AA71">
        <v>20</v>
      </c>
      <c r="AB71">
        <v>1.5</v>
      </c>
      <c r="AC71">
        <v>2</v>
      </c>
      <c r="AD71">
        <v>0</v>
      </c>
      <c r="AE71">
        <v>10</v>
      </c>
      <c r="AF71">
        <v>0.2</v>
      </c>
      <c r="AG71">
        <v>0</v>
      </c>
      <c r="AH71">
        <v>0</v>
      </c>
      <c r="AI71">
        <v>0</v>
      </c>
      <c r="AJ71">
        <v>0</v>
      </c>
      <c r="AK71" t="s">
        <v>66</v>
      </c>
      <c r="AL71" t="s">
        <v>65</v>
      </c>
      <c r="AM71" t="s">
        <v>87</v>
      </c>
      <c r="AN71" t="s">
        <v>67</v>
      </c>
      <c r="AO71" t="s">
        <v>68</v>
      </c>
      <c r="AP71" t="s">
        <v>69</v>
      </c>
      <c r="AQ71" t="s">
        <v>70</v>
      </c>
      <c r="AR71" t="s">
        <v>71</v>
      </c>
      <c r="AS71" t="s">
        <v>530</v>
      </c>
      <c r="AT71" t="s">
        <v>1046</v>
      </c>
    </row>
    <row r="72" spans="1:46" ht="15" customHeight="1" x14ac:dyDescent="0.2">
      <c r="A72">
        <v>1588</v>
      </c>
      <c r="B72" t="s">
        <v>1121</v>
      </c>
      <c r="C72" t="s">
        <v>472</v>
      </c>
      <c r="D72" t="s">
        <v>1099</v>
      </c>
      <c r="E72" t="s">
        <v>458</v>
      </c>
      <c r="F72" t="s">
        <v>63</v>
      </c>
      <c r="G72" t="s">
        <v>473</v>
      </c>
      <c r="H72" t="b">
        <f>TRUE()</f>
        <v>1</v>
      </c>
      <c r="I72" t="b">
        <f>FALSE()</f>
        <v>0</v>
      </c>
      <c r="J72" t="b">
        <f>FALSE()</f>
        <v>0</v>
      </c>
      <c r="K72" t="s">
        <v>65</v>
      </c>
      <c r="L72">
        <v>100</v>
      </c>
      <c r="M72">
        <v>151.19999999999999</v>
      </c>
      <c r="N72">
        <v>19.440000000000001</v>
      </c>
      <c r="O72">
        <v>1</v>
      </c>
      <c r="P72">
        <v>0.3</v>
      </c>
      <c r="Q72">
        <v>0</v>
      </c>
      <c r="R72">
        <v>7.02</v>
      </c>
      <c r="S72">
        <v>1.94</v>
      </c>
      <c r="T72">
        <v>2.7</v>
      </c>
      <c r="U72">
        <v>1.51</v>
      </c>
      <c r="V72">
        <v>0</v>
      </c>
      <c r="W72">
        <v>0.2</v>
      </c>
      <c r="X72">
        <v>370</v>
      </c>
      <c r="Y72">
        <v>250</v>
      </c>
      <c r="Z72">
        <v>15</v>
      </c>
      <c r="AA72">
        <v>20</v>
      </c>
      <c r="AB72">
        <v>1.5</v>
      </c>
      <c r="AC72">
        <v>2</v>
      </c>
      <c r="AD72">
        <v>0</v>
      </c>
      <c r="AE72">
        <v>10</v>
      </c>
      <c r="AF72">
        <v>0.2</v>
      </c>
      <c r="AG72">
        <v>0</v>
      </c>
      <c r="AH72">
        <v>0</v>
      </c>
      <c r="AI72">
        <v>0</v>
      </c>
      <c r="AJ72">
        <v>0</v>
      </c>
      <c r="AK72" t="s">
        <v>66</v>
      </c>
      <c r="AL72" t="s">
        <v>65</v>
      </c>
      <c r="AM72" t="s">
        <v>87</v>
      </c>
      <c r="AN72" t="s">
        <v>67</v>
      </c>
      <c r="AO72" t="s">
        <v>68</v>
      </c>
      <c r="AP72" t="s">
        <v>69</v>
      </c>
      <c r="AQ72" t="s">
        <v>70</v>
      </c>
      <c r="AR72" t="s">
        <v>71</v>
      </c>
      <c r="AS72" t="s">
        <v>530</v>
      </c>
      <c r="AT72" t="s">
        <v>1046</v>
      </c>
    </row>
    <row r="73" spans="1:46" ht="15" customHeight="1" x14ac:dyDescent="0.2">
      <c r="A73">
        <v>1589</v>
      </c>
      <c r="B73" t="s">
        <v>1122</v>
      </c>
      <c r="C73" t="s">
        <v>472</v>
      </c>
      <c r="D73" t="s">
        <v>1099</v>
      </c>
      <c r="E73" t="s">
        <v>458</v>
      </c>
      <c r="F73" t="s">
        <v>63</v>
      </c>
      <c r="G73" t="s">
        <v>473</v>
      </c>
      <c r="H73" t="b">
        <f>TRUE()</f>
        <v>1</v>
      </c>
      <c r="I73" t="b">
        <f>FALSE()</f>
        <v>0</v>
      </c>
      <c r="J73" t="b">
        <f>FALSE()</f>
        <v>0</v>
      </c>
      <c r="K73" t="s">
        <v>65</v>
      </c>
      <c r="L73">
        <v>100</v>
      </c>
      <c r="M73">
        <v>151.19999999999999</v>
      </c>
      <c r="N73">
        <v>19.440000000000001</v>
      </c>
      <c r="O73">
        <v>1</v>
      </c>
      <c r="P73">
        <v>0.3</v>
      </c>
      <c r="Q73">
        <v>0</v>
      </c>
      <c r="R73">
        <v>7.02</v>
      </c>
      <c r="S73">
        <v>1.94</v>
      </c>
      <c r="T73">
        <v>2.7</v>
      </c>
      <c r="U73">
        <v>1.51</v>
      </c>
      <c r="V73">
        <v>0</v>
      </c>
      <c r="W73">
        <v>0.2</v>
      </c>
      <c r="X73">
        <v>370</v>
      </c>
      <c r="Y73">
        <v>250</v>
      </c>
      <c r="Z73">
        <v>15</v>
      </c>
      <c r="AA73">
        <v>20</v>
      </c>
      <c r="AB73">
        <v>1.5</v>
      </c>
      <c r="AC73">
        <v>2</v>
      </c>
      <c r="AD73">
        <v>0</v>
      </c>
      <c r="AE73">
        <v>10</v>
      </c>
      <c r="AF73">
        <v>0.2</v>
      </c>
      <c r="AG73">
        <v>0</v>
      </c>
      <c r="AH73">
        <v>0</v>
      </c>
      <c r="AI73">
        <v>0</v>
      </c>
      <c r="AJ73">
        <v>0</v>
      </c>
      <c r="AK73" t="s">
        <v>66</v>
      </c>
      <c r="AL73" t="s">
        <v>65</v>
      </c>
      <c r="AM73" t="s">
        <v>87</v>
      </c>
      <c r="AN73" t="s">
        <v>67</v>
      </c>
      <c r="AO73" t="s">
        <v>68</v>
      </c>
      <c r="AP73" t="s">
        <v>69</v>
      </c>
      <c r="AQ73" t="s">
        <v>70</v>
      </c>
      <c r="AR73" t="s">
        <v>71</v>
      </c>
      <c r="AS73" t="s">
        <v>530</v>
      </c>
      <c r="AT73" t="s">
        <v>1046</v>
      </c>
    </row>
    <row r="74" spans="1:46" ht="15" customHeight="1" x14ac:dyDescent="0.2">
      <c r="A74">
        <v>1590</v>
      </c>
      <c r="B74" t="s">
        <v>1123</v>
      </c>
      <c r="C74" t="s">
        <v>472</v>
      </c>
      <c r="D74" t="s">
        <v>1099</v>
      </c>
      <c r="E74" t="s">
        <v>62</v>
      </c>
      <c r="F74" t="s">
        <v>63</v>
      </c>
      <c r="G74" t="s">
        <v>473</v>
      </c>
      <c r="H74" t="b">
        <f>TRUE()</f>
        <v>1</v>
      </c>
      <c r="I74" t="b">
        <f>FALSE()</f>
        <v>0</v>
      </c>
      <c r="J74" t="b">
        <f>TRUE()</f>
        <v>1</v>
      </c>
      <c r="K74" t="s">
        <v>65</v>
      </c>
      <c r="L74">
        <v>100</v>
      </c>
      <c r="M74">
        <v>120</v>
      </c>
      <c r="N74">
        <v>5</v>
      </c>
      <c r="O74">
        <v>12</v>
      </c>
      <c r="P74">
        <v>1.5</v>
      </c>
      <c r="Q74">
        <v>0</v>
      </c>
      <c r="R74">
        <v>5.5</v>
      </c>
      <c r="S74">
        <v>0.8</v>
      </c>
      <c r="T74">
        <v>2.5</v>
      </c>
      <c r="U74">
        <v>1.8</v>
      </c>
      <c r="V74">
        <v>0</v>
      </c>
      <c r="W74">
        <v>3</v>
      </c>
      <c r="X74">
        <v>420</v>
      </c>
      <c r="Y74">
        <v>250</v>
      </c>
      <c r="Z74">
        <v>15</v>
      </c>
      <c r="AA74">
        <v>20</v>
      </c>
      <c r="AB74">
        <v>1.5</v>
      </c>
      <c r="AC74">
        <v>2</v>
      </c>
      <c r="AD74">
        <v>0</v>
      </c>
      <c r="AE74">
        <v>10</v>
      </c>
      <c r="AF74">
        <v>0.2</v>
      </c>
      <c r="AG74">
        <v>0</v>
      </c>
      <c r="AH74">
        <v>0</v>
      </c>
      <c r="AI74">
        <v>0</v>
      </c>
      <c r="AJ74">
        <v>0</v>
      </c>
      <c r="AK74" t="s">
        <v>66</v>
      </c>
      <c r="AL74" t="s">
        <v>65</v>
      </c>
      <c r="AM74" t="s">
        <v>87</v>
      </c>
      <c r="AN74" t="s">
        <v>67</v>
      </c>
      <c r="AO74" t="s">
        <v>68</v>
      </c>
      <c r="AP74" t="s">
        <v>69</v>
      </c>
      <c r="AQ74" t="s">
        <v>70</v>
      </c>
      <c r="AR74" t="s">
        <v>71</v>
      </c>
      <c r="AS74" t="s">
        <v>530</v>
      </c>
      <c r="AT74" t="s">
        <v>1046</v>
      </c>
    </row>
    <row r="75" spans="1:46" ht="15" customHeight="1" x14ac:dyDescent="0.2">
      <c r="A75">
        <v>1591</v>
      </c>
      <c r="B75" t="s">
        <v>1124</v>
      </c>
      <c r="C75" t="s">
        <v>472</v>
      </c>
      <c r="D75" t="s">
        <v>1099</v>
      </c>
      <c r="E75" t="s">
        <v>62</v>
      </c>
      <c r="F75" t="s">
        <v>63</v>
      </c>
      <c r="G75" t="s">
        <v>473</v>
      </c>
      <c r="H75" t="b">
        <f>TRUE()</f>
        <v>1</v>
      </c>
      <c r="I75" t="b">
        <f>FALSE()</f>
        <v>0</v>
      </c>
      <c r="J75" t="b">
        <f>TRUE()</f>
        <v>1</v>
      </c>
      <c r="K75" t="s">
        <v>65</v>
      </c>
      <c r="L75">
        <v>100</v>
      </c>
      <c r="M75">
        <v>120</v>
      </c>
      <c r="N75">
        <v>5</v>
      </c>
      <c r="O75">
        <v>12</v>
      </c>
      <c r="P75">
        <v>1.5</v>
      </c>
      <c r="Q75">
        <v>0</v>
      </c>
      <c r="R75">
        <v>5.5</v>
      </c>
      <c r="S75">
        <v>0.8</v>
      </c>
      <c r="T75">
        <v>2.5</v>
      </c>
      <c r="U75">
        <v>1.8</v>
      </c>
      <c r="V75">
        <v>0</v>
      </c>
      <c r="W75">
        <v>3</v>
      </c>
      <c r="X75">
        <v>420</v>
      </c>
      <c r="Y75">
        <v>250</v>
      </c>
      <c r="Z75">
        <v>15</v>
      </c>
      <c r="AA75">
        <v>20</v>
      </c>
      <c r="AB75">
        <v>1.5</v>
      </c>
      <c r="AC75">
        <v>2</v>
      </c>
      <c r="AD75">
        <v>0</v>
      </c>
      <c r="AE75">
        <v>10</v>
      </c>
      <c r="AF75">
        <v>0.2</v>
      </c>
      <c r="AG75">
        <v>0</v>
      </c>
      <c r="AH75">
        <v>0</v>
      </c>
      <c r="AI75">
        <v>0</v>
      </c>
      <c r="AJ75">
        <v>0</v>
      </c>
      <c r="AK75" t="s">
        <v>66</v>
      </c>
      <c r="AL75" t="s">
        <v>65</v>
      </c>
      <c r="AM75" t="s">
        <v>87</v>
      </c>
      <c r="AN75" t="s">
        <v>67</v>
      </c>
      <c r="AO75" t="s">
        <v>68</v>
      </c>
      <c r="AP75" t="s">
        <v>69</v>
      </c>
      <c r="AQ75" t="s">
        <v>70</v>
      </c>
      <c r="AR75" t="s">
        <v>71</v>
      </c>
      <c r="AS75" t="s">
        <v>530</v>
      </c>
      <c r="AT75" t="s">
        <v>1046</v>
      </c>
    </row>
    <row r="76" spans="1:46" ht="15" customHeight="1" x14ac:dyDescent="0.2">
      <c r="A76">
        <v>1592</v>
      </c>
      <c r="B76" t="s">
        <v>1125</v>
      </c>
      <c r="C76" t="s">
        <v>472</v>
      </c>
      <c r="D76" t="s">
        <v>1099</v>
      </c>
      <c r="E76" t="s">
        <v>62</v>
      </c>
      <c r="F76" t="s">
        <v>63</v>
      </c>
      <c r="G76" t="s">
        <v>473</v>
      </c>
      <c r="H76" t="b">
        <f>TRUE()</f>
        <v>1</v>
      </c>
      <c r="I76" t="b">
        <f>FALSE()</f>
        <v>0</v>
      </c>
      <c r="J76" t="b">
        <f>TRUE()</f>
        <v>1</v>
      </c>
      <c r="K76" t="s">
        <v>65</v>
      </c>
      <c r="L76">
        <v>100</v>
      </c>
      <c r="M76">
        <v>120</v>
      </c>
      <c r="N76">
        <v>5</v>
      </c>
      <c r="O76">
        <v>12</v>
      </c>
      <c r="P76">
        <v>1.5</v>
      </c>
      <c r="Q76">
        <v>0</v>
      </c>
      <c r="R76">
        <v>5.5</v>
      </c>
      <c r="S76">
        <v>0.8</v>
      </c>
      <c r="T76">
        <v>2.5</v>
      </c>
      <c r="U76">
        <v>1.8</v>
      </c>
      <c r="V76">
        <v>0</v>
      </c>
      <c r="W76">
        <v>3</v>
      </c>
      <c r="X76">
        <v>420</v>
      </c>
      <c r="Y76">
        <v>250</v>
      </c>
      <c r="Z76">
        <v>15</v>
      </c>
      <c r="AA76">
        <v>20</v>
      </c>
      <c r="AB76">
        <v>1.5</v>
      </c>
      <c r="AC76">
        <v>2</v>
      </c>
      <c r="AD76">
        <v>0</v>
      </c>
      <c r="AE76">
        <v>10</v>
      </c>
      <c r="AF76">
        <v>0.2</v>
      </c>
      <c r="AG76">
        <v>0</v>
      </c>
      <c r="AH76">
        <v>0</v>
      </c>
      <c r="AI76">
        <v>0</v>
      </c>
      <c r="AJ76">
        <v>0</v>
      </c>
      <c r="AK76" t="s">
        <v>66</v>
      </c>
      <c r="AL76" t="s">
        <v>65</v>
      </c>
      <c r="AM76" t="s">
        <v>87</v>
      </c>
      <c r="AN76" t="s">
        <v>67</v>
      </c>
      <c r="AO76" t="s">
        <v>68</v>
      </c>
      <c r="AP76" t="s">
        <v>69</v>
      </c>
      <c r="AQ76" t="s">
        <v>70</v>
      </c>
      <c r="AR76" t="s">
        <v>71</v>
      </c>
      <c r="AS76" t="s">
        <v>530</v>
      </c>
      <c r="AT76" t="s">
        <v>1046</v>
      </c>
    </row>
    <row r="77" spans="1:46" ht="15" customHeight="1" x14ac:dyDescent="0.2">
      <c r="A77">
        <v>1593</v>
      </c>
      <c r="B77" t="s">
        <v>1126</v>
      </c>
      <c r="C77" t="s">
        <v>472</v>
      </c>
      <c r="D77" t="s">
        <v>1099</v>
      </c>
      <c r="E77" t="s">
        <v>458</v>
      </c>
      <c r="F77" t="s">
        <v>63</v>
      </c>
      <c r="G77" t="s">
        <v>473</v>
      </c>
      <c r="H77" t="b">
        <f>TRUE()</f>
        <v>1</v>
      </c>
      <c r="I77" t="b">
        <f>FALSE()</f>
        <v>0</v>
      </c>
      <c r="J77" t="b">
        <f>TRUE()</f>
        <v>1</v>
      </c>
      <c r="K77" t="s">
        <v>65</v>
      </c>
      <c r="L77">
        <v>100</v>
      </c>
      <c r="M77">
        <v>134.4</v>
      </c>
      <c r="N77">
        <v>5.4</v>
      </c>
      <c r="O77">
        <v>12</v>
      </c>
      <c r="P77">
        <v>1.5</v>
      </c>
      <c r="Q77">
        <v>0</v>
      </c>
      <c r="R77">
        <v>5.94</v>
      </c>
      <c r="S77">
        <v>0.86</v>
      </c>
      <c r="T77">
        <v>2.7</v>
      </c>
      <c r="U77">
        <v>1.94</v>
      </c>
      <c r="V77">
        <v>0</v>
      </c>
      <c r="W77">
        <v>3</v>
      </c>
      <c r="X77">
        <v>420</v>
      </c>
      <c r="Y77">
        <v>250</v>
      </c>
      <c r="Z77">
        <v>15</v>
      </c>
      <c r="AA77">
        <v>20</v>
      </c>
      <c r="AB77">
        <v>1.5</v>
      </c>
      <c r="AC77">
        <v>2</v>
      </c>
      <c r="AD77">
        <v>0</v>
      </c>
      <c r="AE77">
        <v>10</v>
      </c>
      <c r="AF77">
        <v>0.2</v>
      </c>
      <c r="AG77">
        <v>0</v>
      </c>
      <c r="AH77">
        <v>0</v>
      </c>
      <c r="AI77">
        <v>0</v>
      </c>
      <c r="AJ77">
        <v>0</v>
      </c>
      <c r="AK77" t="s">
        <v>66</v>
      </c>
      <c r="AL77" t="s">
        <v>65</v>
      </c>
      <c r="AM77" t="s">
        <v>87</v>
      </c>
      <c r="AN77" t="s">
        <v>67</v>
      </c>
      <c r="AO77" t="s">
        <v>68</v>
      </c>
      <c r="AP77" t="s">
        <v>69</v>
      </c>
      <c r="AQ77" t="s">
        <v>70</v>
      </c>
      <c r="AR77" t="s">
        <v>71</v>
      </c>
      <c r="AS77" t="s">
        <v>530</v>
      </c>
      <c r="AT77" t="s">
        <v>1046</v>
      </c>
    </row>
    <row r="78" spans="1:46" ht="15" customHeight="1" x14ac:dyDescent="0.2">
      <c r="A78">
        <v>1594</v>
      </c>
      <c r="B78" t="s">
        <v>1127</v>
      </c>
      <c r="C78" t="s">
        <v>472</v>
      </c>
      <c r="D78" t="s">
        <v>1099</v>
      </c>
      <c r="E78" t="s">
        <v>458</v>
      </c>
      <c r="F78" t="s">
        <v>63</v>
      </c>
      <c r="G78" t="s">
        <v>473</v>
      </c>
      <c r="H78" t="b">
        <f>TRUE()</f>
        <v>1</v>
      </c>
      <c r="I78" t="b">
        <f>FALSE()</f>
        <v>0</v>
      </c>
      <c r="J78" t="b">
        <f>TRUE()</f>
        <v>1</v>
      </c>
      <c r="K78" t="s">
        <v>65</v>
      </c>
      <c r="L78">
        <v>100</v>
      </c>
      <c r="M78">
        <v>134.4</v>
      </c>
      <c r="N78">
        <v>5.4</v>
      </c>
      <c r="O78">
        <v>12</v>
      </c>
      <c r="P78">
        <v>1.5</v>
      </c>
      <c r="Q78">
        <v>0</v>
      </c>
      <c r="R78">
        <v>5.94</v>
      </c>
      <c r="S78">
        <v>0.86</v>
      </c>
      <c r="T78">
        <v>2.7</v>
      </c>
      <c r="U78">
        <v>1.94</v>
      </c>
      <c r="V78">
        <v>0</v>
      </c>
      <c r="W78">
        <v>3</v>
      </c>
      <c r="X78">
        <v>420</v>
      </c>
      <c r="Y78">
        <v>250</v>
      </c>
      <c r="Z78">
        <v>15</v>
      </c>
      <c r="AA78">
        <v>20</v>
      </c>
      <c r="AB78">
        <v>1.5</v>
      </c>
      <c r="AC78">
        <v>2</v>
      </c>
      <c r="AD78">
        <v>0</v>
      </c>
      <c r="AE78">
        <v>10</v>
      </c>
      <c r="AF78">
        <v>0.2</v>
      </c>
      <c r="AG78">
        <v>0</v>
      </c>
      <c r="AH78">
        <v>0</v>
      </c>
      <c r="AI78">
        <v>0</v>
      </c>
      <c r="AJ78">
        <v>0</v>
      </c>
      <c r="AK78" t="s">
        <v>66</v>
      </c>
      <c r="AL78" t="s">
        <v>65</v>
      </c>
      <c r="AM78" t="s">
        <v>87</v>
      </c>
      <c r="AN78" t="s">
        <v>67</v>
      </c>
      <c r="AO78" t="s">
        <v>68</v>
      </c>
      <c r="AP78" t="s">
        <v>69</v>
      </c>
      <c r="AQ78" t="s">
        <v>70</v>
      </c>
      <c r="AR78" t="s">
        <v>71</v>
      </c>
      <c r="AS78" t="s">
        <v>530</v>
      </c>
      <c r="AT78" t="s">
        <v>1046</v>
      </c>
    </row>
    <row r="79" spans="1:46" ht="15" customHeight="1" x14ac:dyDescent="0.2">
      <c r="A79">
        <v>1595</v>
      </c>
      <c r="B79" t="s">
        <v>1128</v>
      </c>
      <c r="C79" t="s">
        <v>472</v>
      </c>
      <c r="D79" t="s">
        <v>1099</v>
      </c>
      <c r="E79" t="s">
        <v>458</v>
      </c>
      <c r="F79" t="s">
        <v>63</v>
      </c>
      <c r="G79" t="s">
        <v>473</v>
      </c>
      <c r="H79" t="b">
        <f>TRUE()</f>
        <v>1</v>
      </c>
      <c r="I79" t="b">
        <f>FALSE()</f>
        <v>0</v>
      </c>
      <c r="J79" t="b">
        <f>TRUE()</f>
        <v>1</v>
      </c>
      <c r="K79" t="s">
        <v>65</v>
      </c>
      <c r="L79">
        <v>100</v>
      </c>
      <c r="M79">
        <v>134.4</v>
      </c>
      <c r="N79">
        <v>5.4</v>
      </c>
      <c r="O79">
        <v>12</v>
      </c>
      <c r="P79">
        <v>1.5</v>
      </c>
      <c r="Q79">
        <v>0</v>
      </c>
      <c r="R79">
        <v>5.94</v>
      </c>
      <c r="S79">
        <v>0.86</v>
      </c>
      <c r="T79">
        <v>2.7</v>
      </c>
      <c r="U79">
        <v>1.94</v>
      </c>
      <c r="V79">
        <v>0</v>
      </c>
      <c r="W79">
        <v>3</v>
      </c>
      <c r="X79">
        <v>420</v>
      </c>
      <c r="Y79">
        <v>250</v>
      </c>
      <c r="Z79">
        <v>15</v>
      </c>
      <c r="AA79">
        <v>20</v>
      </c>
      <c r="AB79">
        <v>1.5</v>
      </c>
      <c r="AC79">
        <v>2</v>
      </c>
      <c r="AD79">
        <v>0</v>
      </c>
      <c r="AE79">
        <v>10</v>
      </c>
      <c r="AF79">
        <v>0.2</v>
      </c>
      <c r="AG79">
        <v>0</v>
      </c>
      <c r="AH79">
        <v>0</v>
      </c>
      <c r="AI79">
        <v>0</v>
      </c>
      <c r="AJ79">
        <v>0</v>
      </c>
      <c r="AK79" t="s">
        <v>66</v>
      </c>
      <c r="AL79" t="s">
        <v>65</v>
      </c>
      <c r="AM79" t="s">
        <v>87</v>
      </c>
      <c r="AN79" t="s">
        <v>67</v>
      </c>
      <c r="AO79" t="s">
        <v>68</v>
      </c>
      <c r="AP79" t="s">
        <v>69</v>
      </c>
      <c r="AQ79" t="s">
        <v>70</v>
      </c>
      <c r="AR79" t="s">
        <v>71</v>
      </c>
      <c r="AS79" t="s">
        <v>530</v>
      </c>
      <c r="AT79" t="s">
        <v>1046</v>
      </c>
    </row>
    <row r="80" spans="1:46" ht="15" customHeight="1" x14ac:dyDescent="0.2">
      <c r="A80">
        <v>1596</v>
      </c>
      <c r="B80" t="s">
        <v>1129</v>
      </c>
      <c r="C80" t="s">
        <v>527</v>
      </c>
      <c r="D80" t="s">
        <v>532</v>
      </c>
      <c r="E80" t="s">
        <v>692</v>
      </c>
      <c r="F80" t="s">
        <v>63</v>
      </c>
      <c r="G80" t="s">
        <v>473</v>
      </c>
      <c r="H80" t="b">
        <f>TRUE()</f>
        <v>1</v>
      </c>
      <c r="I80" t="b">
        <f>TRUE()</f>
        <v>1</v>
      </c>
      <c r="J80" t="b">
        <f>FALSE()</f>
        <v>0</v>
      </c>
      <c r="K80" t="s">
        <v>87</v>
      </c>
      <c r="L80">
        <v>100</v>
      </c>
      <c r="M80">
        <v>180</v>
      </c>
      <c r="N80">
        <v>8</v>
      </c>
      <c r="O80">
        <v>22</v>
      </c>
      <c r="P80">
        <v>6</v>
      </c>
      <c r="Q80">
        <v>0</v>
      </c>
      <c r="R80">
        <v>6.5</v>
      </c>
      <c r="S80">
        <v>1.5</v>
      </c>
      <c r="T80">
        <v>2.5</v>
      </c>
      <c r="U80">
        <v>2</v>
      </c>
      <c r="V80">
        <v>0.1</v>
      </c>
      <c r="W80">
        <v>3</v>
      </c>
      <c r="X80">
        <v>150</v>
      </c>
      <c r="Y80">
        <v>150</v>
      </c>
      <c r="Z80">
        <v>60</v>
      </c>
      <c r="AA80">
        <v>30</v>
      </c>
      <c r="AB80">
        <v>1.2</v>
      </c>
      <c r="AC80">
        <v>0.8</v>
      </c>
      <c r="AD80">
        <v>0</v>
      </c>
      <c r="AE80">
        <v>15</v>
      </c>
      <c r="AF80">
        <v>0.3</v>
      </c>
      <c r="AG80">
        <v>0</v>
      </c>
      <c r="AH80">
        <v>0</v>
      </c>
      <c r="AI80">
        <v>55</v>
      </c>
      <c r="AJ80">
        <v>12.1</v>
      </c>
      <c r="AK80" t="s">
        <v>77</v>
      </c>
      <c r="AL80" t="s">
        <v>65</v>
      </c>
      <c r="AM80" t="s">
        <v>65</v>
      </c>
      <c r="AN80" t="s">
        <v>69</v>
      </c>
      <c r="AO80" t="s">
        <v>68</v>
      </c>
      <c r="AP80" t="s">
        <v>69</v>
      </c>
      <c r="AQ80" t="s">
        <v>70</v>
      </c>
      <c r="AR80" t="s">
        <v>71</v>
      </c>
      <c r="AS80" t="s">
        <v>530</v>
      </c>
      <c r="AT80" t="s">
        <v>1046</v>
      </c>
    </row>
    <row r="81" spans="1:46" ht="15" customHeight="1" x14ac:dyDescent="0.2">
      <c r="A81">
        <v>1597</v>
      </c>
      <c r="B81" t="s">
        <v>1130</v>
      </c>
      <c r="C81" t="s">
        <v>527</v>
      </c>
      <c r="D81" t="s">
        <v>532</v>
      </c>
      <c r="E81" t="s">
        <v>692</v>
      </c>
      <c r="F81" t="s">
        <v>63</v>
      </c>
      <c r="G81" t="s">
        <v>473</v>
      </c>
      <c r="H81" t="b">
        <f>TRUE()</f>
        <v>1</v>
      </c>
      <c r="I81" t="b">
        <f>TRUE()</f>
        <v>1</v>
      </c>
      <c r="J81" t="b">
        <f>FALSE()</f>
        <v>0</v>
      </c>
      <c r="K81" t="s">
        <v>87</v>
      </c>
      <c r="L81">
        <v>100</v>
      </c>
      <c r="M81">
        <v>180</v>
      </c>
      <c r="N81">
        <v>8</v>
      </c>
      <c r="O81">
        <v>22</v>
      </c>
      <c r="P81">
        <v>6</v>
      </c>
      <c r="Q81">
        <v>0</v>
      </c>
      <c r="R81">
        <v>6.5</v>
      </c>
      <c r="S81">
        <v>1.5</v>
      </c>
      <c r="T81">
        <v>2.5</v>
      </c>
      <c r="U81">
        <v>2</v>
      </c>
      <c r="V81">
        <v>0.1</v>
      </c>
      <c r="W81">
        <v>3</v>
      </c>
      <c r="X81">
        <v>150</v>
      </c>
      <c r="Y81">
        <v>150</v>
      </c>
      <c r="Z81">
        <v>60</v>
      </c>
      <c r="AA81">
        <v>30</v>
      </c>
      <c r="AB81">
        <v>1.2</v>
      </c>
      <c r="AC81">
        <v>0.8</v>
      </c>
      <c r="AD81">
        <v>0</v>
      </c>
      <c r="AE81">
        <v>15</v>
      </c>
      <c r="AF81">
        <v>0.3</v>
      </c>
      <c r="AG81">
        <v>0</v>
      </c>
      <c r="AH81">
        <v>0</v>
      </c>
      <c r="AI81">
        <v>55</v>
      </c>
      <c r="AJ81">
        <v>12.1</v>
      </c>
      <c r="AK81" t="s">
        <v>77</v>
      </c>
      <c r="AL81" t="s">
        <v>65</v>
      </c>
      <c r="AM81" t="s">
        <v>65</v>
      </c>
      <c r="AN81" t="s">
        <v>69</v>
      </c>
      <c r="AO81" t="s">
        <v>68</v>
      </c>
      <c r="AP81" t="s">
        <v>69</v>
      </c>
      <c r="AQ81" t="s">
        <v>70</v>
      </c>
      <c r="AR81" t="s">
        <v>71</v>
      </c>
      <c r="AS81" t="s">
        <v>530</v>
      </c>
      <c r="AT81" t="s">
        <v>1046</v>
      </c>
    </row>
    <row r="82" spans="1:46" ht="15" customHeight="1" x14ac:dyDescent="0.2">
      <c r="A82">
        <v>1598</v>
      </c>
      <c r="B82" t="s">
        <v>1131</v>
      </c>
      <c r="C82" t="s">
        <v>527</v>
      </c>
      <c r="D82" t="s">
        <v>532</v>
      </c>
      <c r="E82" t="s">
        <v>692</v>
      </c>
      <c r="F82" t="s">
        <v>63</v>
      </c>
      <c r="G82" t="s">
        <v>473</v>
      </c>
      <c r="H82" t="b">
        <f>TRUE()</f>
        <v>1</v>
      </c>
      <c r="I82" t="b">
        <f>TRUE()</f>
        <v>1</v>
      </c>
      <c r="J82" t="b">
        <f>FALSE()</f>
        <v>0</v>
      </c>
      <c r="K82" t="s">
        <v>87</v>
      </c>
      <c r="L82">
        <v>100</v>
      </c>
      <c r="M82">
        <v>180</v>
      </c>
      <c r="N82">
        <v>8</v>
      </c>
      <c r="O82">
        <v>22</v>
      </c>
      <c r="P82">
        <v>6</v>
      </c>
      <c r="Q82">
        <v>0</v>
      </c>
      <c r="R82">
        <v>6.5</v>
      </c>
      <c r="S82">
        <v>1.5</v>
      </c>
      <c r="T82">
        <v>2.5</v>
      </c>
      <c r="U82">
        <v>2</v>
      </c>
      <c r="V82">
        <v>0.1</v>
      </c>
      <c r="W82">
        <v>3</v>
      </c>
      <c r="X82">
        <v>150</v>
      </c>
      <c r="Y82">
        <v>150</v>
      </c>
      <c r="Z82">
        <v>60</v>
      </c>
      <c r="AA82">
        <v>30</v>
      </c>
      <c r="AB82">
        <v>1.2</v>
      </c>
      <c r="AC82">
        <v>0.8</v>
      </c>
      <c r="AD82">
        <v>0</v>
      </c>
      <c r="AE82">
        <v>15</v>
      </c>
      <c r="AF82">
        <v>0.3</v>
      </c>
      <c r="AG82">
        <v>0</v>
      </c>
      <c r="AH82">
        <v>0</v>
      </c>
      <c r="AI82">
        <v>55</v>
      </c>
      <c r="AJ82">
        <v>12.1</v>
      </c>
      <c r="AK82" t="s">
        <v>77</v>
      </c>
      <c r="AL82" t="s">
        <v>65</v>
      </c>
      <c r="AM82" t="s">
        <v>65</v>
      </c>
      <c r="AN82" t="s">
        <v>69</v>
      </c>
      <c r="AO82" t="s">
        <v>68</v>
      </c>
      <c r="AP82" t="s">
        <v>69</v>
      </c>
      <c r="AQ82" t="s">
        <v>70</v>
      </c>
      <c r="AR82" t="s">
        <v>71</v>
      </c>
      <c r="AS82" t="s">
        <v>530</v>
      </c>
      <c r="AT82" t="s">
        <v>1046</v>
      </c>
    </row>
    <row r="83" spans="1:46" ht="15" customHeight="1" x14ac:dyDescent="0.2">
      <c r="A83">
        <v>1599</v>
      </c>
      <c r="B83" t="s">
        <v>1132</v>
      </c>
      <c r="C83" t="s">
        <v>527</v>
      </c>
      <c r="D83" t="s">
        <v>532</v>
      </c>
      <c r="E83" t="s">
        <v>692</v>
      </c>
      <c r="F83" t="s">
        <v>63</v>
      </c>
      <c r="G83" t="s">
        <v>473</v>
      </c>
      <c r="H83" t="b">
        <f>TRUE()</f>
        <v>1</v>
      </c>
      <c r="I83" t="b">
        <f>TRUE()</f>
        <v>1</v>
      </c>
      <c r="J83" t="b">
        <f>FALSE()</f>
        <v>0</v>
      </c>
      <c r="K83" t="s">
        <v>87</v>
      </c>
      <c r="L83">
        <v>100</v>
      </c>
      <c r="M83">
        <v>165</v>
      </c>
      <c r="N83">
        <v>7.5</v>
      </c>
      <c r="O83">
        <v>20</v>
      </c>
      <c r="P83">
        <v>3</v>
      </c>
      <c r="Q83">
        <v>0</v>
      </c>
      <c r="R83">
        <v>5.5</v>
      </c>
      <c r="S83">
        <v>1.3</v>
      </c>
      <c r="T83">
        <v>2.2000000000000002</v>
      </c>
      <c r="U83">
        <v>1.7</v>
      </c>
      <c r="V83">
        <v>0.1</v>
      </c>
      <c r="W83">
        <v>2.8</v>
      </c>
      <c r="X83">
        <v>140</v>
      </c>
      <c r="Y83">
        <v>150</v>
      </c>
      <c r="Z83">
        <v>60</v>
      </c>
      <c r="AA83">
        <v>30</v>
      </c>
      <c r="AB83">
        <v>1.2</v>
      </c>
      <c r="AC83">
        <v>0.8</v>
      </c>
      <c r="AD83">
        <v>0</v>
      </c>
      <c r="AE83">
        <v>15</v>
      </c>
      <c r="AF83">
        <v>0.3</v>
      </c>
      <c r="AG83">
        <v>0</v>
      </c>
      <c r="AH83">
        <v>0</v>
      </c>
      <c r="AI83">
        <v>55</v>
      </c>
      <c r="AJ83">
        <v>11</v>
      </c>
      <c r="AK83" t="s">
        <v>77</v>
      </c>
      <c r="AL83" t="s">
        <v>65</v>
      </c>
      <c r="AM83" t="s">
        <v>65</v>
      </c>
      <c r="AN83" t="s">
        <v>69</v>
      </c>
      <c r="AO83" t="s">
        <v>68</v>
      </c>
      <c r="AP83" t="s">
        <v>69</v>
      </c>
      <c r="AQ83" t="s">
        <v>70</v>
      </c>
      <c r="AR83" t="s">
        <v>71</v>
      </c>
      <c r="AS83" t="s">
        <v>530</v>
      </c>
      <c r="AT83" t="s">
        <v>1046</v>
      </c>
    </row>
    <row r="84" spans="1:46" ht="15" customHeight="1" x14ac:dyDescent="0.2">
      <c r="A84">
        <v>1600</v>
      </c>
      <c r="B84" t="s">
        <v>1133</v>
      </c>
      <c r="C84" t="s">
        <v>527</v>
      </c>
      <c r="D84" t="s">
        <v>532</v>
      </c>
      <c r="E84" t="s">
        <v>692</v>
      </c>
      <c r="F84" t="s">
        <v>63</v>
      </c>
      <c r="G84" t="s">
        <v>473</v>
      </c>
      <c r="H84" t="b">
        <f>TRUE()</f>
        <v>1</v>
      </c>
      <c r="I84" t="b">
        <f>TRUE()</f>
        <v>1</v>
      </c>
      <c r="J84" t="b">
        <f>FALSE()</f>
        <v>0</v>
      </c>
      <c r="K84" t="s">
        <v>87</v>
      </c>
      <c r="L84">
        <v>100</v>
      </c>
      <c r="M84">
        <v>165</v>
      </c>
      <c r="N84">
        <v>7.5</v>
      </c>
      <c r="O84">
        <v>20</v>
      </c>
      <c r="P84">
        <v>3</v>
      </c>
      <c r="Q84">
        <v>0</v>
      </c>
      <c r="R84">
        <v>5.5</v>
      </c>
      <c r="S84">
        <v>1.3</v>
      </c>
      <c r="T84">
        <v>2.2000000000000002</v>
      </c>
      <c r="U84">
        <v>1.7</v>
      </c>
      <c r="V84">
        <v>0.1</v>
      </c>
      <c r="W84">
        <v>2.8</v>
      </c>
      <c r="X84">
        <v>140</v>
      </c>
      <c r="Y84">
        <v>150</v>
      </c>
      <c r="Z84">
        <v>60</v>
      </c>
      <c r="AA84">
        <v>30</v>
      </c>
      <c r="AB84">
        <v>1.2</v>
      </c>
      <c r="AC84">
        <v>0.8</v>
      </c>
      <c r="AD84">
        <v>0</v>
      </c>
      <c r="AE84">
        <v>15</v>
      </c>
      <c r="AF84">
        <v>0.3</v>
      </c>
      <c r="AG84">
        <v>0</v>
      </c>
      <c r="AH84">
        <v>0</v>
      </c>
      <c r="AI84">
        <v>55</v>
      </c>
      <c r="AJ84">
        <v>11</v>
      </c>
      <c r="AK84" t="s">
        <v>77</v>
      </c>
      <c r="AL84" t="s">
        <v>65</v>
      </c>
      <c r="AM84" t="s">
        <v>65</v>
      </c>
      <c r="AN84" t="s">
        <v>69</v>
      </c>
      <c r="AO84" t="s">
        <v>68</v>
      </c>
      <c r="AP84" t="s">
        <v>69</v>
      </c>
      <c r="AQ84" t="s">
        <v>70</v>
      </c>
      <c r="AR84" t="s">
        <v>71</v>
      </c>
      <c r="AS84" t="s">
        <v>530</v>
      </c>
      <c r="AT84" t="s">
        <v>1046</v>
      </c>
    </row>
    <row r="85" spans="1:46" ht="15" customHeight="1" x14ac:dyDescent="0.2">
      <c r="A85">
        <v>1601</v>
      </c>
      <c r="B85" t="s">
        <v>1134</v>
      </c>
      <c r="C85" t="s">
        <v>527</v>
      </c>
      <c r="D85" t="s">
        <v>532</v>
      </c>
      <c r="E85" t="s">
        <v>692</v>
      </c>
      <c r="F85" t="s">
        <v>63</v>
      </c>
      <c r="G85" t="s">
        <v>473</v>
      </c>
      <c r="H85" t="b">
        <f>TRUE()</f>
        <v>1</v>
      </c>
      <c r="I85" t="b">
        <f>TRUE()</f>
        <v>1</v>
      </c>
      <c r="J85" t="b">
        <f>FALSE()</f>
        <v>0</v>
      </c>
      <c r="K85" t="s">
        <v>87</v>
      </c>
      <c r="L85">
        <v>100</v>
      </c>
      <c r="M85">
        <v>165</v>
      </c>
      <c r="N85">
        <v>7.5</v>
      </c>
      <c r="O85">
        <v>20</v>
      </c>
      <c r="P85">
        <v>3</v>
      </c>
      <c r="Q85">
        <v>0</v>
      </c>
      <c r="R85">
        <v>5.5</v>
      </c>
      <c r="S85">
        <v>1.3</v>
      </c>
      <c r="T85">
        <v>2.2000000000000002</v>
      </c>
      <c r="U85">
        <v>1.7</v>
      </c>
      <c r="V85">
        <v>0.1</v>
      </c>
      <c r="W85">
        <v>2.8</v>
      </c>
      <c r="X85">
        <v>140</v>
      </c>
      <c r="Y85">
        <v>150</v>
      </c>
      <c r="Z85">
        <v>60</v>
      </c>
      <c r="AA85">
        <v>30</v>
      </c>
      <c r="AB85">
        <v>1.2</v>
      </c>
      <c r="AC85">
        <v>0.8</v>
      </c>
      <c r="AD85">
        <v>0</v>
      </c>
      <c r="AE85">
        <v>15</v>
      </c>
      <c r="AF85">
        <v>0.3</v>
      </c>
      <c r="AG85">
        <v>0</v>
      </c>
      <c r="AH85">
        <v>0</v>
      </c>
      <c r="AI85">
        <v>55</v>
      </c>
      <c r="AJ85">
        <v>11</v>
      </c>
      <c r="AK85" t="s">
        <v>77</v>
      </c>
      <c r="AL85" t="s">
        <v>65</v>
      </c>
      <c r="AM85" t="s">
        <v>65</v>
      </c>
      <c r="AN85" t="s">
        <v>69</v>
      </c>
      <c r="AO85" t="s">
        <v>68</v>
      </c>
      <c r="AP85" t="s">
        <v>69</v>
      </c>
      <c r="AQ85" t="s">
        <v>70</v>
      </c>
      <c r="AR85" t="s">
        <v>71</v>
      </c>
      <c r="AS85" t="s">
        <v>530</v>
      </c>
      <c r="AT85" t="s">
        <v>1046</v>
      </c>
    </row>
    <row r="86" spans="1:46" ht="15" customHeight="1" x14ac:dyDescent="0.2">
      <c r="A86">
        <v>1602</v>
      </c>
      <c r="B86" t="s">
        <v>1135</v>
      </c>
      <c r="C86" t="s">
        <v>527</v>
      </c>
      <c r="D86" t="s">
        <v>1136</v>
      </c>
      <c r="E86" t="s">
        <v>1137</v>
      </c>
      <c r="F86" t="s">
        <v>63</v>
      </c>
      <c r="G86" t="s">
        <v>473</v>
      </c>
      <c r="H86" t="b">
        <f>FALSE()</f>
        <v>0</v>
      </c>
      <c r="I86" t="b">
        <f>FALSE()</f>
        <v>0</v>
      </c>
      <c r="J86" t="b">
        <f>FALSE()</f>
        <v>0</v>
      </c>
      <c r="K86" t="s">
        <v>87</v>
      </c>
      <c r="L86">
        <v>100</v>
      </c>
      <c r="M86">
        <v>204</v>
      </c>
      <c r="N86">
        <v>20.5</v>
      </c>
      <c r="O86">
        <v>1.5</v>
      </c>
      <c r="P86">
        <v>0.5</v>
      </c>
      <c r="Q86">
        <v>0</v>
      </c>
      <c r="R86">
        <v>12.5</v>
      </c>
      <c r="S86">
        <v>3.8</v>
      </c>
      <c r="T86">
        <v>6.5</v>
      </c>
      <c r="U86">
        <v>1.3</v>
      </c>
      <c r="V86">
        <v>0</v>
      </c>
      <c r="W86">
        <v>0.3</v>
      </c>
      <c r="X86">
        <v>480</v>
      </c>
      <c r="Y86">
        <v>300</v>
      </c>
      <c r="Z86">
        <v>15</v>
      </c>
      <c r="AA86">
        <v>20</v>
      </c>
      <c r="AB86">
        <v>3.2</v>
      </c>
      <c r="AC86">
        <v>4.5</v>
      </c>
      <c r="AD86">
        <v>1.5</v>
      </c>
      <c r="AE86">
        <v>8</v>
      </c>
      <c r="AF86">
        <v>0.3</v>
      </c>
      <c r="AG86">
        <v>0</v>
      </c>
      <c r="AH86">
        <v>0</v>
      </c>
      <c r="AI86">
        <v>0</v>
      </c>
      <c r="AJ86">
        <v>0</v>
      </c>
      <c r="AK86" t="s">
        <v>66</v>
      </c>
      <c r="AL86" t="s">
        <v>65</v>
      </c>
      <c r="AM86" t="s">
        <v>87</v>
      </c>
      <c r="AN86" t="s">
        <v>68</v>
      </c>
      <c r="AO86" t="s">
        <v>68</v>
      </c>
      <c r="AP86" t="s">
        <v>67</v>
      </c>
      <c r="AQ86" t="s">
        <v>70</v>
      </c>
      <c r="AR86" t="s">
        <v>71</v>
      </c>
      <c r="AS86" t="s">
        <v>530</v>
      </c>
      <c r="AT86" t="s">
        <v>1138</v>
      </c>
    </row>
    <row r="87" spans="1:46" ht="15" customHeight="1" x14ac:dyDescent="0.2">
      <c r="A87">
        <v>1603</v>
      </c>
      <c r="B87" t="s">
        <v>1139</v>
      </c>
      <c r="C87" t="s">
        <v>527</v>
      </c>
      <c r="D87" t="s">
        <v>1136</v>
      </c>
      <c r="E87" t="s">
        <v>1137</v>
      </c>
      <c r="F87" t="s">
        <v>63</v>
      </c>
      <c r="G87" t="s">
        <v>473</v>
      </c>
      <c r="H87" t="b">
        <f>FALSE()</f>
        <v>0</v>
      </c>
      <c r="I87" t="b">
        <f>FALSE()</f>
        <v>0</v>
      </c>
      <c r="J87" t="b">
        <f>FALSE()</f>
        <v>0</v>
      </c>
      <c r="K87" t="s">
        <v>87</v>
      </c>
      <c r="L87">
        <v>100</v>
      </c>
      <c r="M87">
        <v>204</v>
      </c>
      <c r="N87">
        <v>20.5</v>
      </c>
      <c r="O87">
        <v>1.5</v>
      </c>
      <c r="P87">
        <v>0.5</v>
      </c>
      <c r="Q87">
        <v>0</v>
      </c>
      <c r="R87">
        <v>12.5</v>
      </c>
      <c r="S87">
        <v>3.8</v>
      </c>
      <c r="T87">
        <v>6.5</v>
      </c>
      <c r="U87">
        <v>1.3</v>
      </c>
      <c r="V87">
        <v>0</v>
      </c>
      <c r="W87">
        <v>0.3</v>
      </c>
      <c r="X87">
        <v>480</v>
      </c>
      <c r="Y87">
        <v>300</v>
      </c>
      <c r="Z87">
        <v>15</v>
      </c>
      <c r="AA87">
        <v>20</v>
      </c>
      <c r="AB87">
        <v>3.2</v>
      </c>
      <c r="AC87">
        <v>4.5</v>
      </c>
      <c r="AD87">
        <v>1.5</v>
      </c>
      <c r="AE87">
        <v>8</v>
      </c>
      <c r="AF87">
        <v>0.3</v>
      </c>
      <c r="AG87">
        <v>0</v>
      </c>
      <c r="AH87">
        <v>0</v>
      </c>
      <c r="AI87">
        <v>0</v>
      </c>
      <c r="AJ87">
        <v>0</v>
      </c>
      <c r="AK87" t="s">
        <v>66</v>
      </c>
      <c r="AL87" t="s">
        <v>65</v>
      </c>
      <c r="AM87" t="s">
        <v>87</v>
      </c>
      <c r="AN87" t="s">
        <v>68</v>
      </c>
      <c r="AO87" t="s">
        <v>68</v>
      </c>
      <c r="AP87" t="s">
        <v>67</v>
      </c>
      <c r="AQ87" t="s">
        <v>70</v>
      </c>
      <c r="AR87" t="s">
        <v>71</v>
      </c>
      <c r="AS87" t="s">
        <v>530</v>
      </c>
      <c r="AT87" t="s">
        <v>1138</v>
      </c>
    </row>
    <row r="88" spans="1:46" ht="15" customHeight="1" x14ac:dyDescent="0.2">
      <c r="A88">
        <v>1604</v>
      </c>
      <c r="B88" t="s">
        <v>1140</v>
      </c>
      <c r="C88" t="s">
        <v>527</v>
      </c>
      <c r="D88" t="s">
        <v>1136</v>
      </c>
      <c r="E88" t="s">
        <v>1137</v>
      </c>
      <c r="F88" t="s">
        <v>63</v>
      </c>
      <c r="G88" t="s">
        <v>473</v>
      </c>
      <c r="H88" t="b">
        <f>FALSE()</f>
        <v>0</v>
      </c>
      <c r="I88" t="b">
        <f>FALSE()</f>
        <v>0</v>
      </c>
      <c r="J88" t="b">
        <f>FALSE()</f>
        <v>0</v>
      </c>
      <c r="K88" t="s">
        <v>87</v>
      </c>
      <c r="L88">
        <v>100</v>
      </c>
      <c r="M88">
        <v>204</v>
      </c>
      <c r="N88">
        <v>20.5</v>
      </c>
      <c r="O88">
        <v>1.5</v>
      </c>
      <c r="P88">
        <v>0.5</v>
      </c>
      <c r="Q88">
        <v>0</v>
      </c>
      <c r="R88">
        <v>12.5</v>
      </c>
      <c r="S88">
        <v>3.8</v>
      </c>
      <c r="T88">
        <v>6.5</v>
      </c>
      <c r="U88">
        <v>1.3</v>
      </c>
      <c r="V88">
        <v>0</v>
      </c>
      <c r="W88">
        <v>0.3</v>
      </c>
      <c r="X88">
        <v>480</v>
      </c>
      <c r="Y88">
        <v>300</v>
      </c>
      <c r="Z88">
        <v>15</v>
      </c>
      <c r="AA88">
        <v>20</v>
      </c>
      <c r="AB88">
        <v>3.2</v>
      </c>
      <c r="AC88">
        <v>4.5</v>
      </c>
      <c r="AD88">
        <v>1.5</v>
      </c>
      <c r="AE88">
        <v>8</v>
      </c>
      <c r="AF88">
        <v>0.3</v>
      </c>
      <c r="AG88">
        <v>0</v>
      </c>
      <c r="AH88">
        <v>0</v>
      </c>
      <c r="AI88">
        <v>0</v>
      </c>
      <c r="AJ88">
        <v>0</v>
      </c>
      <c r="AK88" t="s">
        <v>66</v>
      </c>
      <c r="AL88" t="s">
        <v>65</v>
      </c>
      <c r="AM88" t="s">
        <v>87</v>
      </c>
      <c r="AN88" t="s">
        <v>68</v>
      </c>
      <c r="AO88" t="s">
        <v>68</v>
      </c>
      <c r="AP88" t="s">
        <v>67</v>
      </c>
      <c r="AQ88" t="s">
        <v>70</v>
      </c>
      <c r="AR88" t="s">
        <v>71</v>
      </c>
      <c r="AS88" t="s">
        <v>530</v>
      </c>
      <c r="AT88" t="s">
        <v>1138</v>
      </c>
    </row>
    <row r="89" spans="1:46" ht="15" customHeight="1" x14ac:dyDescent="0.2">
      <c r="A89">
        <v>1605</v>
      </c>
      <c r="B89" t="s">
        <v>1141</v>
      </c>
      <c r="C89" t="s">
        <v>1142</v>
      </c>
      <c r="D89" t="s">
        <v>1143</v>
      </c>
      <c r="E89" t="s">
        <v>1144</v>
      </c>
      <c r="F89" t="s">
        <v>63</v>
      </c>
      <c r="G89" t="s">
        <v>603</v>
      </c>
      <c r="H89" t="b">
        <f>FALSE()</f>
        <v>0</v>
      </c>
      <c r="I89" t="b">
        <f>TRUE()</f>
        <v>1</v>
      </c>
      <c r="J89" t="b">
        <f>FALSE()</f>
        <v>0</v>
      </c>
      <c r="K89" t="s">
        <v>65</v>
      </c>
      <c r="L89">
        <v>100</v>
      </c>
      <c r="M89">
        <v>390</v>
      </c>
      <c r="N89">
        <v>78</v>
      </c>
      <c r="O89">
        <v>8</v>
      </c>
      <c r="P89">
        <v>5</v>
      </c>
      <c r="Q89">
        <v>3</v>
      </c>
      <c r="R89">
        <v>6.5</v>
      </c>
      <c r="S89">
        <v>4</v>
      </c>
      <c r="T89">
        <v>1.5</v>
      </c>
      <c r="U89">
        <v>0.5</v>
      </c>
      <c r="V89">
        <v>0</v>
      </c>
      <c r="W89">
        <v>1</v>
      </c>
      <c r="X89">
        <v>300</v>
      </c>
      <c r="Y89">
        <v>450</v>
      </c>
      <c r="Z89">
        <v>500</v>
      </c>
      <c r="AA89">
        <v>55</v>
      </c>
      <c r="AB89">
        <v>1</v>
      </c>
      <c r="AC89">
        <v>3</v>
      </c>
      <c r="AD89">
        <v>0</v>
      </c>
      <c r="AE89">
        <v>20</v>
      </c>
      <c r="AF89">
        <v>0</v>
      </c>
      <c r="AG89">
        <v>0</v>
      </c>
      <c r="AH89">
        <v>0</v>
      </c>
      <c r="AI89">
        <v>0</v>
      </c>
      <c r="AJ89">
        <v>0</v>
      </c>
      <c r="AK89" t="s">
        <v>77</v>
      </c>
      <c r="AL89" t="s">
        <v>65</v>
      </c>
      <c r="AM89" t="s">
        <v>65</v>
      </c>
      <c r="AN89" t="s">
        <v>67</v>
      </c>
      <c r="AO89" t="s">
        <v>68</v>
      </c>
      <c r="AP89" t="s">
        <v>69</v>
      </c>
      <c r="AQ89" t="s">
        <v>70</v>
      </c>
      <c r="AR89" t="s">
        <v>895</v>
      </c>
      <c r="AS89" t="s">
        <v>530</v>
      </c>
      <c r="AT89" t="s">
        <v>1145</v>
      </c>
    </row>
    <row r="90" spans="1:46" ht="15" customHeight="1" x14ac:dyDescent="0.2">
      <c r="A90">
        <v>1606</v>
      </c>
      <c r="B90" t="s">
        <v>1146</v>
      </c>
      <c r="C90" t="s">
        <v>527</v>
      </c>
      <c r="D90" t="s">
        <v>1147</v>
      </c>
      <c r="E90" t="s">
        <v>692</v>
      </c>
      <c r="F90" t="s">
        <v>63</v>
      </c>
      <c r="G90" t="s">
        <v>473</v>
      </c>
      <c r="H90" t="b">
        <f>TRUE()</f>
        <v>1</v>
      </c>
      <c r="I90" t="b">
        <f>FALSE()</f>
        <v>0</v>
      </c>
      <c r="J90" t="b">
        <f>FALSE()</f>
        <v>0</v>
      </c>
      <c r="K90" t="s">
        <v>87</v>
      </c>
      <c r="L90">
        <v>100</v>
      </c>
      <c r="M90">
        <v>165</v>
      </c>
      <c r="N90">
        <v>8.5</v>
      </c>
      <c r="O90">
        <v>22</v>
      </c>
      <c r="P90">
        <v>1</v>
      </c>
      <c r="Q90">
        <v>0</v>
      </c>
      <c r="R90">
        <v>5</v>
      </c>
      <c r="S90">
        <v>0.9</v>
      </c>
      <c r="T90">
        <v>2.8</v>
      </c>
      <c r="U90">
        <v>0.8</v>
      </c>
      <c r="V90">
        <v>0</v>
      </c>
      <c r="W90">
        <v>1.2</v>
      </c>
      <c r="X90">
        <v>340</v>
      </c>
      <c r="Y90">
        <v>190</v>
      </c>
      <c r="Z90">
        <v>25</v>
      </c>
      <c r="AA90">
        <v>20</v>
      </c>
      <c r="AB90">
        <v>1.1000000000000001</v>
      </c>
      <c r="AC90">
        <v>1</v>
      </c>
      <c r="AD90">
        <v>4</v>
      </c>
      <c r="AE90">
        <v>15</v>
      </c>
      <c r="AF90">
        <v>0</v>
      </c>
      <c r="AG90">
        <v>0</v>
      </c>
      <c r="AH90">
        <v>0</v>
      </c>
      <c r="AI90">
        <v>65</v>
      </c>
      <c r="AJ90">
        <v>14.3</v>
      </c>
      <c r="AK90" t="s">
        <v>66</v>
      </c>
      <c r="AL90" t="s">
        <v>87</v>
      </c>
      <c r="AM90" t="s">
        <v>87</v>
      </c>
      <c r="AN90" t="s">
        <v>67</v>
      </c>
      <c r="AO90" t="s">
        <v>68</v>
      </c>
      <c r="AP90" t="s">
        <v>69</v>
      </c>
      <c r="AQ90" t="s">
        <v>70</v>
      </c>
      <c r="AR90" t="s">
        <v>71</v>
      </c>
      <c r="AS90" t="s">
        <v>530</v>
      </c>
      <c r="AT90" t="s">
        <v>1148</v>
      </c>
    </row>
    <row r="91" spans="1:46" ht="15" customHeight="1" x14ac:dyDescent="0.2">
      <c r="A91">
        <v>1607</v>
      </c>
      <c r="B91" t="s">
        <v>1149</v>
      </c>
      <c r="C91" t="s">
        <v>527</v>
      </c>
      <c r="D91" t="s">
        <v>1147</v>
      </c>
      <c r="E91" t="s">
        <v>692</v>
      </c>
      <c r="F91" t="s">
        <v>63</v>
      </c>
      <c r="G91" t="s">
        <v>473</v>
      </c>
      <c r="H91" t="b">
        <f>TRUE()</f>
        <v>1</v>
      </c>
      <c r="I91" t="b">
        <f>FALSE()</f>
        <v>0</v>
      </c>
      <c r="J91" t="b">
        <f>FALSE()</f>
        <v>0</v>
      </c>
      <c r="K91" t="s">
        <v>87</v>
      </c>
      <c r="L91">
        <v>100</v>
      </c>
      <c r="M91">
        <v>165</v>
      </c>
      <c r="N91">
        <v>8.5</v>
      </c>
      <c r="O91">
        <v>22</v>
      </c>
      <c r="P91">
        <v>1</v>
      </c>
      <c r="Q91">
        <v>0</v>
      </c>
      <c r="R91">
        <v>5</v>
      </c>
      <c r="S91">
        <v>0.9</v>
      </c>
      <c r="T91">
        <v>2.8</v>
      </c>
      <c r="U91">
        <v>0.8</v>
      </c>
      <c r="V91">
        <v>0</v>
      </c>
      <c r="W91">
        <v>1.2</v>
      </c>
      <c r="X91">
        <v>340</v>
      </c>
      <c r="Y91">
        <v>190</v>
      </c>
      <c r="Z91">
        <v>25</v>
      </c>
      <c r="AA91">
        <v>20</v>
      </c>
      <c r="AB91">
        <v>1.1000000000000001</v>
      </c>
      <c r="AC91">
        <v>1</v>
      </c>
      <c r="AD91">
        <v>4</v>
      </c>
      <c r="AE91">
        <v>15</v>
      </c>
      <c r="AF91">
        <v>0</v>
      </c>
      <c r="AG91">
        <v>0</v>
      </c>
      <c r="AH91">
        <v>0</v>
      </c>
      <c r="AI91">
        <v>65</v>
      </c>
      <c r="AJ91">
        <v>14.3</v>
      </c>
      <c r="AK91" t="s">
        <v>66</v>
      </c>
      <c r="AL91" t="s">
        <v>87</v>
      </c>
      <c r="AM91" t="s">
        <v>87</v>
      </c>
      <c r="AN91" t="s">
        <v>67</v>
      </c>
      <c r="AO91" t="s">
        <v>68</v>
      </c>
      <c r="AP91" t="s">
        <v>69</v>
      </c>
      <c r="AQ91" t="s">
        <v>70</v>
      </c>
      <c r="AR91" t="s">
        <v>71</v>
      </c>
      <c r="AS91" t="s">
        <v>530</v>
      </c>
      <c r="AT91" t="s">
        <v>1148</v>
      </c>
    </row>
    <row r="92" spans="1:46" ht="15" customHeight="1" x14ac:dyDescent="0.2">
      <c r="A92">
        <v>1608</v>
      </c>
      <c r="B92" t="s">
        <v>1150</v>
      </c>
      <c r="C92" t="s">
        <v>527</v>
      </c>
      <c r="D92" t="s">
        <v>1147</v>
      </c>
      <c r="E92" t="s">
        <v>692</v>
      </c>
      <c r="F92" t="s">
        <v>63</v>
      </c>
      <c r="G92" t="s">
        <v>473</v>
      </c>
      <c r="H92" t="b">
        <f>TRUE()</f>
        <v>1</v>
      </c>
      <c r="I92" t="b">
        <f>FALSE()</f>
        <v>0</v>
      </c>
      <c r="J92" t="b">
        <f>FALSE()</f>
        <v>0</v>
      </c>
      <c r="K92" t="s">
        <v>87</v>
      </c>
      <c r="L92">
        <v>100</v>
      </c>
      <c r="M92">
        <v>165</v>
      </c>
      <c r="N92">
        <v>8.5</v>
      </c>
      <c r="O92">
        <v>22</v>
      </c>
      <c r="P92">
        <v>1</v>
      </c>
      <c r="Q92">
        <v>0</v>
      </c>
      <c r="R92">
        <v>5</v>
      </c>
      <c r="S92">
        <v>0.9</v>
      </c>
      <c r="T92">
        <v>2.8</v>
      </c>
      <c r="U92">
        <v>0.8</v>
      </c>
      <c r="V92">
        <v>0</v>
      </c>
      <c r="W92">
        <v>1.2</v>
      </c>
      <c r="X92">
        <v>340</v>
      </c>
      <c r="Y92">
        <v>190</v>
      </c>
      <c r="Z92">
        <v>25</v>
      </c>
      <c r="AA92">
        <v>20</v>
      </c>
      <c r="AB92">
        <v>1.1000000000000001</v>
      </c>
      <c r="AC92">
        <v>1</v>
      </c>
      <c r="AD92">
        <v>4</v>
      </c>
      <c r="AE92">
        <v>15</v>
      </c>
      <c r="AF92">
        <v>0</v>
      </c>
      <c r="AG92">
        <v>0</v>
      </c>
      <c r="AH92">
        <v>0</v>
      </c>
      <c r="AI92">
        <v>65</v>
      </c>
      <c r="AJ92">
        <v>14.3</v>
      </c>
      <c r="AK92" t="s">
        <v>66</v>
      </c>
      <c r="AL92" t="s">
        <v>87</v>
      </c>
      <c r="AM92" t="s">
        <v>87</v>
      </c>
      <c r="AN92" t="s">
        <v>67</v>
      </c>
      <c r="AO92" t="s">
        <v>68</v>
      </c>
      <c r="AP92" t="s">
        <v>69</v>
      </c>
      <c r="AQ92" t="s">
        <v>70</v>
      </c>
      <c r="AR92" t="s">
        <v>71</v>
      </c>
      <c r="AS92" t="s">
        <v>530</v>
      </c>
      <c r="AT92" t="s">
        <v>1148</v>
      </c>
    </row>
    <row r="93" spans="1:46" ht="15" customHeight="1" x14ac:dyDescent="0.2">
      <c r="A93">
        <v>1609</v>
      </c>
      <c r="B93" t="s">
        <v>1151</v>
      </c>
      <c r="C93" t="s">
        <v>472</v>
      </c>
      <c r="D93" t="s">
        <v>1152</v>
      </c>
      <c r="E93" t="s">
        <v>692</v>
      </c>
      <c r="F93" t="s">
        <v>63</v>
      </c>
      <c r="G93" t="s">
        <v>473</v>
      </c>
      <c r="H93" t="b">
        <f>TRUE()</f>
        <v>1</v>
      </c>
      <c r="I93" t="b">
        <f>FALSE()</f>
        <v>0</v>
      </c>
      <c r="J93" t="b">
        <f>FALSE()</f>
        <v>0</v>
      </c>
      <c r="K93" t="s">
        <v>65</v>
      </c>
      <c r="L93">
        <v>100</v>
      </c>
      <c r="M93">
        <v>180</v>
      </c>
      <c r="N93">
        <v>18</v>
      </c>
      <c r="O93">
        <v>6</v>
      </c>
      <c r="P93">
        <v>1</v>
      </c>
      <c r="Q93">
        <v>0</v>
      </c>
      <c r="R93">
        <v>9</v>
      </c>
      <c r="S93">
        <v>2.2000000000000002</v>
      </c>
      <c r="T93">
        <v>3.8</v>
      </c>
      <c r="U93">
        <v>1.8</v>
      </c>
      <c r="V93">
        <v>0</v>
      </c>
      <c r="W93">
        <v>0.5</v>
      </c>
      <c r="X93">
        <v>380</v>
      </c>
      <c r="Y93">
        <v>270</v>
      </c>
      <c r="Z93">
        <v>25</v>
      </c>
      <c r="AA93">
        <v>20</v>
      </c>
      <c r="AB93">
        <v>1</v>
      </c>
      <c r="AC93">
        <v>1.3</v>
      </c>
      <c r="AD93">
        <v>1</v>
      </c>
      <c r="AE93">
        <v>12</v>
      </c>
      <c r="AF93">
        <v>0</v>
      </c>
      <c r="AG93">
        <v>0</v>
      </c>
      <c r="AH93">
        <v>0</v>
      </c>
      <c r="AI93">
        <v>40</v>
      </c>
      <c r="AJ93">
        <v>2.4</v>
      </c>
      <c r="AK93" t="s">
        <v>66</v>
      </c>
      <c r="AL93" t="s">
        <v>65</v>
      </c>
      <c r="AM93" t="s">
        <v>65</v>
      </c>
      <c r="AN93" t="s">
        <v>67</v>
      </c>
      <c r="AO93" t="s">
        <v>68</v>
      </c>
      <c r="AP93" t="s">
        <v>69</v>
      </c>
      <c r="AQ93" t="s">
        <v>70</v>
      </c>
      <c r="AR93" t="s">
        <v>71</v>
      </c>
      <c r="AS93" t="s">
        <v>530</v>
      </c>
      <c r="AT93" t="s">
        <v>1148</v>
      </c>
    </row>
    <row r="94" spans="1:46" ht="15" customHeight="1" x14ac:dyDescent="0.2">
      <c r="A94">
        <v>1610</v>
      </c>
      <c r="B94" t="s">
        <v>1153</v>
      </c>
      <c r="C94" t="s">
        <v>472</v>
      </c>
      <c r="D94" t="s">
        <v>1152</v>
      </c>
      <c r="E94" t="s">
        <v>692</v>
      </c>
      <c r="F94" t="s">
        <v>63</v>
      </c>
      <c r="G94" t="s">
        <v>473</v>
      </c>
      <c r="H94" t="b">
        <f>TRUE()</f>
        <v>1</v>
      </c>
      <c r="I94" t="b">
        <f>FALSE()</f>
        <v>0</v>
      </c>
      <c r="J94" t="b">
        <f>FALSE()</f>
        <v>0</v>
      </c>
      <c r="K94" t="s">
        <v>65</v>
      </c>
      <c r="L94">
        <v>100</v>
      </c>
      <c r="M94">
        <v>180</v>
      </c>
      <c r="N94">
        <v>18</v>
      </c>
      <c r="O94">
        <v>6</v>
      </c>
      <c r="P94">
        <v>1</v>
      </c>
      <c r="Q94">
        <v>0</v>
      </c>
      <c r="R94">
        <v>9</v>
      </c>
      <c r="S94">
        <v>2.2000000000000002</v>
      </c>
      <c r="T94">
        <v>3.8</v>
      </c>
      <c r="U94">
        <v>1.8</v>
      </c>
      <c r="V94">
        <v>0</v>
      </c>
      <c r="W94">
        <v>0.5</v>
      </c>
      <c r="X94">
        <v>380</v>
      </c>
      <c r="Y94">
        <v>270</v>
      </c>
      <c r="Z94">
        <v>25</v>
      </c>
      <c r="AA94">
        <v>20</v>
      </c>
      <c r="AB94">
        <v>1</v>
      </c>
      <c r="AC94">
        <v>1.3</v>
      </c>
      <c r="AD94">
        <v>1</v>
      </c>
      <c r="AE94">
        <v>12</v>
      </c>
      <c r="AF94">
        <v>0</v>
      </c>
      <c r="AG94">
        <v>0</v>
      </c>
      <c r="AH94">
        <v>0</v>
      </c>
      <c r="AI94">
        <v>40</v>
      </c>
      <c r="AJ94">
        <v>2.4</v>
      </c>
      <c r="AK94" t="s">
        <v>66</v>
      </c>
      <c r="AL94" t="s">
        <v>65</v>
      </c>
      <c r="AM94" t="s">
        <v>65</v>
      </c>
      <c r="AN94" t="s">
        <v>67</v>
      </c>
      <c r="AO94" t="s">
        <v>68</v>
      </c>
      <c r="AP94" t="s">
        <v>69</v>
      </c>
      <c r="AQ94" t="s">
        <v>70</v>
      </c>
      <c r="AR94" t="s">
        <v>71</v>
      </c>
      <c r="AS94" t="s">
        <v>530</v>
      </c>
      <c r="AT94" t="s">
        <v>1148</v>
      </c>
    </row>
    <row r="95" spans="1:46" ht="15" customHeight="1" x14ac:dyDescent="0.2">
      <c r="A95">
        <v>1611</v>
      </c>
      <c r="B95" t="s">
        <v>1154</v>
      </c>
      <c r="C95" t="s">
        <v>472</v>
      </c>
      <c r="D95" t="s">
        <v>1152</v>
      </c>
      <c r="E95" t="s">
        <v>692</v>
      </c>
      <c r="F95" t="s">
        <v>63</v>
      </c>
      <c r="G95" t="s">
        <v>473</v>
      </c>
      <c r="H95" t="b">
        <f>TRUE()</f>
        <v>1</v>
      </c>
      <c r="I95" t="b">
        <f>FALSE()</f>
        <v>0</v>
      </c>
      <c r="J95" t="b">
        <f>FALSE()</f>
        <v>0</v>
      </c>
      <c r="K95" t="s">
        <v>65</v>
      </c>
      <c r="L95">
        <v>100</v>
      </c>
      <c r="M95">
        <v>180</v>
      </c>
      <c r="N95">
        <v>18</v>
      </c>
      <c r="O95">
        <v>6</v>
      </c>
      <c r="P95">
        <v>1</v>
      </c>
      <c r="Q95">
        <v>0</v>
      </c>
      <c r="R95">
        <v>9</v>
      </c>
      <c r="S95">
        <v>2.2000000000000002</v>
      </c>
      <c r="T95">
        <v>3.8</v>
      </c>
      <c r="U95">
        <v>1.8</v>
      </c>
      <c r="V95">
        <v>0</v>
      </c>
      <c r="W95">
        <v>0.5</v>
      </c>
      <c r="X95">
        <v>380</v>
      </c>
      <c r="Y95">
        <v>270</v>
      </c>
      <c r="Z95">
        <v>25</v>
      </c>
      <c r="AA95">
        <v>20</v>
      </c>
      <c r="AB95">
        <v>1</v>
      </c>
      <c r="AC95">
        <v>1.3</v>
      </c>
      <c r="AD95">
        <v>1</v>
      </c>
      <c r="AE95">
        <v>12</v>
      </c>
      <c r="AF95">
        <v>0</v>
      </c>
      <c r="AG95">
        <v>0</v>
      </c>
      <c r="AH95">
        <v>0</v>
      </c>
      <c r="AI95">
        <v>40</v>
      </c>
      <c r="AJ95">
        <v>2.4</v>
      </c>
      <c r="AK95" t="s">
        <v>66</v>
      </c>
      <c r="AL95" t="s">
        <v>65</v>
      </c>
      <c r="AM95" t="s">
        <v>65</v>
      </c>
      <c r="AN95" t="s">
        <v>67</v>
      </c>
      <c r="AO95" t="s">
        <v>68</v>
      </c>
      <c r="AP95" t="s">
        <v>69</v>
      </c>
      <c r="AQ95" t="s">
        <v>70</v>
      </c>
      <c r="AR95" t="s">
        <v>71</v>
      </c>
      <c r="AS95" t="s">
        <v>530</v>
      </c>
      <c r="AT95" t="s">
        <v>1148</v>
      </c>
    </row>
    <row r="96" spans="1:46" ht="15" customHeight="1" x14ac:dyDescent="0.2">
      <c r="A96">
        <v>1612</v>
      </c>
      <c r="B96" t="s">
        <v>1155</v>
      </c>
      <c r="C96" t="s">
        <v>472</v>
      </c>
      <c r="D96" t="s">
        <v>1156</v>
      </c>
      <c r="E96" t="s">
        <v>541</v>
      </c>
      <c r="F96" t="s">
        <v>63</v>
      </c>
      <c r="G96" t="s">
        <v>603</v>
      </c>
      <c r="H96" t="b">
        <f>TRUE()</f>
        <v>1</v>
      </c>
      <c r="I96" t="b">
        <f>FALSE()</f>
        <v>0</v>
      </c>
      <c r="J96" t="b">
        <f>FALSE()</f>
        <v>0</v>
      </c>
      <c r="K96" t="s">
        <v>65</v>
      </c>
      <c r="L96">
        <v>100</v>
      </c>
      <c r="M96">
        <v>220</v>
      </c>
      <c r="N96">
        <v>15</v>
      </c>
      <c r="O96">
        <v>16</v>
      </c>
      <c r="P96">
        <v>1</v>
      </c>
      <c r="Q96">
        <v>0</v>
      </c>
      <c r="R96">
        <v>11</v>
      </c>
      <c r="S96">
        <v>2</v>
      </c>
      <c r="T96">
        <v>4.5</v>
      </c>
      <c r="U96">
        <v>3.5</v>
      </c>
      <c r="V96">
        <v>0</v>
      </c>
      <c r="W96">
        <v>1</v>
      </c>
      <c r="X96">
        <v>480</v>
      </c>
      <c r="Y96">
        <v>230</v>
      </c>
      <c r="Z96">
        <v>15</v>
      </c>
      <c r="AA96">
        <v>18</v>
      </c>
      <c r="AB96">
        <v>0.9</v>
      </c>
      <c r="AC96">
        <v>1.1000000000000001</v>
      </c>
      <c r="AD96">
        <v>0</v>
      </c>
      <c r="AE96">
        <v>10</v>
      </c>
      <c r="AF96">
        <v>0</v>
      </c>
      <c r="AG96">
        <v>0</v>
      </c>
      <c r="AH96">
        <v>0</v>
      </c>
      <c r="AI96">
        <v>60</v>
      </c>
      <c r="AJ96">
        <v>9.6</v>
      </c>
      <c r="AK96" t="s">
        <v>66</v>
      </c>
      <c r="AL96" t="s">
        <v>65</v>
      </c>
      <c r="AM96" t="s">
        <v>65</v>
      </c>
      <c r="AN96" t="s">
        <v>67</v>
      </c>
      <c r="AO96" t="s">
        <v>68</v>
      </c>
      <c r="AP96" t="s">
        <v>67</v>
      </c>
      <c r="AQ96" t="s">
        <v>70</v>
      </c>
      <c r="AR96" t="s">
        <v>71</v>
      </c>
      <c r="AS96" t="s">
        <v>530</v>
      </c>
      <c r="AT96" t="s">
        <v>1148</v>
      </c>
    </row>
    <row r="97" spans="1:46" ht="15" customHeight="1" x14ac:dyDescent="0.2">
      <c r="A97">
        <v>1613</v>
      </c>
      <c r="B97" t="s">
        <v>1157</v>
      </c>
      <c r="C97" t="s">
        <v>472</v>
      </c>
      <c r="D97" t="s">
        <v>1156</v>
      </c>
      <c r="E97" t="s">
        <v>541</v>
      </c>
      <c r="F97" t="s">
        <v>63</v>
      </c>
      <c r="G97" t="s">
        <v>603</v>
      </c>
      <c r="H97" t="b">
        <f>TRUE()</f>
        <v>1</v>
      </c>
      <c r="I97" t="b">
        <f>FALSE()</f>
        <v>0</v>
      </c>
      <c r="J97" t="b">
        <f>FALSE()</f>
        <v>0</v>
      </c>
      <c r="K97" t="s">
        <v>65</v>
      </c>
      <c r="L97">
        <v>100</v>
      </c>
      <c r="M97">
        <v>220</v>
      </c>
      <c r="N97">
        <v>15</v>
      </c>
      <c r="O97">
        <v>16</v>
      </c>
      <c r="P97">
        <v>1</v>
      </c>
      <c r="Q97">
        <v>0</v>
      </c>
      <c r="R97">
        <v>11</v>
      </c>
      <c r="S97">
        <v>2</v>
      </c>
      <c r="T97">
        <v>4.5</v>
      </c>
      <c r="U97">
        <v>3.5</v>
      </c>
      <c r="V97">
        <v>0</v>
      </c>
      <c r="W97">
        <v>1</v>
      </c>
      <c r="X97">
        <v>480</v>
      </c>
      <c r="Y97">
        <v>230</v>
      </c>
      <c r="Z97">
        <v>15</v>
      </c>
      <c r="AA97">
        <v>18</v>
      </c>
      <c r="AB97">
        <v>0.9</v>
      </c>
      <c r="AC97">
        <v>1.1000000000000001</v>
      </c>
      <c r="AD97">
        <v>0</v>
      </c>
      <c r="AE97">
        <v>10</v>
      </c>
      <c r="AF97">
        <v>0</v>
      </c>
      <c r="AG97">
        <v>0</v>
      </c>
      <c r="AH97">
        <v>0</v>
      </c>
      <c r="AI97">
        <v>60</v>
      </c>
      <c r="AJ97">
        <v>9.6</v>
      </c>
      <c r="AK97" t="s">
        <v>66</v>
      </c>
      <c r="AL97" t="s">
        <v>65</v>
      </c>
      <c r="AM97" t="s">
        <v>65</v>
      </c>
      <c r="AN97" t="s">
        <v>67</v>
      </c>
      <c r="AO97" t="s">
        <v>68</v>
      </c>
      <c r="AP97" t="s">
        <v>67</v>
      </c>
      <c r="AQ97" t="s">
        <v>70</v>
      </c>
      <c r="AR97" t="s">
        <v>71</v>
      </c>
      <c r="AS97" t="s">
        <v>530</v>
      </c>
      <c r="AT97" t="s">
        <v>1148</v>
      </c>
    </row>
    <row r="98" spans="1:46" ht="15" customHeight="1" x14ac:dyDescent="0.2">
      <c r="A98">
        <v>1614</v>
      </c>
      <c r="B98" t="s">
        <v>1158</v>
      </c>
      <c r="C98" t="s">
        <v>472</v>
      </c>
      <c r="D98" t="s">
        <v>1156</v>
      </c>
      <c r="E98" t="s">
        <v>541</v>
      </c>
      <c r="F98" t="s">
        <v>63</v>
      </c>
      <c r="G98" t="s">
        <v>603</v>
      </c>
      <c r="H98" t="b">
        <f>TRUE()</f>
        <v>1</v>
      </c>
      <c r="I98" t="b">
        <f>FALSE()</f>
        <v>0</v>
      </c>
      <c r="J98" t="b">
        <f>FALSE()</f>
        <v>0</v>
      </c>
      <c r="K98" t="s">
        <v>65</v>
      </c>
      <c r="L98">
        <v>100</v>
      </c>
      <c r="M98">
        <v>220</v>
      </c>
      <c r="N98">
        <v>15</v>
      </c>
      <c r="O98">
        <v>16</v>
      </c>
      <c r="P98">
        <v>1</v>
      </c>
      <c r="Q98">
        <v>0</v>
      </c>
      <c r="R98">
        <v>11</v>
      </c>
      <c r="S98">
        <v>2</v>
      </c>
      <c r="T98">
        <v>4.5</v>
      </c>
      <c r="U98">
        <v>3.5</v>
      </c>
      <c r="V98">
        <v>0</v>
      </c>
      <c r="W98">
        <v>1</v>
      </c>
      <c r="X98">
        <v>480</v>
      </c>
      <c r="Y98">
        <v>230</v>
      </c>
      <c r="Z98">
        <v>15</v>
      </c>
      <c r="AA98">
        <v>18</v>
      </c>
      <c r="AB98">
        <v>0.9</v>
      </c>
      <c r="AC98">
        <v>1.1000000000000001</v>
      </c>
      <c r="AD98">
        <v>0</v>
      </c>
      <c r="AE98">
        <v>10</v>
      </c>
      <c r="AF98">
        <v>0</v>
      </c>
      <c r="AG98">
        <v>0</v>
      </c>
      <c r="AH98">
        <v>0</v>
      </c>
      <c r="AI98">
        <v>60</v>
      </c>
      <c r="AJ98">
        <v>9.6</v>
      </c>
      <c r="AK98" t="s">
        <v>66</v>
      </c>
      <c r="AL98" t="s">
        <v>65</v>
      </c>
      <c r="AM98" t="s">
        <v>65</v>
      </c>
      <c r="AN98" t="s">
        <v>67</v>
      </c>
      <c r="AO98" t="s">
        <v>68</v>
      </c>
      <c r="AP98" t="s">
        <v>67</v>
      </c>
      <c r="AQ98" t="s">
        <v>70</v>
      </c>
      <c r="AR98" t="s">
        <v>71</v>
      </c>
      <c r="AS98" t="s">
        <v>530</v>
      </c>
      <c r="AT98" t="s">
        <v>1148</v>
      </c>
    </row>
    <row r="99" spans="1:46" ht="15" customHeight="1" x14ac:dyDescent="0.2">
      <c r="A99">
        <v>1615</v>
      </c>
      <c r="B99" t="s">
        <v>1159</v>
      </c>
      <c r="C99" t="s">
        <v>610</v>
      </c>
      <c r="D99" t="s">
        <v>611</v>
      </c>
      <c r="E99" t="s">
        <v>1160</v>
      </c>
      <c r="F99" t="s">
        <v>63</v>
      </c>
      <c r="G99" t="s">
        <v>64</v>
      </c>
      <c r="H99" t="b">
        <f>FALSE()</f>
        <v>0</v>
      </c>
      <c r="I99" t="b">
        <f>FALSE()</f>
        <v>0</v>
      </c>
      <c r="J99" t="b">
        <f>TRUE()</f>
        <v>1</v>
      </c>
      <c r="K99" t="s">
        <v>65</v>
      </c>
      <c r="L99">
        <v>100</v>
      </c>
      <c r="M99">
        <v>602.20000000000005</v>
      </c>
      <c r="N99">
        <v>21.84</v>
      </c>
      <c r="O99">
        <v>22.25</v>
      </c>
      <c r="P99">
        <v>4.53</v>
      </c>
      <c r="Q99">
        <v>0.72</v>
      </c>
      <c r="R99">
        <v>51.4</v>
      </c>
      <c r="S99">
        <v>3.91</v>
      </c>
      <c r="T99">
        <v>32.549999999999997</v>
      </c>
      <c r="U99">
        <v>12.67</v>
      </c>
      <c r="V99">
        <v>0</v>
      </c>
      <c r="W99">
        <v>12.5</v>
      </c>
      <c r="X99">
        <v>1</v>
      </c>
      <c r="Y99">
        <v>733</v>
      </c>
      <c r="Z99">
        <v>269</v>
      </c>
      <c r="AA99">
        <v>270</v>
      </c>
      <c r="AB99">
        <v>3.7</v>
      </c>
      <c r="AC99">
        <v>3.1</v>
      </c>
      <c r="AD99">
        <v>0</v>
      </c>
      <c r="AE99">
        <v>37</v>
      </c>
      <c r="AF99">
        <v>0</v>
      </c>
      <c r="AG99">
        <v>0</v>
      </c>
      <c r="AH99">
        <v>0</v>
      </c>
      <c r="AI99">
        <v>15</v>
      </c>
      <c r="AJ99">
        <v>3.3</v>
      </c>
      <c r="AK99" t="s">
        <v>66</v>
      </c>
      <c r="AL99" t="s">
        <v>87</v>
      </c>
      <c r="AM99" t="s">
        <v>87</v>
      </c>
      <c r="AN99" t="s">
        <v>67</v>
      </c>
      <c r="AO99" t="s">
        <v>68</v>
      </c>
      <c r="AP99" t="s">
        <v>67</v>
      </c>
      <c r="AQ99" t="s">
        <v>70</v>
      </c>
      <c r="AR99" t="s">
        <v>71</v>
      </c>
      <c r="AS99" t="s">
        <v>530</v>
      </c>
      <c r="AT99" t="s">
        <v>800</v>
      </c>
    </row>
    <row r="100" spans="1:46" ht="15" customHeight="1" x14ac:dyDescent="0.2">
      <c r="A100">
        <v>1616</v>
      </c>
      <c r="B100" t="s">
        <v>1161</v>
      </c>
      <c r="C100" t="s">
        <v>610</v>
      </c>
      <c r="D100" t="s">
        <v>611</v>
      </c>
      <c r="E100" t="s">
        <v>1160</v>
      </c>
      <c r="F100" t="s">
        <v>63</v>
      </c>
      <c r="G100" t="s">
        <v>64</v>
      </c>
      <c r="H100" t="b">
        <f>FALSE()</f>
        <v>0</v>
      </c>
      <c r="I100" t="b">
        <f>FALSE()</f>
        <v>0</v>
      </c>
      <c r="J100" t="b">
        <f>TRUE()</f>
        <v>1</v>
      </c>
      <c r="K100" t="s">
        <v>65</v>
      </c>
      <c r="L100">
        <v>100</v>
      </c>
      <c r="M100">
        <v>602.20000000000005</v>
      </c>
      <c r="N100">
        <v>21.84</v>
      </c>
      <c r="O100">
        <v>22.25</v>
      </c>
      <c r="P100">
        <v>4.53</v>
      </c>
      <c r="Q100">
        <v>0.72</v>
      </c>
      <c r="R100">
        <v>51.4</v>
      </c>
      <c r="S100">
        <v>3.91</v>
      </c>
      <c r="T100">
        <v>32.549999999999997</v>
      </c>
      <c r="U100">
        <v>12.67</v>
      </c>
      <c r="V100">
        <v>0</v>
      </c>
      <c r="W100">
        <v>12.5</v>
      </c>
      <c r="X100">
        <v>1</v>
      </c>
      <c r="Y100">
        <v>733</v>
      </c>
      <c r="Z100">
        <v>269</v>
      </c>
      <c r="AA100">
        <v>270</v>
      </c>
      <c r="AB100">
        <v>3.7</v>
      </c>
      <c r="AC100">
        <v>3.1</v>
      </c>
      <c r="AD100">
        <v>0</v>
      </c>
      <c r="AE100">
        <v>37</v>
      </c>
      <c r="AF100">
        <v>0</v>
      </c>
      <c r="AG100">
        <v>0</v>
      </c>
      <c r="AH100">
        <v>0</v>
      </c>
      <c r="AI100">
        <v>15</v>
      </c>
      <c r="AJ100">
        <v>3.3</v>
      </c>
      <c r="AK100" t="s">
        <v>66</v>
      </c>
      <c r="AL100" t="s">
        <v>87</v>
      </c>
      <c r="AM100" t="s">
        <v>87</v>
      </c>
      <c r="AN100" t="s">
        <v>67</v>
      </c>
      <c r="AO100" t="s">
        <v>68</v>
      </c>
      <c r="AP100" t="s">
        <v>67</v>
      </c>
      <c r="AQ100" t="s">
        <v>70</v>
      </c>
      <c r="AR100" t="s">
        <v>71</v>
      </c>
      <c r="AS100" t="s">
        <v>530</v>
      </c>
      <c r="AT100" t="s">
        <v>800</v>
      </c>
    </row>
    <row r="101" spans="1:46" ht="15" customHeight="1" x14ac:dyDescent="0.2">
      <c r="A101">
        <v>1617</v>
      </c>
      <c r="B101" t="s">
        <v>1162</v>
      </c>
      <c r="C101" t="s">
        <v>610</v>
      </c>
      <c r="D101" t="s">
        <v>611</v>
      </c>
      <c r="E101" t="s">
        <v>1160</v>
      </c>
      <c r="F101" t="s">
        <v>63</v>
      </c>
      <c r="G101" t="s">
        <v>64</v>
      </c>
      <c r="H101" t="b">
        <f>FALSE()</f>
        <v>0</v>
      </c>
      <c r="I101" t="b">
        <f>FALSE()</f>
        <v>0</v>
      </c>
      <c r="J101" t="b">
        <f>TRUE()</f>
        <v>1</v>
      </c>
      <c r="K101" t="s">
        <v>65</v>
      </c>
      <c r="L101">
        <v>100</v>
      </c>
      <c r="M101">
        <v>602.20000000000005</v>
      </c>
      <c r="N101">
        <v>21.84</v>
      </c>
      <c r="O101">
        <v>22.25</v>
      </c>
      <c r="P101">
        <v>4.53</v>
      </c>
      <c r="Q101">
        <v>0.72</v>
      </c>
      <c r="R101">
        <v>51.4</v>
      </c>
      <c r="S101">
        <v>3.91</v>
      </c>
      <c r="T101">
        <v>32.549999999999997</v>
      </c>
      <c r="U101">
        <v>12.67</v>
      </c>
      <c r="V101">
        <v>0</v>
      </c>
      <c r="W101">
        <v>12.5</v>
      </c>
      <c r="X101">
        <v>1</v>
      </c>
      <c r="Y101">
        <v>733</v>
      </c>
      <c r="Z101">
        <v>269</v>
      </c>
      <c r="AA101">
        <v>270</v>
      </c>
      <c r="AB101">
        <v>3.7</v>
      </c>
      <c r="AC101">
        <v>3.1</v>
      </c>
      <c r="AD101">
        <v>0</v>
      </c>
      <c r="AE101">
        <v>37</v>
      </c>
      <c r="AF101">
        <v>0</v>
      </c>
      <c r="AG101">
        <v>0</v>
      </c>
      <c r="AH101">
        <v>0</v>
      </c>
      <c r="AI101">
        <v>15</v>
      </c>
      <c r="AJ101">
        <v>3.3</v>
      </c>
      <c r="AK101" t="s">
        <v>66</v>
      </c>
      <c r="AL101" t="s">
        <v>87</v>
      </c>
      <c r="AM101" t="s">
        <v>87</v>
      </c>
      <c r="AN101" t="s">
        <v>67</v>
      </c>
      <c r="AO101" t="s">
        <v>68</v>
      </c>
      <c r="AP101" t="s">
        <v>67</v>
      </c>
      <c r="AQ101" t="s">
        <v>70</v>
      </c>
      <c r="AR101" t="s">
        <v>71</v>
      </c>
      <c r="AS101" t="s">
        <v>530</v>
      </c>
      <c r="AT101" t="s">
        <v>800</v>
      </c>
    </row>
    <row r="102" spans="1:46" ht="15" customHeight="1" x14ac:dyDescent="0.2">
      <c r="A102">
        <v>1618</v>
      </c>
      <c r="B102" t="s">
        <v>1163</v>
      </c>
      <c r="C102" t="s">
        <v>610</v>
      </c>
      <c r="D102" t="s">
        <v>611</v>
      </c>
      <c r="E102" t="s">
        <v>216</v>
      </c>
      <c r="F102" t="s">
        <v>63</v>
      </c>
      <c r="G102" t="s">
        <v>473</v>
      </c>
      <c r="H102" t="b">
        <f>FALSE()</f>
        <v>0</v>
      </c>
      <c r="I102" t="b">
        <f>FALSE()</f>
        <v>0</v>
      </c>
      <c r="J102" t="b">
        <f>TRUE()</f>
        <v>1</v>
      </c>
      <c r="K102" t="s">
        <v>65</v>
      </c>
      <c r="L102">
        <v>100</v>
      </c>
      <c r="M102">
        <v>694.8</v>
      </c>
      <c r="N102">
        <v>22.26</v>
      </c>
      <c r="O102">
        <v>22.68</v>
      </c>
      <c r="P102">
        <v>4.62</v>
      </c>
      <c r="Q102">
        <v>0.73</v>
      </c>
      <c r="R102">
        <v>67.37</v>
      </c>
      <c r="S102">
        <v>5.13</v>
      </c>
      <c r="T102">
        <v>44.79</v>
      </c>
      <c r="U102">
        <v>15.77</v>
      </c>
      <c r="V102">
        <v>0</v>
      </c>
      <c r="W102">
        <v>12.5</v>
      </c>
      <c r="X102">
        <v>420</v>
      </c>
      <c r="Y102">
        <v>733</v>
      </c>
      <c r="Z102">
        <v>269</v>
      </c>
      <c r="AA102">
        <v>270</v>
      </c>
      <c r="AB102">
        <v>3.7</v>
      </c>
      <c r="AC102">
        <v>3.1</v>
      </c>
      <c r="AD102">
        <v>0</v>
      </c>
      <c r="AE102">
        <v>33</v>
      </c>
      <c r="AF102">
        <v>0</v>
      </c>
      <c r="AG102">
        <v>0</v>
      </c>
      <c r="AH102">
        <v>0</v>
      </c>
      <c r="AI102">
        <v>15</v>
      </c>
      <c r="AJ102">
        <v>3.4</v>
      </c>
      <c r="AK102" t="s">
        <v>66</v>
      </c>
      <c r="AL102" t="s">
        <v>87</v>
      </c>
      <c r="AM102" t="s">
        <v>87</v>
      </c>
      <c r="AN102" t="s">
        <v>67</v>
      </c>
      <c r="AO102" t="s">
        <v>68</v>
      </c>
      <c r="AP102" t="s">
        <v>67</v>
      </c>
      <c r="AQ102" t="s">
        <v>70</v>
      </c>
      <c r="AR102" t="s">
        <v>71</v>
      </c>
      <c r="AS102" t="s">
        <v>530</v>
      </c>
      <c r="AT102" t="s">
        <v>800</v>
      </c>
    </row>
    <row r="103" spans="1:46" ht="15" customHeight="1" x14ac:dyDescent="0.2">
      <c r="A103">
        <v>1619</v>
      </c>
      <c r="B103" t="s">
        <v>1164</v>
      </c>
      <c r="C103" t="s">
        <v>610</v>
      </c>
      <c r="D103" t="s">
        <v>611</v>
      </c>
      <c r="E103" t="s">
        <v>216</v>
      </c>
      <c r="F103" t="s">
        <v>63</v>
      </c>
      <c r="G103" t="s">
        <v>473</v>
      </c>
      <c r="H103" t="b">
        <f>FALSE()</f>
        <v>0</v>
      </c>
      <c r="I103" t="b">
        <f>FALSE()</f>
        <v>0</v>
      </c>
      <c r="J103" t="b">
        <f>TRUE()</f>
        <v>1</v>
      </c>
      <c r="K103" t="s">
        <v>65</v>
      </c>
      <c r="L103">
        <v>100</v>
      </c>
      <c r="M103">
        <v>694.8</v>
      </c>
      <c r="N103">
        <v>22.26</v>
      </c>
      <c r="O103">
        <v>22.68</v>
      </c>
      <c r="P103">
        <v>4.62</v>
      </c>
      <c r="Q103">
        <v>0.73</v>
      </c>
      <c r="R103">
        <v>67.37</v>
      </c>
      <c r="S103">
        <v>5.13</v>
      </c>
      <c r="T103">
        <v>44.79</v>
      </c>
      <c r="U103">
        <v>15.77</v>
      </c>
      <c r="V103">
        <v>0</v>
      </c>
      <c r="W103">
        <v>12.5</v>
      </c>
      <c r="X103">
        <v>420</v>
      </c>
      <c r="Y103">
        <v>733</v>
      </c>
      <c r="Z103">
        <v>269</v>
      </c>
      <c r="AA103">
        <v>270</v>
      </c>
      <c r="AB103">
        <v>3.7</v>
      </c>
      <c r="AC103">
        <v>3.1</v>
      </c>
      <c r="AD103">
        <v>0</v>
      </c>
      <c r="AE103">
        <v>33</v>
      </c>
      <c r="AF103">
        <v>0</v>
      </c>
      <c r="AG103">
        <v>0</v>
      </c>
      <c r="AH103">
        <v>0</v>
      </c>
      <c r="AI103">
        <v>15</v>
      </c>
      <c r="AJ103">
        <v>3.4</v>
      </c>
      <c r="AK103" t="s">
        <v>66</v>
      </c>
      <c r="AL103" t="s">
        <v>87</v>
      </c>
      <c r="AM103" t="s">
        <v>87</v>
      </c>
      <c r="AN103" t="s">
        <v>67</v>
      </c>
      <c r="AO103" t="s">
        <v>68</v>
      </c>
      <c r="AP103" t="s">
        <v>67</v>
      </c>
      <c r="AQ103" t="s">
        <v>70</v>
      </c>
      <c r="AR103" t="s">
        <v>71</v>
      </c>
      <c r="AS103" t="s">
        <v>530</v>
      </c>
      <c r="AT103" t="s">
        <v>800</v>
      </c>
    </row>
    <row r="104" spans="1:46" ht="15" customHeight="1" x14ac:dyDescent="0.2">
      <c r="A104">
        <v>1620</v>
      </c>
      <c r="B104" t="s">
        <v>1165</v>
      </c>
      <c r="C104" t="s">
        <v>610</v>
      </c>
      <c r="D104" t="s">
        <v>611</v>
      </c>
      <c r="E104" t="s">
        <v>216</v>
      </c>
      <c r="F104" t="s">
        <v>63</v>
      </c>
      <c r="G104" t="s">
        <v>473</v>
      </c>
      <c r="H104" t="b">
        <f>FALSE()</f>
        <v>0</v>
      </c>
      <c r="I104" t="b">
        <f>FALSE()</f>
        <v>0</v>
      </c>
      <c r="J104" t="b">
        <f>TRUE()</f>
        <v>1</v>
      </c>
      <c r="K104" t="s">
        <v>65</v>
      </c>
      <c r="L104">
        <v>100</v>
      </c>
      <c r="M104">
        <v>694.8</v>
      </c>
      <c r="N104">
        <v>22.26</v>
      </c>
      <c r="O104">
        <v>22.68</v>
      </c>
      <c r="P104">
        <v>4.62</v>
      </c>
      <c r="Q104">
        <v>0.73</v>
      </c>
      <c r="R104">
        <v>67.37</v>
      </c>
      <c r="S104">
        <v>5.13</v>
      </c>
      <c r="T104">
        <v>44.79</v>
      </c>
      <c r="U104">
        <v>15.77</v>
      </c>
      <c r="V104">
        <v>0</v>
      </c>
      <c r="W104">
        <v>12.5</v>
      </c>
      <c r="X104">
        <v>420</v>
      </c>
      <c r="Y104">
        <v>733</v>
      </c>
      <c r="Z104">
        <v>269</v>
      </c>
      <c r="AA104">
        <v>270</v>
      </c>
      <c r="AB104">
        <v>3.7</v>
      </c>
      <c r="AC104">
        <v>3.1</v>
      </c>
      <c r="AD104">
        <v>0</v>
      </c>
      <c r="AE104">
        <v>33</v>
      </c>
      <c r="AF104">
        <v>0</v>
      </c>
      <c r="AG104">
        <v>0</v>
      </c>
      <c r="AH104">
        <v>0</v>
      </c>
      <c r="AI104">
        <v>15</v>
      </c>
      <c r="AJ104">
        <v>3.4</v>
      </c>
      <c r="AK104" t="s">
        <v>66</v>
      </c>
      <c r="AL104" t="s">
        <v>87</v>
      </c>
      <c r="AM104" t="s">
        <v>87</v>
      </c>
      <c r="AN104" t="s">
        <v>67</v>
      </c>
      <c r="AO104" t="s">
        <v>68</v>
      </c>
      <c r="AP104" t="s">
        <v>67</v>
      </c>
      <c r="AQ104" t="s">
        <v>70</v>
      </c>
      <c r="AR104" t="s">
        <v>71</v>
      </c>
      <c r="AS104" t="s">
        <v>530</v>
      </c>
      <c r="AT104" t="s">
        <v>800</v>
      </c>
    </row>
    <row r="105" spans="1:46" ht="15" customHeight="1" x14ac:dyDescent="0.2">
      <c r="A105">
        <v>1621</v>
      </c>
      <c r="B105" t="s">
        <v>1166</v>
      </c>
      <c r="C105" t="s">
        <v>610</v>
      </c>
      <c r="D105" t="s">
        <v>611</v>
      </c>
      <c r="E105" t="s">
        <v>1160</v>
      </c>
      <c r="F105" t="s">
        <v>63</v>
      </c>
      <c r="G105" t="s">
        <v>64</v>
      </c>
      <c r="H105" t="b">
        <f>FALSE()</f>
        <v>0</v>
      </c>
      <c r="I105" t="b">
        <f>FALSE()</f>
        <v>0</v>
      </c>
      <c r="J105" t="b">
        <f>TRUE()</f>
        <v>1</v>
      </c>
      <c r="K105" t="s">
        <v>65</v>
      </c>
      <c r="L105">
        <v>100</v>
      </c>
      <c r="M105">
        <v>680.2</v>
      </c>
      <c r="N105">
        <v>15.66</v>
      </c>
      <c r="O105">
        <v>14.11</v>
      </c>
      <c r="P105">
        <v>2.68</v>
      </c>
      <c r="Q105">
        <v>0.1</v>
      </c>
      <c r="R105">
        <v>67.16</v>
      </c>
      <c r="S105">
        <v>6.28</v>
      </c>
      <c r="T105">
        <v>9.17</v>
      </c>
      <c r="U105">
        <v>48.62</v>
      </c>
      <c r="V105">
        <v>9.3699999999999992</v>
      </c>
      <c r="W105">
        <v>6.7</v>
      </c>
      <c r="X105">
        <v>1</v>
      </c>
      <c r="Y105">
        <v>441</v>
      </c>
      <c r="Z105">
        <v>98</v>
      </c>
      <c r="AA105">
        <v>158</v>
      </c>
      <c r="AB105">
        <v>2.9</v>
      </c>
      <c r="AC105">
        <v>3.1</v>
      </c>
      <c r="AD105">
        <v>0.8</v>
      </c>
      <c r="AE105">
        <v>83</v>
      </c>
      <c r="AF105">
        <v>0</v>
      </c>
      <c r="AG105">
        <v>0</v>
      </c>
      <c r="AH105">
        <v>0</v>
      </c>
      <c r="AI105">
        <v>15</v>
      </c>
      <c r="AJ105">
        <v>2.1</v>
      </c>
      <c r="AK105" t="s">
        <v>66</v>
      </c>
      <c r="AL105" t="s">
        <v>87</v>
      </c>
      <c r="AM105" t="s">
        <v>87</v>
      </c>
      <c r="AN105" t="s">
        <v>67</v>
      </c>
      <c r="AO105" t="s">
        <v>68</v>
      </c>
      <c r="AP105" t="s">
        <v>67</v>
      </c>
      <c r="AQ105" t="s">
        <v>70</v>
      </c>
      <c r="AR105" t="s">
        <v>71</v>
      </c>
      <c r="AS105" t="s">
        <v>530</v>
      </c>
      <c r="AT105" t="s">
        <v>800</v>
      </c>
    </row>
    <row r="106" spans="1:46" ht="15" customHeight="1" x14ac:dyDescent="0.2">
      <c r="A106">
        <v>1622</v>
      </c>
      <c r="B106" t="s">
        <v>1167</v>
      </c>
      <c r="C106" t="s">
        <v>610</v>
      </c>
      <c r="D106" t="s">
        <v>611</v>
      </c>
      <c r="E106" t="s">
        <v>1160</v>
      </c>
      <c r="F106" t="s">
        <v>63</v>
      </c>
      <c r="G106" t="s">
        <v>64</v>
      </c>
      <c r="H106" t="b">
        <f>FALSE()</f>
        <v>0</v>
      </c>
      <c r="I106" t="b">
        <f>FALSE()</f>
        <v>0</v>
      </c>
      <c r="J106" t="b">
        <f>TRUE()</f>
        <v>1</v>
      </c>
      <c r="K106" t="s">
        <v>65</v>
      </c>
      <c r="L106">
        <v>100</v>
      </c>
      <c r="M106">
        <v>680.2</v>
      </c>
      <c r="N106">
        <v>15.66</v>
      </c>
      <c r="O106">
        <v>14.11</v>
      </c>
      <c r="P106">
        <v>2.68</v>
      </c>
      <c r="Q106">
        <v>0.1</v>
      </c>
      <c r="R106">
        <v>67.16</v>
      </c>
      <c r="S106">
        <v>6.28</v>
      </c>
      <c r="T106">
        <v>9.17</v>
      </c>
      <c r="U106">
        <v>48.62</v>
      </c>
      <c r="V106">
        <v>9.3699999999999992</v>
      </c>
      <c r="W106">
        <v>6.7</v>
      </c>
      <c r="X106">
        <v>1</v>
      </c>
      <c r="Y106">
        <v>441</v>
      </c>
      <c r="Z106">
        <v>98</v>
      </c>
      <c r="AA106">
        <v>158</v>
      </c>
      <c r="AB106">
        <v>2.9</v>
      </c>
      <c r="AC106">
        <v>3.1</v>
      </c>
      <c r="AD106">
        <v>0.8</v>
      </c>
      <c r="AE106">
        <v>83</v>
      </c>
      <c r="AF106">
        <v>0</v>
      </c>
      <c r="AG106">
        <v>0</v>
      </c>
      <c r="AH106">
        <v>0</v>
      </c>
      <c r="AI106">
        <v>15</v>
      </c>
      <c r="AJ106">
        <v>2.1</v>
      </c>
      <c r="AK106" t="s">
        <v>66</v>
      </c>
      <c r="AL106" t="s">
        <v>87</v>
      </c>
      <c r="AM106" t="s">
        <v>87</v>
      </c>
      <c r="AN106" t="s">
        <v>67</v>
      </c>
      <c r="AO106" t="s">
        <v>68</v>
      </c>
      <c r="AP106" t="s">
        <v>67</v>
      </c>
      <c r="AQ106" t="s">
        <v>70</v>
      </c>
      <c r="AR106" t="s">
        <v>71</v>
      </c>
      <c r="AS106" t="s">
        <v>530</v>
      </c>
      <c r="AT106" t="s">
        <v>800</v>
      </c>
    </row>
    <row r="107" spans="1:46" ht="15" customHeight="1" x14ac:dyDescent="0.2">
      <c r="A107">
        <v>1623</v>
      </c>
      <c r="B107" t="s">
        <v>1168</v>
      </c>
      <c r="C107" t="s">
        <v>610</v>
      </c>
      <c r="D107" t="s">
        <v>611</v>
      </c>
      <c r="E107" t="s">
        <v>1160</v>
      </c>
      <c r="F107" t="s">
        <v>63</v>
      </c>
      <c r="G107" t="s">
        <v>64</v>
      </c>
      <c r="H107" t="b">
        <f>FALSE()</f>
        <v>0</v>
      </c>
      <c r="I107" t="b">
        <f>FALSE()</f>
        <v>0</v>
      </c>
      <c r="J107" t="b">
        <f>TRUE()</f>
        <v>1</v>
      </c>
      <c r="K107" t="s">
        <v>65</v>
      </c>
      <c r="L107">
        <v>100</v>
      </c>
      <c r="M107">
        <v>680.2</v>
      </c>
      <c r="N107">
        <v>15.66</v>
      </c>
      <c r="O107">
        <v>14.11</v>
      </c>
      <c r="P107">
        <v>2.68</v>
      </c>
      <c r="Q107">
        <v>0.1</v>
      </c>
      <c r="R107">
        <v>67.16</v>
      </c>
      <c r="S107">
        <v>6.28</v>
      </c>
      <c r="T107">
        <v>9.17</v>
      </c>
      <c r="U107">
        <v>48.62</v>
      </c>
      <c r="V107">
        <v>9.3699999999999992</v>
      </c>
      <c r="W107">
        <v>6.7</v>
      </c>
      <c r="X107">
        <v>1</v>
      </c>
      <c r="Y107">
        <v>441</v>
      </c>
      <c r="Z107">
        <v>98</v>
      </c>
      <c r="AA107">
        <v>158</v>
      </c>
      <c r="AB107">
        <v>2.9</v>
      </c>
      <c r="AC107">
        <v>3.1</v>
      </c>
      <c r="AD107">
        <v>0.8</v>
      </c>
      <c r="AE107">
        <v>83</v>
      </c>
      <c r="AF107">
        <v>0</v>
      </c>
      <c r="AG107">
        <v>0</v>
      </c>
      <c r="AH107">
        <v>0</v>
      </c>
      <c r="AI107">
        <v>15</v>
      </c>
      <c r="AJ107">
        <v>2.1</v>
      </c>
      <c r="AK107" t="s">
        <v>66</v>
      </c>
      <c r="AL107" t="s">
        <v>87</v>
      </c>
      <c r="AM107" t="s">
        <v>87</v>
      </c>
      <c r="AN107" t="s">
        <v>67</v>
      </c>
      <c r="AO107" t="s">
        <v>68</v>
      </c>
      <c r="AP107" t="s">
        <v>67</v>
      </c>
      <c r="AQ107" t="s">
        <v>70</v>
      </c>
      <c r="AR107" t="s">
        <v>71</v>
      </c>
      <c r="AS107" t="s">
        <v>530</v>
      </c>
      <c r="AT107" t="s">
        <v>800</v>
      </c>
    </row>
    <row r="108" spans="1:46" ht="15" customHeight="1" x14ac:dyDescent="0.2">
      <c r="A108">
        <v>1624</v>
      </c>
      <c r="B108" t="s">
        <v>1169</v>
      </c>
      <c r="C108" t="s">
        <v>610</v>
      </c>
      <c r="D108" t="s">
        <v>611</v>
      </c>
      <c r="E108" t="s">
        <v>216</v>
      </c>
      <c r="F108" t="s">
        <v>63</v>
      </c>
      <c r="G108" t="s">
        <v>473</v>
      </c>
      <c r="H108" t="b">
        <f>FALSE()</f>
        <v>0</v>
      </c>
      <c r="I108" t="b">
        <f>FALSE()</f>
        <v>0</v>
      </c>
      <c r="J108" t="b">
        <f>TRUE()</f>
        <v>1</v>
      </c>
      <c r="K108" t="s">
        <v>65</v>
      </c>
      <c r="L108">
        <v>100</v>
      </c>
      <c r="M108">
        <v>784.8</v>
      </c>
      <c r="N108">
        <v>15.96</v>
      </c>
      <c r="O108">
        <v>14.38</v>
      </c>
      <c r="P108">
        <v>2.73</v>
      </c>
      <c r="Q108">
        <v>0.11</v>
      </c>
      <c r="R108">
        <v>88.02</v>
      </c>
      <c r="S108">
        <v>8.23</v>
      </c>
      <c r="T108">
        <v>12.62</v>
      </c>
      <c r="U108">
        <v>60.53</v>
      </c>
      <c r="V108">
        <v>12.29</v>
      </c>
      <c r="W108">
        <v>6.7</v>
      </c>
      <c r="X108">
        <v>420</v>
      </c>
      <c r="Y108">
        <v>441</v>
      </c>
      <c r="Z108">
        <v>98</v>
      </c>
      <c r="AA108">
        <v>158</v>
      </c>
      <c r="AB108">
        <v>2.9</v>
      </c>
      <c r="AC108">
        <v>3.1</v>
      </c>
      <c r="AD108">
        <v>0.7</v>
      </c>
      <c r="AE108">
        <v>74</v>
      </c>
      <c r="AF108">
        <v>0</v>
      </c>
      <c r="AG108">
        <v>0</v>
      </c>
      <c r="AH108">
        <v>0</v>
      </c>
      <c r="AI108">
        <v>15</v>
      </c>
      <c r="AJ108">
        <v>2.2000000000000002</v>
      </c>
      <c r="AK108" t="s">
        <v>66</v>
      </c>
      <c r="AL108" t="s">
        <v>87</v>
      </c>
      <c r="AM108" t="s">
        <v>87</v>
      </c>
      <c r="AN108" t="s">
        <v>67</v>
      </c>
      <c r="AO108" t="s">
        <v>68</v>
      </c>
      <c r="AP108" t="s">
        <v>67</v>
      </c>
      <c r="AQ108" t="s">
        <v>70</v>
      </c>
      <c r="AR108" t="s">
        <v>71</v>
      </c>
      <c r="AS108" t="s">
        <v>530</v>
      </c>
      <c r="AT108" t="s">
        <v>800</v>
      </c>
    </row>
    <row r="109" spans="1:46" ht="15" customHeight="1" x14ac:dyDescent="0.2">
      <c r="A109">
        <v>1625</v>
      </c>
      <c r="B109" t="s">
        <v>1170</v>
      </c>
      <c r="C109" t="s">
        <v>610</v>
      </c>
      <c r="D109" t="s">
        <v>611</v>
      </c>
      <c r="E109" t="s">
        <v>216</v>
      </c>
      <c r="F109" t="s">
        <v>63</v>
      </c>
      <c r="G109" t="s">
        <v>473</v>
      </c>
      <c r="H109" t="b">
        <f>FALSE()</f>
        <v>0</v>
      </c>
      <c r="I109" t="b">
        <f>FALSE()</f>
        <v>0</v>
      </c>
      <c r="J109" t="b">
        <f>TRUE()</f>
        <v>1</v>
      </c>
      <c r="K109" t="s">
        <v>65</v>
      </c>
      <c r="L109">
        <v>100</v>
      </c>
      <c r="M109">
        <v>784.8</v>
      </c>
      <c r="N109">
        <v>15.96</v>
      </c>
      <c r="O109">
        <v>14.38</v>
      </c>
      <c r="P109">
        <v>2.73</v>
      </c>
      <c r="Q109">
        <v>0.11</v>
      </c>
      <c r="R109">
        <v>88.02</v>
      </c>
      <c r="S109">
        <v>8.23</v>
      </c>
      <c r="T109">
        <v>12.62</v>
      </c>
      <c r="U109">
        <v>60.53</v>
      </c>
      <c r="V109">
        <v>12.29</v>
      </c>
      <c r="W109">
        <v>6.7</v>
      </c>
      <c r="X109">
        <v>420</v>
      </c>
      <c r="Y109">
        <v>441</v>
      </c>
      <c r="Z109">
        <v>98</v>
      </c>
      <c r="AA109">
        <v>158</v>
      </c>
      <c r="AB109">
        <v>2.9</v>
      </c>
      <c r="AC109">
        <v>3.1</v>
      </c>
      <c r="AD109">
        <v>0.7</v>
      </c>
      <c r="AE109">
        <v>74</v>
      </c>
      <c r="AF109">
        <v>0</v>
      </c>
      <c r="AG109">
        <v>0</v>
      </c>
      <c r="AH109">
        <v>0</v>
      </c>
      <c r="AI109">
        <v>15</v>
      </c>
      <c r="AJ109">
        <v>2.2000000000000002</v>
      </c>
      <c r="AK109" t="s">
        <v>66</v>
      </c>
      <c r="AL109" t="s">
        <v>87</v>
      </c>
      <c r="AM109" t="s">
        <v>87</v>
      </c>
      <c r="AN109" t="s">
        <v>67</v>
      </c>
      <c r="AO109" t="s">
        <v>68</v>
      </c>
      <c r="AP109" t="s">
        <v>67</v>
      </c>
      <c r="AQ109" t="s">
        <v>70</v>
      </c>
      <c r="AR109" t="s">
        <v>71</v>
      </c>
      <c r="AS109" t="s">
        <v>530</v>
      </c>
      <c r="AT109" t="s">
        <v>800</v>
      </c>
    </row>
    <row r="110" spans="1:46" ht="15" customHeight="1" x14ac:dyDescent="0.2">
      <c r="A110">
        <v>1626</v>
      </c>
      <c r="B110" t="s">
        <v>1171</v>
      </c>
      <c r="C110" t="s">
        <v>610</v>
      </c>
      <c r="D110" t="s">
        <v>611</v>
      </c>
      <c r="E110" t="s">
        <v>216</v>
      </c>
      <c r="F110" t="s">
        <v>63</v>
      </c>
      <c r="G110" t="s">
        <v>473</v>
      </c>
      <c r="H110" t="b">
        <f>FALSE()</f>
        <v>0</v>
      </c>
      <c r="I110" t="b">
        <f>FALSE()</f>
        <v>0</v>
      </c>
      <c r="J110" t="b">
        <f>TRUE()</f>
        <v>1</v>
      </c>
      <c r="K110" t="s">
        <v>65</v>
      </c>
      <c r="L110">
        <v>100</v>
      </c>
      <c r="M110">
        <v>784.8</v>
      </c>
      <c r="N110">
        <v>15.96</v>
      </c>
      <c r="O110">
        <v>14.38</v>
      </c>
      <c r="P110">
        <v>2.73</v>
      </c>
      <c r="Q110">
        <v>0.11</v>
      </c>
      <c r="R110">
        <v>88.02</v>
      </c>
      <c r="S110">
        <v>8.23</v>
      </c>
      <c r="T110">
        <v>12.62</v>
      </c>
      <c r="U110">
        <v>60.53</v>
      </c>
      <c r="V110">
        <v>12.29</v>
      </c>
      <c r="W110">
        <v>6.7</v>
      </c>
      <c r="X110">
        <v>420</v>
      </c>
      <c r="Y110">
        <v>441</v>
      </c>
      <c r="Z110">
        <v>98</v>
      </c>
      <c r="AA110">
        <v>158</v>
      </c>
      <c r="AB110">
        <v>2.9</v>
      </c>
      <c r="AC110">
        <v>3.1</v>
      </c>
      <c r="AD110">
        <v>0.7</v>
      </c>
      <c r="AE110">
        <v>74</v>
      </c>
      <c r="AF110">
        <v>0</v>
      </c>
      <c r="AG110">
        <v>0</v>
      </c>
      <c r="AH110">
        <v>0</v>
      </c>
      <c r="AI110">
        <v>15</v>
      </c>
      <c r="AJ110">
        <v>2.2000000000000002</v>
      </c>
      <c r="AK110" t="s">
        <v>66</v>
      </c>
      <c r="AL110" t="s">
        <v>87</v>
      </c>
      <c r="AM110" t="s">
        <v>87</v>
      </c>
      <c r="AN110" t="s">
        <v>67</v>
      </c>
      <c r="AO110" t="s">
        <v>68</v>
      </c>
      <c r="AP110" t="s">
        <v>67</v>
      </c>
      <c r="AQ110" t="s">
        <v>70</v>
      </c>
      <c r="AR110" t="s">
        <v>71</v>
      </c>
      <c r="AS110" t="s">
        <v>530</v>
      </c>
      <c r="AT110" t="s">
        <v>800</v>
      </c>
    </row>
    <row r="111" spans="1:46" ht="15" customHeight="1" x14ac:dyDescent="0.2">
      <c r="A111">
        <v>1627</v>
      </c>
      <c r="B111" t="s">
        <v>1172</v>
      </c>
      <c r="C111" t="s">
        <v>610</v>
      </c>
      <c r="D111" t="s">
        <v>611</v>
      </c>
      <c r="E111" t="s">
        <v>1160</v>
      </c>
      <c r="F111" t="s">
        <v>63</v>
      </c>
      <c r="G111" t="s">
        <v>64</v>
      </c>
      <c r="H111" t="b">
        <f>FALSE()</f>
        <v>0</v>
      </c>
      <c r="I111" t="b">
        <f>FALSE()</f>
        <v>0</v>
      </c>
      <c r="J111" t="b">
        <f>TRUE()</f>
        <v>1</v>
      </c>
      <c r="K111" t="s">
        <v>65</v>
      </c>
      <c r="L111">
        <v>100</v>
      </c>
      <c r="M111">
        <v>653.1</v>
      </c>
      <c r="N111">
        <v>15.45</v>
      </c>
      <c r="O111">
        <v>17.2</v>
      </c>
      <c r="P111">
        <v>4.43</v>
      </c>
      <c r="Q111">
        <v>0.1</v>
      </c>
      <c r="R111">
        <v>62.62</v>
      </c>
      <c r="S111">
        <v>4.63</v>
      </c>
      <c r="T111">
        <v>47.07</v>
      </c>
      <c r="U111">
        <v>8.14</v>
      </c>
      <c r="V111">
        <v>0.1</v>
      </c>
      <c r="W111">
        <v>9.6999999999999993</v>
      </c>
      <c r="X111">
        <v>1</v>
      </c>
      <c r="Y111">
        <v>680</v>
      </c>
      <c r="Z111">
        <v>114</v>
      </c>
      <c r="AA111">
        <v>163</v>
      </c>
      <c r="AB111">
        <v>4.7</v>
      </c>
      <c r="AC111">
        <v>2.5</v>
      </c>
      <c r="AD111">
        <v>3.8</v>
      </c>
      <c r="AE111">
        <v>96</v>
      </c>
      <c r="AF111">
        <v>0</v>
      </c>
      <c r="AG111">
        <v>0</v>
      </c>
      <c r="AH111">
        <v>0</v>
      </c>
      <c r="AI111">
        <v>15</v>
      </c>
      <c r="AJ111">
        <v>2.6</v>
      </c>
      <c r="AK111" t="s">
        <v>66</v>
      </c>
      <c r="AL111" t="s">
        <v>87</v>
      </c>
      <c r="AM111" t="s">
        <v>87</v>
      </c>
      <c r="AN111" t="s">
        <v>67</v>
      </c>
      <c r="AO111" t="s">
        <v>68</v>
      </c>
      <c r="AP111" t="s">
        <v>67</v>
      </c>
      <c r="AQ111" t="s">
        <v>70</v>
      </c>
      <c r="AR111" t="s">
        <v>71</v>
      </c>
      <c r="AS111" t="s">
        <v>530</v>
      </c>
      <c r="AT111" t="s">
        <v>800</v>
      </c>
    </row>
    <row r="112" spans="1:46" ht="15" customHeight="1" x14ac:dyDescent="0.2">
      <c r="A112">
        <v>1628</v>
      </c>
      <c r="B112" t="s">
        <v>1173</v>
      </c>
      <c r="C112" t="s">
        <v>610</v>
      </c>
      <c r="D112" t="s">
        <v>611</v>
      </c>
      <c r="E112" t="s">
        <v>1160</v>
      </c>
      <c r="F112" t="s">
        <v>63</v>
      </c>
      <c r="G112" t="s">
        <v>64</v>
      </c>
      <c r="H112" t="b">
        <f>FALSE()</f>
        <v>0</v>
      </c>
      <c r="I112" t="b">
        <f>FALSE()</f>
        <v>0</v>
      </c>
      <c r="J112" t="b">
        <f>TRUE()</f>
        <v>1</v>
      </c>
      <c r="K112" t="s">
        <v>65</v>
      </c>
      <c r="L112">
        <v>100</v>
      </c>
      <c r="M112">
        <v>653.1</v>
      </c>
      <c r="N112">
        <v>15.45</v>
      </c>
      <c r="O112">
        <v>17.2</v>
      </c>
      <c r="P112">
        <v>4.43</v>
      </c>
      <c r="Q112">
        <v>0.1</v>
      </c>
      <c r="R112">
        <v>62.62</v>
      </c>
      <c r="S112">
        <v>4.63</v>
      </c>
      <c r="T112">
        <v>47.07</v>
      </c>
      <c r="U112">
        <v>8.14</v>
      </c>
      <c r="V112">
        <v>0.1</v>
      </c>
      <c r="W112">
        <v>9.6999999999999993</v>
      </c>
      <c r="X112">
        <v>1</v>
      </c>
      <c r="Y112">
        <v>680</v>
      </c>
      <c r="Z112">
        <v>114</v>
      </c>
      <c r="AA112">
        <v>163</v>
      </c>
      <c r="AB112">
        <v>4.7</v>
      </c>
      <c r="AC112">
        <v>2.5</v>
      </c>
      <c r="AD112">
        <v>3.8</v>
      </c>
      <c r="AE112">
        <v>96</v>
      </c>
      <c r="AF112">
        <v>0</v>
      </c>
      <c r="AG112">
        <v>0</v>
      </c>
      <c r="AH112">
        <v>0</v>
      </c>
      <c r="AI112">
        <v>15</v>
      </c>
      <c r="AJ112">
        <v>2.6</v>
      </c>
      <c r="AK112" t="s">
        <v>66</v>
      </c>
      <c r="AL112" t="s">
        <v>87</v>
      </c>
      <c r="AM112" t="s">
        <v>87</v>
      </c>
      <c r="AN112" t="s">
        <v>67</v>
      </c>
      <c r="AO112" t="s">
        <v>68</v>
      </c>
      <c r="AP112" t="s">
        <v>67</v>
      </c>
      <c r="AQ112" t="s">
        <v>70</v>
      </c>
      <c r="AR112" t="s">
        <v>71</v>
      </c>
      <c r="AS112" t="s">
        <v>530</v>
      </c>
      <c r="AT112" t="s">
        <v>800</v>
      </c>
    </row>
    <row r="113" spans="1:46" ht="15" customHeight="1" x14ac:dyDescent="0.2">
      <c r="A113">
        <v>1629</v>
      </c>
      <c r="B113" t="s">
        <v>1174</v>
      </c>
      <c r="C113" t="s">
        <v>610</v>
      </c>
      <c r="D113" t="s">
        <v>611</v>
      </c>
      <c r="E113" t="s">
        <v>1160</v>
      </c>
      <c r="F113" t="s">
        <v>63</v>
      </c>
      <c r="G113" t="s">
        <v>64</v>
      </c>
      <c r="H113" t="b">
        <f>FALSE()</f>
        <v>0</v>
      </c>
      <c r="I113" t="b">
        <f>FALSE()</f>
        <v>0</v>
      </c>
      <c r="J113" t="b">
        <f>TRUE()</f>
        <v>1</v>
      </c>
      <c r="K113" t="s">
        <v>65</v>
      </c>
      <c r="L113">
        <v>100</v>
      </c>
      <c r="M113">
        <v>653.1</v>
      </c>
      <c r="N113">
        <v>15.45</v>
      </c>
      <c r="O113">
        <v>17.2</v>
      </c>
      <c r="P113">
        <v>4.43</v>
      </c>
      <c r="Q113">
        <v>0.1</v>
      </c>
      <c r="R113">
        <v>62.62</v>
      </c>
      <c r="S113">
        <v>4.63</v>
      </c>
      <c r="T113">
        <v>47.07</v>
      </c>
      <c r="U113">
        <v>8.14</v>
      </c>
      <c r="V113">
        <v>0.1</v>
      </c>
      <c r="W113">
        <v>9.6999999999999993</v>
      </c>
      <c r="X113">
        <v>1</v>
      </c>
      <c r="Y113">
        <v>680</v>
      </c>
      <c r="Z113">
        <v>114</v>
      </c>
      <c r="AA113">
        <v>163</v>
      </c>
      <c r="AB113">
        <v>4.7</v>
      </c>
      <c r="AC113">
        <v>2.5</v>
      </c>
      <c r="AD113">
        <v>3.8</v>
      </c>
      <c r="AE113">
        <v>96</v>
      </c>
      <c r="AF113">
        <v>0</v>
      </c>
      <c r="AG113">
        <v>0</v>
      </c>
      <c r="AH113">
        <v>0</v>
      </c>
      <c r="AI113">
        <v>15</v>
      </c>
      <c r="AJ113">
        <v>2.6</v>
      </c>
      <c r="AK113" t="s">
        <v>66</v>
      </c>
      <c r="AL113" t="s">
        <v>87</v>
      </c>
      <c r="AM113" t="s">
        <v>87</v>
      </c>
      <c r="AN113" t="s">
        <v>67</v>
      </c>
      <c r="AO113" t="s">
        <v>68</v>
      </c>
      <c r="AP113" t="s">
        <v>67</v>
      </c>
      <c r="AQ113" t="s">
        <v>70</v>
      </c>
      <c r="AR113" t="s">
        <v>71</v>
      </c>
      <c r="AS113" t="s">
        <v>530</v>
      </c>
      <c r="AT113" t="s">
        <v>800</v>
      </c>
    </row>
    <row r="114" spans="1:46" ht="15" customHeight="1" x14ac:dyDescent="0.2">
      <c r="A114">
        <v>1630</v>
      </c>
      <c r="B114" t="s">
        <v>1175</v>
      </c>
      <c r="C114" t="s">
        <v>610</v>
      </c>
      <c r="D114" t="s">
        <v>611</v>
      </c>
      <c r="E114" t="s">
        <v>216</v>
      </c>
      <c r="F114" t="s">
        <v>63</v>
      </c>
      <c r="G114" t="s">
        <v>473</v>
      </c>
      <c r="H114" t="b">
        <f>FALSE()</f>
        <v>0</v>
      </c>
      <c r="I114" t="b">
        <f>FALSE()</f>
        <v>0</v>
      </c>
      <c r="J114" t="b">
        <f>TRUE()</f>
        <v>1</v>
      </c>
      <c r="K114" t="s">
        <v>65</v>
      </c>
      <c r="L114">
        <v>100</v>
      </c>
      <c r="M114">
        <v>753.6</v>
      </c>
      <c r="N114">
        <v>15.75</v>
      </c>
      <c r="O114">
        <v>17.54</v>
      </c>
      <c r="P114">
        <v>4.51</v>
      </c>
      <c r="Q114">
        <v>0.11</v>
      </c>
      <c r="R114">
        <v>82.08</v>
      </c>
      <c r="S114">
        <v>6.08</v>
      </c>
      <c r="T114">
        <v>64.78</v>
      </c>
      <c r="U114">
        <v>10.130000000000001</v>
      </c>
      <c r="V114">
        <v>0.14000000000000001</v>
      </c>
      <c r="W114">
        <v>9.6999999999999993</v>
      </c>
      <c r="X114">
        <v>420</v>
      </c>
      <c r="Y114">
        <v>680</v>
      </c>
      <c r="Z114">
        <v>114</v>
      </c>
      <c r="AA114">
        <v>163</v>
      </c>
      <c r="AB114">
        <v>4.7</v>
      </c>
      <c r="AC114">
        <v>2.5</v>
      </c>
      <c r="AD114">
        <v>3.1</v>
      </c>
      <c r="AE114">
        <v>85</v>
      </c>
      <c r="AF114">
        <v>0</v>
      </c>
      <c r="AG114">
        <v>0</v>
      </c>
      <c r="AH114">
        <v>0</v>
      </c>
      <c r="AI114">
        <v>15</v>
      </c>
      <c r="AJ114">
        <v>2.6</v>
      </c>
      <c r="AK114" t="s">
        <v>66</v>
      </c>
      <c r="AL114" t="s">
        <v>87</v>
      </c>
      <c r="AM114" t="s">
        <v>87</v>
      </c>
      <c r="AN114" t="s">
        <v>67</v>
      </c>
      <c r="AO114" t="s">
        <v>68</v>
      </c>
      <c r="AP114" t="s">
        <v>67</v>
      </c>
      <c r="AQ114" t="s">
        <v>70</v>
      </c>
      <c r="AR114" t="s">
        <v>71</v>
      </c>
      <c r="AS114" t="s">
        <v>530</v>
      </c>
      <c r="AT114" t="s">
        <v>800</v>
      </c>
    </row>
    <row r="115" spans="1:46" ht="15" customHeight="1" x14ac:dyDescent="0.2">
      <c r="A115">
        <v>1631</v>
      </c>
      <c r="B115" t="s">
        <v>1176</v>
      </c>
      <c r="C115" t="s">
        <v>610</v>
      </c>
      <c r="D115" t="s">
        <v>611</v>
      </c>
      <c r="E115" t="s">
        <v>216</v>
      </c>
      <c r="F115" t="s">
        <v>63</v>
      </c>
      <c r="G115" t="s">
        <v>473</v>
      </c>
      <c r="H115" t="b">
        <f>FALSE()</f>
        <v>0</v>
      </c>
      <c r="I115" t="b">
        <f>FALSE()</f>
        <v>0</v>
      </c>
      <c r="J115" t="b">
        <f>TRUE()</f>
        <v>1</v>
      </c>
      <c r="K115" t="s">
        <v>65</v>
      </c>
      <c r="L115">
        <v>100</v>
      </c>
      <c r="M115">
        <v>753.6</v>
      </c>
      <c r="N115">
        <v>15.75</v>
      </c>
      <c r="O115">
        <v>17.54</v>
      </c>
      <c r="P115">
        <v>4.51</v>
      </c>
      <c r="Q115">
        <v>0.11</v>
      </c>
      <c r="R115">
        <v>82.08</v>
      </c>
      <c r="S115">
        <v>6.08</v>
      </c>
      <c r="T115">
        <v>64.78</v>
      </c>
      <c r="U115">
        <v>10.130000000000001</v>
      </c>
      <c r="V115">
        <v>0.14000000000000001</v>
      </c>
      <c r="W115">
        <v>9.6999999999999993</v>
      </c>
      <c r="X115">
        <v>420</v>
      </c>
      <c r="Y115">
        <v>680</v>
      </c>
      <c r="Z115">
        <v>114</v>
      </c>
      <c r="AA115">
        <v>163</v>
      </c>
      <c r="AB115">
        <v>4.7</v>
      </c>
      <c r="AC115">
        <v>2.5</v>
      </c>
      <c r="AD115">
        <v>3.1</v>
      </c>
      <c r="AE115">
        <v>85</v>
      </c>
      <c r="AF115">
        <v>0</v>
      </c>
      <c r="AG115">
        <v>0</v>
      </c>
      <c r="AH115">
        <v>0</v>
      </c>
      <c r="AI115">
        <v>15</v>
      </c>
      <c r="AJ115">
        <v>2.6</v>
      </c>
      <c r="AK115" t="s">
        <v>66</v>
      </c>
      <c r="AL115" t="s">
        <v>87</v>
      </c>
      <c r="AM115" t="s">
        <v>87</v>
      </c>
      <c r="AN115" t="s">
        <v>67</v>
      </c>
      <c r="AO115" t="s">
        <v>68</v>
      </c>
      <c r="AP115" t="s">
        <v>67</v>
      </c>
      <c r="AQ115" t="s">
        <v>70</v>
      </c>
      <c r="AR115" t="s">
        <v>71</v>
      </c>
      <c r="AS115" t="s">
        <v>530</v>
      </c>
      <c r="AT115" t="s">
        <v>800</v>
      </c>
    </row>
    <row r="116" spans="1:46" ht="15" customHeight="1" x14ac:dyDescent="0.2">
      <c r="A116">
        <v>1632</v>
      </c>
      <c r="B116" t="s">
        <v>1177</v>
      </c>
      <c r="C116" t="s">
        <v>610</v>
      </c>
      <c r="D116" t="s">
        <v>611</v>
      </c>
      <c r="E116" t="s">
        <v>216</v>
      </c>
      <c r="F116" t="s">
        <v>63</v>
      </c>
      <c r="G116" t="s">
        <v>473</v>
      </c>
      <c r="H116" t="b">
        <f>FALSE()</f>
        <v>0</v>
      </c>
      <c r="I116" t="b">
        <f>FALSE()</f>
        <v>0</v>
      </c>
      <c r="J116" t="b">
        <f>TRUE()</f>
        <v>1</v>
      </c>
      <c r="K116" t="s">
        <v>65</v>
      </c>
      <c r="L116">
        <v>100</v>
      </c>
      <c r="M116">
        <v>753.6</v>
      </c>
      <c r="N116">
        <v>15.75</v>
      </c>
      <c r="O116">
        <v>17.54</v>
      </c>
      <c r="P116">
        <v>4.51</v>
      </c>
      <c r="Q116">
        <v>0.11</v>
      </c>
      <c r="R116">
        <v>82.08</v>
      </c>
      <c r="S116">
        <v>6.08</v>
      </c>
      <c r="T116">
        <v>64.78</v>
      </c>
      <c r="U116">
        <v>10.130000000000001</v>
      </c>
      <c r="V116">
        <v>0.14000000000000001</v>
      </c>
      <c r="W116">
        <v>9.6999999999999993</v>
      </c>
      <c r="X116">
        <v>420</v>
      </c>
      <c r="Y116">
        <v>680</v>
      </c>
      <c r="Z116">
        <v>114</v>
      </c>
      <c r="AA116">
        <v>163</v>
      </c>
      <c r="AB116">
        <v>4.7</v>
      </c>
      <c r="AC116">
        <v>2.5</v>
      </c>
      <c r="AD116">
        <v>3.1</v>
      </c>
      <c r="AE116">
        <v>85</v>
      </c>
      <c r="AF116">
        <v>0</v>
      </c>
      <c r="AG116">
        <v>0</v>
      </c>
      <c r="AH116">
        <v>0</v>
      </c>
      <c r="AI116">
        <v>15</v>
      </c>
      <c r="AJ116">
        <v>2.6</v>
      </c>
      <c r="AK116" t="s">
        <v>66</v>
      </c>
      <c r="AL116" t="s">
        <v>87</v>
      </c>
      <c r="AM116" t="s">
        <v>87</v>
      </c>
      <c r="AN116" t="s">
        <v>67</v>
      </c>
      <c r="AO116" t="s">
        <v>68</v>
      </c>
      <c r="AP116" t="s">
        <v>67</v>
      </c>
      <c r="AQ116" t="s">
        <v>70</v>
      </c>
      <c r="AR116" t="s">
        <v>71</v>
      </c>
      <c r="AS116" t="s">
        <v>530</v>
      </c>
      <c r="AT116" t="s">
        <v>800</v>
      </c>
    </row>
    <row r="117" spans="1:46" ht="15" customHeight="1" x14ac:dyDescent="0.2">
      <c r="A117">
        <v>1633</v>
      </c>
      <c r="B117" t="s">
        <v>1178</v>
      </c>
      <c r="C117" t="s">
        <v>610</v>
      </c>
      <c r="D117" t="s">
        <v>611</v>
      </c>
      <c r="E117" t="s">
        <v>1160</v>
      </c>
      <c r="F117" t="s">
        <v>63</v>
      </c>
      <c r="G117" t="s">
        <v>64</v>
      </c>
      <c r="H117" t="b">
        <f>FALSE()</f>
        <v>0</v>
      </c>
      <c r="I117" t="b">
        <f>FALSE()</f>
        <v>0</v>
      </c>
      <c r="J117" t="b">
        <f>TRUE()</f>
        <v>1</v>
      </c>
      <c r="K117" t="s">
        <v>65</v>
      </c>
      <c r="L117">
        <v>100</v>
      </c>
      <c r="M117">
        <v>575.1</v>
      </c>
      <c r="N117">
        <v>18.75</v>
      </c>
      <c r="O117">
        <v>31.11</v>
      </c>
      <c r="P117">
        <v>6.08</v>
      </c>
      <c r="Q117">
        <v>24.21</v>
      </c>
      <c r="R117">
        <v>45.22</v>
      </c>
      <c r="S117">
        <v>8.0299999999999994</v>
      </c>
      <c r="T117">
        <v>24.51</v>
      </c>
      <c r="U117">
        <v>8.0299999999999994</v>
      </c>
      <c r="V117">
        <v>0.21</v>
      </c>
      <c r="W117">
        <v>3.3</v>
      </c>
      <c r="X117">
        <v>3</v>
      </c>
      <c r="Y117">
        <v>660</v>
      </c>
      <c r="Z117">
        <v>37</v>
      </c>
      <c r="AA117">
        <v>292</v>
      </c>
      <c r="AB117">
        <v>6.7</v>
      </c>
      <c r="AC117">
        <v>5.8</v>
      </c>
      <c r="AD117">
        <v>0.3</v>
      </c>
      <c r="AE117">
        <v>21</v>
      </c>
      <c r="AF117">
        <v>0</v>
      </c>
      <c r="AG117">
        <v>0</v>
      </c>
      <c r="AH117">
        <v>0</v>
      </c>
      <c r="AI117">
        <v>15</v>
      </c>
      <c r="AJ117">
        <v>4.7</v>
      </c>
      <c r="AK117" t="s">
        <v>66</v>
      </c>
      <c r="AL117" t="s">
        <v>87</v>
      </c>
      <c r="AM117" t="s">
        <v>87</v>
      </c>
      <c r="AN117" t="s">
        <v>67</v>
      </c>
      <c r="AO117" t="s">
        <v>68</v>
      </c>
      <c r="AP117" t="s">
        <v>67</v>
      </c>
      <c r="AQ117" t="s">
        <v>70</v>
      </c>
      <c r="AR117" t="s">
        <v>71</v>
      </c>
      <c r="AS117" t="s">
        <v>530</v>
      </c>
      <c r="AT117" t="s">
        <v>800</v>
      </c>
    </row>
    <row r="118" spans="1:46" ht="15" customHeight="1" x14ac:dyDescent="0.2">
      <c r="A118">
        <v>1634</v>
      </c>
      <c r="B118" t="s">
        <v>1179</v>
      </c>
      <c r="C118" t="s">
        <v>610</v>
      </c>
      <c r="D118" t="s">
        <v>611</v>
      </c>
      <c r="E118" t="s">
        <v>1160</v>
      </c>
      <c r="F118" t="s">
        <v>63</v>
      </c>
      <c r="G118" t="s">
        <v>64</v>
      </c>
      <c r="H118" t="b">
        <f>FALSE()</f>
        <v>0</v>
      </c>
      <c r="I118" t="b">
        <f>FALSE()</f>
        <v>0</v>
      </c>
      <c r="J118" t="b">
        <f>TRUE()</f>
        <v>1</v>
      </c>
      <c r="K118" t="s">
        <v>65</v>
      </c>
      <c r="L118">
        <v>100</v>
      </c>
      <c r="M118">
        <v>575.1</v>
      </c>
      <c r="N118">
        <v>18.75</v>
      </c>
      <c r="O118">
        <v>31.11</v>
      </c>
      <c r="P118">
        <v>6.08</v>
      </c>
      <c r="Q118">
        <v>24.21</v>
      </c>
      <c r="R118">
        <v>45.22</v>
      </c>
      <c r="S118">
        <v>8.0299999999999994</v>
      </c>
      <c r="T118">
        <v>24.51</v>
      </c>
      <c r="U118">
        <v>8.0299999999999994</v>
      </c>
      <c r="V118">
        <v>0.21</v>
      </c>
      <c r="W118">
        <v>3.3</v>
      </c>
      <c r="X118">
        <v>3</v>
      </c>
      <c r="Y118">
        <v>660</v>
      </c>
      <c r="Z118">
        <v>37</v>
      </c>
      <c r="AA118">
        <v>292</v>
      </c>
      <c r="AB118">
        <v>6.7</v>
      </c>
      <c r="AC118">
        <v>5.8</v>
      </c>
      <c r="AD118">
        <v>0.3</v>
      </c>
      <c r="AE118">
        <v>21</v>
      </c>
      <c r="AF118">
        <v>0</v>
      </c>
      <c r="AG118">
        <v>0</v>
      </c>
      <c r="AH118">
        <v>0</v>
      </c>
      <c r="AI118">
        <v>15</v>
      </c>
      <c r="AJ118">
        <v>4.7</v>
      </c>
      <c r="AK118" t="s">
        <v>66</v>
      </c>
      <c r="AL118" t="s">
        <v>87</v>
      </c>
      <c r="AM118" t="s">
        <v>87</v>
      </c>
      <c r="AN118" t="s">
        <v>67</v>
      </c>
      <c r="AO118" t="s">
        <v>68</v>
      </c>
      <c r="AP118" t="s">
        <v>67</v>
      </c>
      <c r="AQ118" t="s">
        <v>70</v>
      </c>
      <c r="AR118" t="s">
        <v>71</v>
      </c>
      <c r="AS118" t="s">
        <v>530</v>
      </c>
      <c r="AT118" t="s">
        <v>800</v>
      </c>
    </row>
    <row r="119" spans="1:46" ht="15" customHeight="1" x14ac:dyDescent="0.2">
      <c r="A119">
        <v>1635</v>
      </c>
      <c r="B119" t="s">
        <v>1180</v>
      </c>
      <c r="C119" t="s">
        <v>610</v>
      </c>
      <c r="D119" t="s">
        <v>611</v>
      </c>
      <c r="E119" t="s">
        <v>1160</v>
      </c>
      <c r="F119" t="s">
        <v>63</v>
      </c>
      <c r="G119" t="s">
        <v>64</v>
      </c>
      <c r="H119" t="b">
        <f>FALSE()</f>
        <v>0</v>
      </c>
      <c r="I119" t="b">
        <f>FALSE()</f>
        <v>0</v>
      </c>
      <c r="J119" t="b">
        <f>TRUE()</f>
        <v>1</v>
      </c>
      <c r="K119" t="s">
        <v>65</v>
      </c>
      <c r="L119">
        <v>100</v>
      </c>
      <c r="M119">
        <v>575.1</v>
      </c>
      <c r="N119">
        <v>18.75</v>
      </c>
      <c r="O119">
        <v>31.11</v>
      </c>
      <c r="P119">
        <v>6.08</v>
      </c>
      <c r="Q119">
        <v>24.21</v>
      </c>
      <c r="R119">
        <v>45.22</v>
      </c>
      <c r="S119">
        <v>8.0299999999999994</v>
      </c>
      <c r="T119">
        <v>24.51</v>
      </c>
      <c r="U119">
        <v>8.0299999999999994</v>
      </c>
      <c r="V119">
        <v>0.21</v>
      </c>
      <c r="W119">
        <v>3.3</v>
      </c>
      <c r="X119">
        <v>3</v>
      </c>
      <c r="Y119">
        <v>660</v>
      </c>
      <c r="Z119">
        <v>37</v>
      </c>
      <c r="AA119">
        <v>292</v>
      </c>
      <c r="AB119">
        <v>6.7</v>
      </c>
      <c r="AC119">
        <v>5.8</v>
      </c>
      <c r="AD119">
        <v>0.3</v>
      </c>
      <c r="AE119">
        <v>21</v>
      </c>
      <c r="AF119">
        <v>0</v>
      </c>
      <c r="AG119">
        <v>0</v>
      </c>
      <c r="AH119">
        <v>0</v>
      </c>
      <c r="AI119">
        <v>15</v>
      </c>
      <c r="AJ119">
        <v>4.7</v>
      </c>
      <c r="AK119" t="s">
        <v>66</v>
      </c>
      <c r="AL119" t="s">
        <v>87</v>
      </c>
      <c r="AM119" t="s">
        <v>87</v>
      </c>
      <c r="AN119" t="s">
        <v>67</v>
      </c>
      <c r="AO119" t="s">
        <v>68</v>
      </c>
      <c r="AP119" t="s">
        <v>67</v>
      </c>
      <c r="AQ119" t="s">
        <v>70</v>
      </c>
      <c r="AR119" t="s">
        <v>71</v>
      </c>
      <c r="AS119" t="s">
        <v>530</v>
      </c>
      <c r="AT119" t="s">
        <v>800</v>
      </c>
    </row>
    <row r="120" spans="1:46" ht="15" customHeight="1" x14ac:dyDescent="0.2">
      <c r="A120">
        <v>1636</v>
      </c>
      <c r="B120" t="s">
        <v>1181</v>
      </c>
      <c r="C120" t="s">
        <v>610</v>
      </c>
      <c r="D120" t="s">
        <v>611</v>
      </c>
      <c r="E120" t="s">
        <v>216</v>
      </c>
      <c r="F120" t="s">
        <v>63</v>
      </c>
      <c r="G120" t="s">
        <v>473</v>
      </c>
      <c r="H120" t="b">
        <f>FALSE()</f>
        <v>0</v>
      </c>
      <c r="I120" t="b">
        <f>FALSE()</f>
        <v>0</v>
      </c>
      <c r="J120" t="b">
        <f>TRUE()</f>
        <v>1</v>
      </c>
      <c r="K120" t="s">
        <v>65</v>
      </c>
      <c r="L120">
        <v>100</v>
      </c>
      <c r="M120">
        <v>663.6</v>
      </c>
      <c r="N120">
        <v>19.11</v>
      </c>
      <c r="O120">
        <v>31.71</v>
      </c>
      <c r="P120">
        <v>6.2</v>
      </c>
      <c r="Q120">
        <v>24.68</v>
      </c>
      <c r="R120">
        <v>59.27</v>
      </c>
      <c r="S120">
        <v>10.53</v>
      </c>
      <c r="T120">
        <v>33.74</v>
      </c>
      <c r="U120">
        <v>10</v>
      </c>
      <c r="V120">
        <v>0.27</v>
      </c>
      <c r="W120">
        <v>3.3</v>
      </c>
      <c r="X120">
        <v>420</v>
      </c>
      <c r="Y120">
        <v>660</v>
      </c>
      <c r="Z120">
        <v>37</v>
      </c>
      <c r="AA120">
        <v>292</v>
      </c>
      <c r="AB120">
        <v>6.7</v>
      </c>
      <c r="AC120">
        <v>5.8</v>
      </c>
      <c r="AD120">
        <v>0.2</v>
      </c>
      <c r="AE120">
        <v>19</v>
      </c>
      <c r="AF120">
        <v>0</v>
      </c>
      <c r="AG120">
        <v>0</v>
      </c>
      <c r="AH120">
        <v>0</v>
      </c>
      <c r="AI120">
        <v>15</v>
      </c>
      <c r="AJ120">
        <v>4.8</v>
      </c>
      <c r="AK120" t="s">
        <v>66</v>
      </c>
      <c r="AL120" t="s">
        <v>87</v>
      </c>
      <c r="AM120" t="s">
        <v>87</v>
      </c>
      <c r="AN120" t="s">
        <v>67</v>
      </c>
      <c r="AO120" t="s">
        <v>68</v>
      </c>
      <c r="AP120" t="s">
        <v>67</v>
      </c>
      <c r="AQ120" t="s">
        <v>70</v>
      </c>
      <c r="AR120" t="s">
        <v>71</v>
      </c>
      <c r="AS120" t="s">
        <v>530</v>
      </c>
      <c r="AT120" t="s">
        <v>800</v>
      </c>
    </row>
    <row r="121" spans="1:46" ht="15" customHeight="1" x14ac:dyDescent="0.2">
      <c r="A121">
        <v>1637</v>
      </c>
      <c r="B121" t="s">
        <v>1182</v>
      </c>
      <c r="C121" t="s">
        <v>610</v>
      </c>
      <c r="D121" t="s">
        <v>611</v>
      </c>
      <c r="E121" t="s">
        <v>216</v>
      </c>
      <c r="F121" t="s">
        <v>63</v>
      </c>
      <c r="G121" t="s">
        <v>473</v>
      </c>
      <c r="H121" t="b">
        <f>FALSE()</f>
        <v>0</v>
      </c>
      <c r="I121" t="b">
        <f>FALSE()</f>
        <v>0</v>
      </c>
      <c r="J121" t="b">
        <f>TRUE()</f>
        <v>1</v>
      </c>
      <c r="K121" t="s">
        <v>65</v>
      </c>
      <c r="L121">
        <v>100</v>
      </c>
      <c r="M121">
        <v>663.6</v>
      </c>
      <c r="N121">
        <v>19.11</v>
      </c>
      <c r="O121">
        <v>31.71</v>
      </c>
      <c r="P121">
        <v>6.2</v>
      </c>
      <c r="Q121">
        <v>24.68</v>
      </c>
      <c r="R121">
        <v>59.27</v>
      </c>
      <c r="S121">
        <v>10.53</v>
      </c>
      <c r="T121">
        <v>33.74</v>
      </c>
      <c r="U121">
        <v>10</v>
      </c>
      <c r="V121">
        <v>0.27</v>
      </c>
      <c r="W121">
        <v>3.3</v>
      </c>
      <c r="X121">
        <v>420</v>
      </c>
      <c r="Y121">
        <v>660</v>
      </c>
      <c r="Z121">
        <v>37</v>
      </c>
      <c r="AA121">
        <v>292</v>
      </c>
      <c r="AB121">
        <v>6.7</v>
      </c>
      <c r="AC121">
        <v>5.8</v>
      </c>
      <c r="AD121">
        <v>0.2</v>
      </c>
      <c r="AE121">
        <v>19</v>
      </c>
      <c r="AF121">
        <v>0</v>
      </c>
      <c r="AG121">
        <v>0</v>
      </c>
      <c r="AH121">
        <v>0</v>
      </c>
      <c r="AI121">
        <v>15</v>
      </c>
      <c r="AJ121">
        <v>4.8</v>
      </c>
      <c r="AK121" t="s">
        <v>66</v>
      </c>
      <c r="AL121" t="s">
        <v>87</v>
      </c>
      <c r="AM121" t="s">
        <v>87</v>
      </c>
      <c r="AN121" t="s">
        <v>67</v>
      </c>
      <c r="AO121" t="s">
        <v>68</v>
      </c>
      <c r="AP121" t="s">
        <v>67</v>
      </c>
      <c r="AQ121" t="s">
        <v>70</v>
      </c>
      <c r="AR121" t="s">
        <v>71</v>
      </c>
      <c r="AS121" t="s">
        <v>530</v>
      </c>
      <c r="AT121" t="s">
        <v>800</v>
      </c>
    </row>
    <row r="122" spans="1:46" ht="15" customHeight="1" x14ac:dyDescent="0.2">
      <c r="A122">
        <v>1638</v>
      </c>
      <c r="B122" t="s">
        <v>1183</v>
      </c>
      <c r="C122" t="s">
        <v>610</v>
      </c>
      <c r="D122" t="s">
        <v>611</v>
      </c>
      <c r="E122" t="s">
        <v>216</v>
      </c>
      <c r="F122" t="s">
        <v>63</v>
      </c>
      <c r="G122" t="s">
        <v>473</v>
      </c>
      <c r="H122" t="b">
        <f>FALSE()</f>
        <v>0</v>
      </c>
      <c r="I122" t="b">
        <f>FALSE()</f>
        <v>0</v>
      </c>
      <c r="J122" t="b">
        <f>TRUE()</f>
        <v>1</v>
      </c>
      <c r="K122" t="s">
        <v>65</v>
      </c>
      <c r="L122">
        <v>100</v>
      </c>
      <c r="M122">
        <v>663.6</v>
      </c>
      <c r="N122">
        <v>19.11</v>
      </c>
      <c r="O122">
        <v>31.71</v>
      </c>
      <c r="P122">
        <v>6.2</v>
      </c>
      <c r="Q122">
        <v>24.68</v>
      </c>
      <c r="R122">
        <v>59.27</v>
      </c>
      <c r="S122">
        <v>10.53</v>
      </c>
      <c r="T122">
        <v>33.74</v>
      </c>
      <c r="U122">
        <v>10</v>
      </c>
      <c r="V122">
        <v>0.27</v>
      </c>
      <c r="W122">
        <v>3.3</v>
      </c>
      <c r="X122">
        <v>420</v>
      </c>
      <c r="Y122">
        <v>660</v>
      </c>
      <c r="Z122">
        <v>37</v>
      </c>
      <c r="AA122">
        <v>292</v>
      </c>
      <c r="AB122">
        <v>6.7</v>
      </c>
      <c r="AC122">
        <v>5.8</v>
      </c>
      <c r="AD122">
        <v>0.2</v>
      </c>
      <c r="AE122">
        <v>19</v>
      </c>
      <c r="AF122">
        <v>0</v>
      </c>
      <c r="AG122">
        <v>0</v>
      </c>
      <c r="AH122">
        <v>0</v>
      </c>
      <c r="AI122">
        <v>15</v>
      </c>
      <c r="AJ122">
        <v>4.8</v>
      </c>
      <c r="AK122" t="s">
        <v>66</v>
      </c>
      <c r="AL122" t="s">
        <v>87</v>
      </c>
      <c r="AM122" t="s">
        <v>87</v>
      </c>
      <c r="AN122" t="s">
        <v>67</v>
      </c>
      <c r="AO122" t="s">
        <v>68</v>
      </c>
      <c r="AP122" t="s">
        <v>67</v>
      </c>
      <c r="AQ122" t="s">
        <v>70</v>
      </c>
      <c r="AR122" t="s">
        <v>71</v>
      </c>
      <c r="AS122" t="s">
        <v>530</v>
      </c>
      <c r="AT122" t="s">
        <v>800</v>
      </c>
    </row>
    <row r="123" spans="1:46" ht="15" customHeight="1" x14ac:dyDescent="0.2">
      <c r="A123">
        <v>1639</v>
      </c>
      <c r="B123" t="s">
        <v>1184</v>
      </c>
      <c r="C123" t="s">
        <v>610</v>
      </c>
      <c r="D123" t="s">
        <v>611</v>
      </c>
      <c r="E123" t="s">
        <v>1160</v>
      </c>
      <c r="F123" t="s">
        <v>63</v>
      </c>
      <c r="G123" t="s">
        <v>64</v>
      </c>
      <c r="H123" t="b">
        <f>FALSE()</f>
        <v>0</v>
      </c>
      <c r="I123" t="b">
        <f>FALSE()</f>
        <v>0</v>
      </c>
      <c r="J123" t="b">
        <f>TRUE()</f>
        <v>1</v>
      </c>
      <c r="K123" t="s">
        <v>65</v>
      </c>
      <c r="L123">
        <v>100</v>
      </c>
      <c r="M123">
        <v>582.4</v>
      </c>
      <c r="N123">
        <v>20.81</v>
      </c>
      <c r="O123">
        <v>28.32</v>
      </c>
      <c r="P123">
        <v>7.93</v>
      </c>
      <c r="Q123">
        <v>1.03</v>
      </c>
      <c r="R123">
        <v>46.76</v>
      </c>
      <c r="S123">
        <v>5.77</v>
      </c>
      <c r="T123">
        <v>24.51</v>
      </c>
      <c r="U123">
        <v>14.11</v>
      </c>
      <c r="V123">
        <v>0.31</v>
      </c>
      <c r="W123">
        <v>10</v>
      </c>
      <c r="X123">
        <v>1</v>
      </c>
      <c r="Y123">
        <v>1025</v>
      </c>
      <c r="Z123">
        <v>105</v>
      </c>
      <c r="AA123">
        <v>121</v>
      </c>
      <c r="AB123">
        <v>3.9</v>
      </c>
      <c r="AC123">
        <v>2.2000000000000002</v>
      </c>
      <c r="AD123">
        <v>3.4</v>
      </c>
      <c r="AE123">
        <v>43</v>
      </c>
      <c r="AF123">
        <v>0</v>
      </c>
      <c r="AG123">
        <v>0</v>
      </c>
      <c r="AH123">
        <v>0</v>
      </c>
      <c r="AI123">
        <v>15</v>
      </c>
      <c r="AJ123">
        <v>4.2</v>
      </c>
      <c r="AK123" t="s">
        <v>66</v>
      </c>
      <c r="AL123" t="s">
        <v>87</v>
      </c>
      <c r="AM123" t="s">
        <v>87</v>
      </c>
      <c r="AN123" t="s">
        <v>67</v>
      </c>
      <c r="AO123" t="s">
        <v>68</v>
      </c>
      <c r="AP123" t="s">
        <v>67</v>
      </c>
      <c r="AQ123" t="s">
        <v>70</v>
      </c>
      <c r="AR123" t="s">
        <v>71</v>
      </c>
      <c r="AS123" t="s">
        <v>530</v>
      </c>
      <c r="AT123" t="s">
        <v>800</v>
      </c>
    </row>
    <row r="124" spans="1:46" ht="15" customHeight="1" x14ac:dyDescent="0.2">
      <c r="A124">
        <v>1640</v>
      </c>
      <c r="B124" t="s">
        <v>1185</v>
      </c>
      <c r="C124" t="s">
        <v>610</v>
      </c>
      <c r="D124" t="s">
        <v>611</v>
      </c>
      <c r="E124" t="s">
        <v>1160</v>
      </c>
      <c r="F124" t="s">
        <v>63</v>
      </c>
      <c r="G124" t="s">
        <v>64</v>
      </c>
      <c r="H124" t="b">
        <f>FALSE()</f>
        <v>0</v>
      </c>
      <c r="I124" t="b">
        <f>FALSE()</f>
        <v>0</v>
      </c>
      <c r="J124" t="b">
        <f>TRUE()</f>
        <v>1</v>
      </c>
      <c r="K124" t="s">
        <v>65</v>
      </c>
      <c r="L124">
        <v>100</v>
      </c>
      <c r="M124">
        <v>582.4</v>
      </c>
      <c r="N124">
        <v>20.81</v>
      </c>
      <c r="O124">
        <v>28.32</v>
      </c>
      <c r="P124">
        <v>7.93</v>
      </c>
      <c r="Q124">
        <v>1.03</v>
      </c>
      <c r="R124">
        <v>46.76</v>
      </c>
      <c r="S124">
        <v>5.77</v>
      </c>
      <c r="T124">
        <v>24.51</v>
      </c>
      <c r="U124">
        <v>14.11</v>
      </c>
      <c r="V124">
        <v>0.31</v>
      </c>
      <c r="W124">
        <v>10</v>
      </c>
      <c r="X124">
        <v>1</v>
      </c>
      <c r="Y124">
        <v>1025</v>
      </c>
      <c r="Z124">
        <v>105</v>
      </c>
      <c r="AA124">
        <v>121</v>
      </c>
      <c r="AB124">
        <v>3.9</v>
      </c>
      <c r="AC124">
        <v>2.2000000000000002</v>
      </c>
      <c r="AD124">
        <v>3.4</v>
      </c>
      <c r="AE124">
        <v>43</v>
      </c>
      <c r="AF124">
        <v>0</v>
      </c>
      <c r="AG124">
        <v>0</v>
      </c>
      <c r="AH124">
        <v>0</v>
      </c>
      <c r="AI124">
        <v>15</v>
      </c>
      <c r="AJ124">
        <v>4.2</v>
      </c>
      <c r="AK124" t="s">
        <v>66</v>
      </c>
      <c r="AL124" t="s">
        <v>87</v>
      </c>
      <c r="AM124" t="s">
        <v>87</v>
      </c>
      <c r="AN124" t="s">
        <v>67</v>
      </c>
      <c r="AO124" t="s">
        <v>68</v>
      </c>
      <c r="AP124" t="s">
        <v>67</v>
      </c>
      <c r="AQ124" t="s">
        <v>70</v>
      </c>
      <c r="AR124" t="s">
        <v>71</v>
      </c>
      <c r="AS124" t="s">
        <v>530</v>
      </c>
      <c r="AT124" t="s">
        <v>800</v>
      </c>
    </row>
    <row r="125" spans="1:46" ht="15" customHeight="1" x14ac:dyDescent="0.2">
      <c r="A125">
        <v>1641</v>
      </c>
      <c r="B125" t="s">
        <v>1186</v>
      </c>
      <c r="C125" t="s">
        <v>610</v>
      </c>
      <c r="D125" t="s">
        <v>611</v>
      </c>
      <c r="E125" t="s">
        <v>1160</v>
      </c>
      <c r="F125" t="s">
        <v>63</v>
      </c>
      <c r="G125" t="s">
        <v>64</v>
      </c>
      <c r="H125" t="b">
        <f>FALSE()</f>
        <v>0</v>
      </c>
      <c r="I125" t="b">
        <f>FALSE()</f>
        <v>0</v>
      </c>
      <c r="J125" t="b">
        <f>TRUE()</f>
        <v>1</v>
      </c>
      <c r="K125" t="s">
        <v>65</v>
      </c>
      <c r="L125">
        <v>100</v>
      </c>
      <c r="M125">
        <v>582.4</v>
      </c>
      <c r="N125">
        <v>20.81</v>
      </c>
      <c r="O125">
        <v>28.32</v>
      </c>
      <c r="P125">
        <v>7.93</v>
      </c>
      <c r="Q125">
        <v>1.03</v>
      </c>
      <c r="R125">
        <v>46.76</v>
      </c>
      <c r="S125">
        <v>5.77</v>
      </c>
      <c r="T125">
        <v>24.51</v>
      </c>
      <c r="U125">
        <v>14.11</v>
      </c>
      <c r="V125">
        <v>0.31</v>
      </c>
      <c r="W125">
        <v>10</v>
      </c>
      <c r="X125">
        <v>1</v>
      </c>
      <c r="Y125">
        <v>1025</v>
      </c>
      <c r="Z125">
        <v>105</v>
      </c>
      <c r="AA125">
        <v>121</v>
      </c>
      <c r="AB125">
        <v>3.9</v>
      </c>
      <c r="AC125">
        <v>2.2000000000000002</v>
      </c>
      <c r="AD125">
        <v>3.4</v>
      </c>
      <c r="AE125">
        <v>43</v>
      </c>
      <c r="AF125">
        <v>0</v>
      </c>
      <c r="AG125">
        <v>0</v>
      </c>
      <c r="AH125">
        <v>0</v>
      </c>
      <c r="AI125">
        <v>15</v>
      </c>
      <c r="AJ125">
        <v>4.2</v>
      </c>
      <c r="AK125" t="s">
        <v>66</v>
      </c>
      <c r="AL125" t="s">
        <v>87</v>
      </c>
      <c r="AM125" t="s">
        <v>87</v>
      </c>
      <c r="AN125" t="s">
        <v>67</v>
      </c>
      <c r="AO125" t="s">
        <v>68</v>
      </c>
      <c r="AP125" t="s">
        <v>67</v>
      </c>
      <c r="AQ125" t="s">
        <v>70</v>
      </c>
      <c r="AR125" t="s">
        <v>71</v>
      </c>
      <c r="AS125" t="s">
        <v>530</v>
      </c>
      <c r="AT125" t="s">
        <v>800</v>
      </c>
    </row>
    <row r="126" spans="1:46" ht="15" customHeight="1" x14ac:dyDescent="0.2">
      <c r="A126">
        <v>1642</v>
      </c>
      <c r="B126" t="s">
        <v>1187</v>
      </c>
      <c r="C126" t="s">
        <v>610</v>
      </c>
      <c r="D126" t="s">
        <v>611</v>
      </c>
      <c r="E126" t="s">
        <v>216</v>
      </c>
      <c r="F126" t="s">
        <v>63</v>
      </c>
      <c r="G126" t="s">
        <v>473</v>
      </c>
      <c r="H126" t="b">
        <f>FALSE()</f>
        <v>0</v>
      </c>
      <c r="I126" t="b">
        <f>FALSE()</f>
        <v>0</v>
      </c>
      <c r="J126" t="b">
        <f>TRUE()</f>
        <v>1</v>
      </c>
      <c r="K126" t="s">
        <v>65</v>
      </c>
      <c r="L126">
        <v>100</v>
      </c>
      <c r="M126">
        <v>672</v>
      </c>
      <c r="N126">
        <v>21.21</v>
      </c>
      <c r="O126">
        <v>28.88</v>
      </c>
      <c r="P126">
        <v>8.09</v>
      </c>
      <c r="Q126">
        <v>1.05</v>
      </c>
      <c r="R126">
        <v>61.29</v>
      </c>
      <c r="S126">
        <v>7.56</v>
      </c>
      <c r="T126">
        <v>33.74</v>
      </c>
      <c r="U126">
        <v>17.57</v>
      </c>
      <c r="V126">
        <v>0.41</v>
      </c>
      <c r="W126">
        <v>10</v>
      </c>
      <c r="X126">
        <v>420</v>
      </c>
      <c r="Y126">
        <v>1025</v>
      </c>
      <c r="Z126">
        <v>105</v>
      </c>
      <c r="AA126">
        <v>121</v>
      </c>
      <c r="AB126">
        <v>3.9</v>
      </c>
      <c r="AC126">
        <v>2.2000000000000002</v>
      </c>
      <c r="AD126">
        <v>2.8</v>
      </c>
      <c r="AE126">
        <v>38</v>
      </c>
      <c r="AF126">
        <v>0</v>
      </c>
      <c r="AG126">
        <v>0</v>
      </c>
      <c r="AH126">
        <v>0</v>
      </c>
      <c r="AI126">
        <v>15</v>
      </c>
      <c r="AJ126">
        <v>4.3</v>
      </c>
      <c r="AK126" t="s">
        <v>66</v>
      </c>
      <c r="AL126" t="s">
        <v>87</v>
      </c>
      <c r="AM126" t="s">
        <v>87</v>
      </c>
      <c r="AN126" t="s">
        <v>67</v>
      </c>
      <c r="AO126" t="s">
        <v>68</v>
      </c>
      <c r="AP126" t="s">
        <v>67</v>
      </c>
      <c r="AQ126" t="s">
        <v>70</v>
      </c>
      <c r="AR126" t="s">
        <v>71</v>
      </c>
      <c r="AS126" t="s">
        <v>530</v>
      </c>
      <c r="AT126" t="s">
        <v>800</v>
      </c>
    </row>
    <row r="127" spans="1:46" ht="15" customHeight="1" x14ac:dyDescent="0.2">
      <c r="A127">
        <v>1643</v>
      </c>
      <c r="B127" t="s">
        <v>1188</v>
      </c>
      <c r="C127" t="s">
        <v>610</v>
      </c>
      <c r="D127" t="s">
        <v>611</v>
      </c>
      <c r="E127" t="s">
        <v>216</v>
      </c>
      <c r="F127" t="s">
        <v>63</v>
      </c>
      <c r="G127" t="s">
        <v>473</v>
      </c>
      <c r="H127" t="b">
        <f>FALSE()</f>
        <v>0</v>
      </c>
      <c r="I127" t="b">
        <f>FALSE()</f>
        <v>0</v>
      </c>
      <c r="J127" t="b">
        <f>TRUE()</f>
        <v>1</v>
      </c>
      <c r="K127" t="s">
        <v>65</v>
      </c>
      <c r="L127">
        <v>100</v>
      </c>
      <c r="M127">
        <v>672</v>
      </c>
      <c r="N127">
        <v>21.21</v>
      </c>
      <c r="O127">
        <v>28.88</v>
      </c>
      <c r="P127">
        <v>8.09</v>
      </c>
      <c r="Q127">
        <v>1.05</v>
      </c>
      <c r="R127">
        <v>61.29</v>
      </c>
      <c r="S127">
        <v>7.56</v>
      </c>
      <c r="T127">
        <v>33.74</v>
      </c>
      <c r="U127">
        <v>17.57</v>
      </c>
      <c r="V127">
        <v>0.41</v>
      </c>
      <c r="W127">
        <v>10</v>
      </c>
      <c r="X127">
        <v>420</v>
      </c>
      <c r="Y127">
        <v>1025</v>
      </c>
      <c r="Z127">
        <v>105</v>
      </c>
      <c r="AA127">
        <v>121</v>
      </c>
      <c r="AB127">
        <v>3.9</v>
      </c>
      <c r="AC127">
        <v>2.2000000000000002</v>
      </c>
      <c r="AD127">
        <v>2.8</v>
      </c>
      <c r="AE127">
        <v>38</v>
      </c>
      <c r="AF127">
        <v>0</v>
      </c>
      <c r="AG127">
        <v>0</v>
      </c>
      <c r="AH127">
        <v>0</v>
      </c>
      <c r="AI127">
        <v>15</v>
      </c>
      <c r="AJ127">
        <v>4.3</v>
      </c>
      <c r="AK127" t="s">
        <v>66</v>
      </c>
      <c r="AL127" t="s">
        <v>87</v>
      </c>
      <c r="AM127" t="s">
        <v>87</v>
      </c>
      <c r="AN127" t="s">
        <v>67</v>
      </c>
      <c r="AO127" t="s">
        <v>68</v>
      </c>
      <c r="AP127" t="s">
        <v>67</v>
      </c>
      <c r="AQ127" t="s">
        <v>70</v>
      </c>
      <c r="AR127" t="s">
        <v>71</v>
      </c>
      <c r="AS127" t="s">
        <v>530</v>
      </c>
      <c r="AT127" t="s">
        <v>800</v>
      </c>
    </row>
    <row r="128" spans="1:46" ht="15" customHeight="1" x14ac:dyDescent="0.2">
      <c r="A128">
        <v>1644</v>
      </c>
      <c r="B128" t="s">
        <v>1189</v>
      </c>
      <c r="C128" t="s">
        <v>610</v>
      </c>
      <c r="D128" t="s">
        <v>611</v>
      </c>
      <c r="E128" t="s">
        <v>216</v>
      </c>
      <c r="F128" t="s">
        <v>63</v>
      </c>
      <c r="G128" t="s">
        <v>473</v>
      </c>
      <c r="H128" t="b">
        <f>FALSE()</f>
        <v>0</v>
      </c>
      <c r="I128" t="b">
        <f>FALSE()</f>
        <v>0</v>
      </c>
      <c r="J128" t="b">
        <f>TRUE()</f>
        <v>1</v>
      </c>
      <c r="K128" t="s">
        <v>65</v>
      </c>
      <c r="L128">
        <v>100</v>
      </c>
      <c r="M128">
        <v>672</v>
      </c>
      <c r="N128">
        <v>21.21</v>
      </c>
      <c r="O128">
        <v>28.88</v>
      </c>
      <c r="P128">
        <v>8.09</v>
      </c>
      <c r="Q128">
        <v>1.05</v>
      </c>
      <c r="R128">
        <v>61.29</v>
      </c>
      <c r="S128">
        <v>7.56</v>
      </c>
      <c r="T128">
        <v>33.74</v>
      </c>
      <c r="U128">
        <v>17.57</v>
      </c>
      <c r="V128">
        <v>0.41</v>
      </c>
      <c r="W128">
        <v>10</v>
      </c>
      <c r="X128">
        <v>420</v>
      </c>
      <c r="Y128">
        <v>1025</v>
      </c>
      <c r="Z128">
        <v>105</v>
      </c>
      <c r="AA128">
        <v>121</v>
      </c>
      <c r="AB128">
        <v>3.9</v>
      </c>
      <c r="AC128">
        <v>2.2000000000000002</v>
      </c>
      <c r="AD128">
        <v>2.8</v>
      </c>
      <c r="AE128">
        <v>38</v>
      </c>
      <c r="AF128">
        <v>0</v>
      </c>
      <c r="AG128">
        <v>0</v>
      </c>
      <c r="AH128">
        <v>0</v>
      </c>
      <c r="AI128">
        <v>15</v>
      </c>
      <c r="AJ128">
        <v>4.3</v>
      </c>
      <c r="AK128" t="s">
        <v>66</v>
      </c>
      <c r="AL128" t="s">
        <v>87</v>
      </c>
      <c r="AM128" t="s">
        <v>87</v>
      </c>
      <c r="AN128" t="s">
        <v>67</v>
      </c>
      <c r="AO128" t="s">
        <v>68</v>
      </c>
      <c r="AP128" t="s">
        <v>67</v>
      </c>
      <c r="AQ128" t="s">
        <v>70</v>
      </c>
      <c r="AR128" t="s">
        <v>71</v>
      </c>
      <c r="AS128" t="s">
        <v>530</v>
      </c>
      <c r="AT128" t="s">
        <v>800</v>
      </c>
    </row>
    <row r="129" spans="1:46" ht="15" customHeight="1" x14ac:dyDescent="0.2">
      <c r="A129">
        <v>1645</v>
      </c>
      <c r="B129" t="s">
        <v>1190</v>
      </c>
      <c r="C129" t="s">
        <v>610</v>
      </c>
      <c r="D129" t="s">
        <v>611</v>
      </c>
      <c r="E129" t="s">
        <v>1160</v>
      </c>
      <c r="F129" t="s">
        <v>63</v>
      </c>
      <c r="G129" t="s">
        <v>64</v>
      </c>
      <c r="H129" t="b">
        <f>FALSE()</f>
        <v>0</v>
      </c>
      <c r="I129" t="b">
        <f>FALSE()</f>
        <v>0</v>
      </c>
      <c r="J129" t="b">
        <f>TRUE()</f>
        <v>1</v>
      </c>
      <c r="K129" t="s">
        <v>65</v>
      </c>
      <c r="L129">
        <v>100</v>
      </c>
      <c r="M129">
        <v>589.70000000000005</v>
      </c>
      <c r="N129">
        <v>26.57</v>
      </c>
      <c r="O129">
        <v>16.579999999999998</v>
      </c>
      <c r="P129">
        <v>4.12</v>
      </c>
      <c r="Q129">
        <v>6.18</v>
      </c>
      <c r="R129">
        <v>50.68</v>
      </c>
      <c r="S129">
        <v>7</v>
      </c>
      <c r="T129">
        <v>25.13</v>
      </c>
      <c r="U129">
        <v>16.07</v>
      </c>
      <c r="V129">
        <v>0</v>
      </c>
      <c r="W129">
        <v>8.5</v>
      </c>
      <c r="X129">
        <v>1</v>
      </c>
      <c r="Y129">
        <v>705</v>
      </c>
      <c r="Z129">
        <v>92</v>
      </c>
      <c r="AA129">
        <v>168</v>
      </c>
      <c r="AB129">
        <v>4.5999999999999996</v>
      </c>
      <c r="AC129">
        <v>3.3</v>
      </c>
      <c r="AD129">
        <v>0</v>
      </c>
      <c r="AE129">
        <v>204</v>
      </c>
      <c r="AF129">
        <v>0</v>
      </c>
      <c r="AG129">
        <v>0</v>
      </c>
      <c r="AH129">
        <v>0</v>
      </c>
      <c r="AI129">
        <v>15</v>
      </c>
      <c r="AJ129">
        <v>2.5</v>
      </c>
      <c r="AK129" t="s">
        <v>66</v>
      </c>
      <c r="AL129" t="s">
        <v>87</v>
      </c>
      <c r="AM129" t="s">
        <v>87</v>
      </c>
      <c r="AN129" t="s">
        <v>67</v>
      </c>
      <c r="AO129" t="s">
        <v>68</v>
      </c>
      <c r="AP129" t="s">
        <v>67</v>
      </c>
      <c r="AQ129" t="s">
        <v>70</v>
      </c>
      <c r="AR129" t="s">
        <v>71</v>
      </c>
      <c r="AS129" t="s">
        <v>530</v>
      </c>
      <c r="AT129" t="s">
        <v>800</v>
      </c>
    </row>
    <row r="130" spans="1:46" ht="15" customHeight="1" x14ac:dyDescent="0.2">
      <c r="A130">
        <v>1646</v>
      </c>
      <c r="B130" t="s">
        <v>1191</v>
      </c>
      <c r="C130" t="s">
        <v>610</v>
      </c>
      <c r="D130" t="s">
        <v>611</v>
      </c>
      <c r="E130" t="s">
        <v>1160</v>
      </c>
      <c r="F130" t="s">
        <v>63</v>
      </c>
      <c r="G130" t="s">
        <v>64</v>
      </c>
      <c r="H130" t="b">
        <f>FALSE()</f>
        <v>0</v>
      </c>
      <c r="I130" t="b">
        <f>FALSE()</f>
        <v>0</v>
      </c>
      <c r="J130" t="b">
        <f>TRUE()</f>
        <v>1</v>
      </c>
      <c r="K130" t="s">
        <v>65</v>
      </c>
      <c r="L130">
        <v>100</v>
      </c>
      <c r="M130">
        <v>589.70000000000005</v>
      </c>
      <c r="N130">
        <v>26.57</v>
      </c>
      <c r="O130">
        <v>16.579999999999998</v>
      </c>
      <c r="P130">
        <v>4.12</v>
      </c>
      <c r="Q130">
        <v>6.18</v>
      </c>
      <c r="R130">
        <v>50.68</v>
      </c>
      <c r="S130">
        <v>7</v>
      </c>
      <c r="T130">
        <v>25.13</v>
      </c>
      <c r="U130">
        <v>16.07</v>
      </c>
      <c r="V130">
        <v>0</v>
      </c>
      <c r="W130">
        <v>8.5</v>
      </c>
      <c r="X130">
        <v>1</v>
      </c>
      <c r="Y130">
        <v>705</v>
      </c>
      <c r="Z130">
        <v>92</v>
      </c>
      <c r="AA130">
        <v>168</v>
      </c>
      <c r="AB130">
        <v>4.5999999999999996</v>
      </c>
      <c r="AC130">
        <v>3.3</v>
      </c>
      <c r="AD130">
        <v>0</v>
      </c>
      <c r="AE130">
        <v>204</v>
      </c>
      <c r="AF130">
        <v>0</v>
      </c>
      <c r="AG130">
        <v>0</v>
      </c>
      <c r="AH130">
        <v>0</v>
      </c>
      <c r="AI130">
        <v>15</v>
      </c>
      <c r="AJ130">
        <v>2.5</v>
      </c>
      <c r="AK130" t="s">
        <v>66</v>
      </c>
      <c r="AL130" t="s">
        <v>87</v>
      </c>
      <c r="AM130" t="s">
        <v>87</v>
      </c>
      <c r="AN130" t="s">
        <v>67</v>
      </c>
      <c r="AO130" t="s">
        <v>68</v>
      </c>
      <c r="AP130" t="s">
        <v>67</v>
      </c>
      <c r="AQ130" t="s">
        <v>70</v>
      </c>
      <c r="AR130" t="s">
        <v>71</v>
      </c>
      <c r="AS130" t="s">
        <v>530</v>
      </c>
      <c r="AT130" t="s">
        <v>800</v>
      </c>
    </row>
    <row r="131" spans="1:46" ht="15" customHeight="1" x14ac:dyDescent="0.2">
      <c r="A131">
        <v>1647</v>
      </c>
      <c r="B131" t="s">
        <v>1192</v>
      </c>
      <c r="C131" t="s">
        <v>610</v>
      </c>
      <c r="D131" t="s">
        <v>611</v>
      </c>
      <c r="E131" t="s">
        <v>1160</v>
      </c>
      <c r="F131" t="s">
        <v>63</v>
      </c>
      <c r="G131" t="s">
        <v>64</v>
      </c>
      <c r="H131" t="b">
        <f>FALSE()</f>
        <v>0</v>
      </c>
      <c r="I131" t="b">
        <f>FALSE()</f>
        <v>0</v>
      </c>
      <c r="J131" t="b">
        <f>TRUE()</f>
        <v>1</v>
      </c>
      <c r="K131" t="s">
        <v>65</v>
      </c>
      <c r="L131">
        <v>100</v>
      </c>
      <c r="M131">
        <v>589.70000000000005</v>
      </c>
      <c r="N131">
        <v>26.57</v>
      </c>
      <c r="O131">
        <v>16.579999999999998</v>
      </c>
      <c r="P131">
        <v>4.12</v>
      </c>
      <c r="Q131">
        <v>6.18</v>
      </c>
      <c r="R131">
        <v>50.68</v>
      </c>
      <c r="S131">
        <v>7</v>
      </c>
      <c r="T131">
        <v>25.13</v>
      </c>
      <c r="U131">
        <v>16.07</v>
      </c>
      <c r="V131">
        <v>0</v>
      </c>
      <c r="W131">
        <v>8.5</v>
      </c>
      <c r="X131">
        <v>1</v>
      </c>
      <c r="Y131">
        <v>705</v>
      </c>
      <c r="Z131">
        <v>92</v>
      </c>
      <c r="AA131">
        <v>168</v>
      </c>
      <c r="AB131">
        <v>4.5999999999999996</v>
      </c>
      <c r="AC131">
        <v>3.3</v>
      </c>
      <c r="AD131">
        <v>0</v>
      </c>
      <c r="AE131">
        <v>204</v>
      </c>
      <c r="AF131">
        <v>0</v>
      </c>
      <c r="AG131">
        <v>0</v>
      </c>
      <c r="AH131">
        <v>0</v>
      </c>
      <c r="AI131">
        <v>15</v>
      </c>
      <c r="AJ131">
        <v>2.5</v>
      </c>
      <c r="AK131" t="s">
        <v>66</v>
      </c>
      <c r="AL131" t="s">
        <v>87</v>
      </c>
      <c r="AM131" t="s">
        <v>87</v>
      </c>
      <c r="AN131" t="s">
        <v>67</v>
      </c>
      <c r="AO131" t="s">
        <v>68</v>
      </c>
      <c r="AP131" t="s">
        <v>67</v>
      </c>
      <c r="AQ131" t="s">
        <v>70</v>
      </c>
      <c r="AR131" t="s">
        <v>71</v>
      </c>
      <c r="AS131" t="s">
        <v>530</v>
      </c>
      <c r="AT131" t="s">
        <v>800</v>
      </c>
    </row>
    <row r="132" spans="1:46" ht="15" customHeight="1" x14ac:dyDescent="0.2">
      <c r="A132">
        <v>1648</v>
      </c>
      <c r="B132" t="s">
        <v>1193</v>
      </c>
      <c r="C132" t="s">
        <v>610</v>
      </c>
      <c r="D132" t="s">
        <v>611</v>
      </c>
      <c r="E132" t="s">
        <v>216</v>
      </c>
      <c r="F132" t="s">
        <v>63</v>
      </c>
      <c r="G132" t="s">
        <v>473</v>
      </c>
      <c r="H132" t="b">
        <f>FALSE()</f>
        <v>0</v>
      </c>
      <c r="I132" t="b">
        <f>FALSE()</f>
        <v>0</v>
      </c>
      <c r="J132" t="b">
        <f>TRUE()</f>
        <v>1</v>
      </c>
      <c r="K132" t="s">
        <v>65</v>
      </c>
      <c r="L132">
        <v>100</v>
      </c>
      <c r="M132">
        <v>680.4</v>
      </c>
      <c r="N132">
        <v>27.09</v>
      </c>
      <c r="O132">
        <v>16.91</v>
      </c>
      <c r="P132">
        <v>4.2</v>
      </c>
      <c r="Q132">
        <v>6.3</v>
      </c>
      <c r="R132">
        <v>66.42</v>
      </c>
      <c r="S132">
        <v>9.18</v>
      </c>
      <c r="T132">
        <v>34.590000000000003</v>
      </c>
      <c r="U132">
        <v>20.010000000000002</v>
      </c>
      <c r="V132">
        <v>0</v>
      </c>
      <c r="W132">
        <v>8.5</v>
      </c>
      <c r="X132">
        <v>420</v>
      </c>
      <c r="Y132">
        <v>705</v>
      </c>
      <c r="Z132">
        <v>92</v>
      </c>
      <c r="AA132">
        <v>168</v>
      </c>
      <c r="AB132">
        <v>4.5999999999999996</v>
      </c>
      <c r="AC132">
        <v>3.3</v>
      </c>
      <c r="AD132">
        <v>0</v>
      </c>
      <c r="AE132">
        <v>180</v>
      </c>
      <c r="AF132">
        <v>0</v>
      </c>
      <c r="AG132">
        <v>0</v>
      </c>
      <c r="AH132">
        <v>0</v>
      </c>
      <c r="AI132">
        <v>15</v>
      </c>
      <c r="AJ132">
        <v>2.5</v>
      </c>
      <c r="AK132" t="s">
        <v>66</v>
      </c>
      <c r="AL132" t="s">
        <v>87</v>
      </c>
      <c r="AM132" t="s">
        <v>87</v>
      </c>
      <c r="AN132" t="s">
        <v>67</v>
      </c>
      <c r="AO132" t="s">
        <v>68</v>
      </c>
      <c r="AP132" t="s">
        <v>67</v>
      </c>
      <c r="AQ132" t="s">
        <v>70</v>
      </c>
      <c r="AR132" t="s">
        <v>71</v>
      </c>
      <c r="AS132" t="s">
        <v>530</v>
      </c>
      <c r="AT132" t="s">
        <v>800</v>
      </c>
    </row>
    <row r="133" spans="1:46" ht="15" customHeight="1" x14ac:dyDescent="0.2">
      <c r="A133">
        <v>1649</v>
      </c>
      <c r="B133" t="s">
        <v>1194</v>
      </c>
      <c r="C133" t="s">
        <v>610</v>
      </c>
      <c r="D133" t="s">
        <v>611</v>
      </c>
      <c r="E133" t="s">
        <v>216</v>
      </c>
      <c r="F133" t="s">
        <v>63</v>
      </c>
      <c r="G133" t="s">
        <v>473</v>
      </c>
      <c r="H133" t="b">
        <f>FALSE()</f>
        <v>0</v>
      </c>
      <c r="I133" t="b">
        <f>FALSE()</f>
        <v>0</v>
      </c>
      <c r="J133" t="b">
        <f>TRUE()</f>
        <v>1</v>
      </c>
      <c r="K133" t="s">
        <v>65</v>
      </c>
      <c r="L133">
        <v>100</v>
      </c>
      <c r="M133">
        <v>680.4</v>
      </c>
      <c r="N133">
        <v>27.09</v>
      </c>
      <c r="O133">
        <v>16.91</v>
      </c>
      <c r="P133">
        <v>4.2</v>
      </c>
      <c r="Q133">
        <v>6.3</v>
      </c>
      <c r="R133">
        <v>66.42</v>
      </c>
      <c r="S133">
        <v>9.18</v>
      </c>
      <c r="T133">
        <v>34.590000000000003</v>
      </c>
      <c r="U133">
        <v>20.010000000000002</v>
      </c>
      <c r="V133">
        <v>0</v>
      </c>
      <c r="W133">
        <v>8.5</v>
      </c>
      <c r="X133">
        <v>420</v>
      </c>
      <c r="Y133">
        <v>705</v>
      </c>
      <c r="Z133">
        <v>92</v>
      </c>
      <c r="AA133">
        <v>168</v>
      </c>
      <c r="AB133">
        <v>4.5999999999999996</v>
      </c>
      <c r="AC133">
        <v>3.3</v>
      </c>
      <c r="AD133">
        <v>0</v>
      </c>
      <c r="AE133">
        <v>180</v>
      </c>
      <c r="AF133">
        <v>0</v>
      </c>
      <c r="AG133">
        <v>0</v>
      </c>
      <c r="AH133">
        <v>0</v>
      </c>
      <c r="AI133">
        <v>15</v>
      </c>
      <c r="AJ133">
        <v>2.5</v>
      </c>
      <c r="AK133" t="s">
        <v>66</v>
      </c>
      <c r="AL133" t="s">
        <v>87</v>
      </c>
      <c r="AM133" t="s">
        <v>87</v>
      </c>
      <c r="AN133" t="s">
        <v>67</v>
      </c>
      <c r="AO133" t="s">
        <v>68</v>
      </c>
      <c r="AP133" t="s">
        <v>67</v>
      </c>
      <c r="AQ133" t="s">
        <v>70</v>
      </c>
      <c r="AR133" t="s">
        <v>71</v>
      </c>
      <c r="AS133" t="s">
        <v>530</v>
      </c>
      <c r="AT133" t="s">
        <v>800</v>
      </c>
    </row>
    <row r="134" spans="1:46" ht="15" customHeight="1" x14ac:dyDescent="0.2">
      <c r="A134">
        <v>1650</v>
      </c>
      <c r="B134" t="s">
        <v>1195</v>
      </c>
      <c r="C134" t="s">
        <v>610</v>
      </c>
      <c r="D134" t="s">
        <v>611</v>
      </c>
      <c r="E134" t="s">
        <v>216</v>
      </c>
      <c r="F134" t="s">
        <v>63</v>
      </c>
      <c r="G134" t="s">
        <v>473</v>
      </c>
      <c r="H134" t="b">
        <f>FALSE()</f>
        <v>0</v>
      </c>
      <c r="I134" t="b">
        <f>FALSE()</f>
        <v>0</v>
      </c>
      <c r="J134" t="b">
        <f>TRUE()</f>
        <v>1</v>
      </c>
      <c r="K134" t="s">
        <v>65</v>
      </c>
      <c r="L134">
        <v>100</v>
      </c>
      <c r="M134">
        <v>680.4</v>
      </c>
      <c r="N134">
        <v>27.09</v>
      </c>
      <c r="O134">
        <v>16.91</v>
      </c>
      <c r="P134">
        <v>4.2</v>
      </c>
      <c r="Q134">
        <v>6.3</v>
      </c>
      <c r="R134">
        <v>66.42</v>
      </c>
      <c r="S134">
        <v>9.18</v>
      </c>
      <c r="T134">
        <v>34.590000000000003</v>
      </c>
      <c r="U134">
        <v>20.010000000000002</v>
      </c>
      <c r="V134">
        <v>0</v>
      </c>
      <c r="W134">
        <v>8.5</v>
      </c>
      <c r="X134">
        <v>420</v>
      </c>
      <c r="Y134">
        <v>705</v>
      </c>
      <c r="Z134">
        <v>92</v>
      </c>
      <c r="AA134">
        <v>168</v>
      </c>
      <c r="AB134">
        <v>4.5999999999999996</v>
      </c>
      <c r="AC134">
        <v>3.3</v>
      </c>
      <c r="AD134">
        <v>0</v>
      </c>
      <c r="AE134">
        <v>180</v>
      </c>
      <c r="AF134">
        <v>0</v>
      </c>
      <c r="AG134">
        <v>0</v>
      </c>
      <c r="AH134">
        <v>0</v>
      </c>
      <c r="AI134">
        <v>15</v>
      </c>
      <c r="AJ134">
        <v>2.5</v>
      </c>
      <c r="AK134" t="s">
        <v>66</v>
      </c>
      <c r="AL134" t="s">
        <v>87</v>
      </c>
      <c r="AM134" t="s">
        <v>87</v>
      </c>
      <c r="AN134" t="s">
        <v>67</v>
      </c>
      <c r="AO134" t="s">
        <v>68</v>
      </c>
      <c r="AP134" t="s">
        <v>67</v>
      </c>
      <c r="AQ134" t="s">
        <v>70</v>
      </c>
      <c r="AR134" t="s">
        <v>71</v>
      </c>
      <c r="AS134" t="s">
        <v>530</v>
      </c>
      <c r="AT134" t="s">
        <v>800</v>
      </c>
    </row>
    <row r="135" spans="1:46" ht="15" customHeight="1" x14ac:dyDescent="0.2">
      <c r="A135">
        <v>1651</v>
      </c>
      <c r="B135" t="s">
        <v>1196</v>
      </c>
      <c r="C135" t="s">
        <v>610</v>
      </c>
      <c r="D135" t="s">
        <v>611</v>
      </c>
      <c r="E135" t="s">
        <v>1160</v>
      </c>
      <c r="F135" t="s">
        <v>63</v>
      </c>
      <c r="G135" t="s">
        <v>64</v>
      </c>
      <c r="H135" t="b">
        <f>FALSE()</f>
        <v>0</v>
      </c>
      <c r="I135" t="b">
        <f>FALSE()</f>
        <v>0</v>
      </c>
      <c r="J135" t="b">
        <f>TRUE()</f>
        <v>1</v>
      </c>
      <c r="K135" t="s">
        <v>65</v>
      </c>
      <c r="L135">
        <v>100</v>
      </c>
      <c r="M135">
        <v>699.9</v>
      </c>
      <c r="N135">
        <v>14.11</v>
      </c>
      <c r="O135">
        <v>13.49</v>
      </c>
      <c r="P135">
        <v>3.71</v>
      </c>
      <c r="Q135">
        <v>0.52</v>
      </c>
      <c r="R135">
        <v>70.45</v>
      </c>
      <c r="S135">
        <v>5.05</v>
      </c>
      <c r="T135">
        <v>19.260000000000002</v>
      </c>
      <c r="U135">
        <v>35.119999999999997</v>
      </c>
      <c r="V135">
        <v>0.1</v>
      </c>
      <c r="W135">
        <v>3.7</v>
      </c>
      <c r="X135">
        <v>1</v>
      </c>
      <c r="Y135">
        <v>597</v>
      </c>
      <c r="Z135">
        <v>16</v>
      </c>
      <c r="AA135">
        <v>251</v>
      </c>
      <c r="AB135">
        <v>5.5</v>
      </c>
      <c r="AC135">
        <v>6.5</v>
      </c>
      <c r="AD135">
        <v>0.5</v>
      </c>
      <c r="AE135">
        <v>29</v>
      </c>
      <c r="AF135">
        <v>0</v>
      </c>
      <c r="AG135">
        <v>0</v>
      </c>
      <c r="AH135">
        <v>0</v>
      </c>
      <c r="AI135">
        <v>15</v>
      </c>
      <c r="AJ135">
        <v>2</v>
      </c>
      <c r="AK135" t="s">
        <v>66</v>
      </c>
      <c r="AL135" t="s">
        <v>87</v>
      </c>
      <c r="AM135" t="s">
        <v>87</v>
      </c>
      <c r="AN135" t="s">
        <v>67</v>
      </c>
      <c r="AO135" t="s">
        <v>68</v>
      </c>
      <c r="AP135" t="s">
        <v>67</v>
      </c>
      <c r="AQ135" t="s">
        <v>70</v>
      </c>
      <c r="AR135" t="s">
        <v>71</v>
      </c>
      <c r="AS135" t="s">
        <v>530</v>
      </c>
      <c r="AT135" t="s">
        <v>800</v>
      </c>
    </row>
    <row r="136" spans="1:46" ht="15" customHeight="1" x14ac:dyDescent="0.2">
      <c r="A136">
        <v>1652</v>
      </c>
      <c r="B136" t="s">
        <v>1197</v>
      </c>
      <c r="C136" t="s">
        <v>610</v>
      </c>
      <c r="D136" t="s">
        <v>611</v>
      </c>
      <c r="E136" t="s">
        <v>1160</v>
      </c>
      <c r="F136" t="s">
        <v>63</v>
      </c>
      <c r="G136" t="s">
        <v>64</v>
      </c>
      <c r="H136" t="b">
        <f>FALSE()</f>
        <v>0</v>
      </c>
      <c r="I136" t="b">
        <f>FALSE()</f>
        <v>0</v>
      </c>
      <c r="J136" t="b">
        <f>TRUE()</f>
        <v>1</v>
      </c>
      <c r="K136" t="s">
        <v>65</v>
      </c>
      <c r="L136">
        <v>100</v>
      </c>
      <c r="M136">
        <v>699.9</v>
      </c>
      <c r="N136">
        <v>14.11</v>
      </c>
      <c r="O136">
        <v>13.49</v>
      </c>
      <c r="P136">
        <v>3.71</v>
      </c>
      <c r="Q136">
        <v>0.52</v>
      </c>
      <c r="R136">
        <v>70.45</v>
      </c>
      <c r="S136">
        <v>5.05</v>
      </c>
      <c r="T136">
        <v>19.260000000000002</v>
      </c>
      <c r="U136">
        <v>35.119999999999997</v>
      </c>
      <c r="V136">
        <v>0.1</v>
      </c>
      <c r="W136">
        <v>3.7</v>
      </c>
      <c r="X136">
        <v>1</v>
      </c>
      <c r="Y136">
        <v>597</v>
      </c>
      <c r="Z136">
        <v>16</v>
      </c>
      <c r="AA136">
        <v>251</v>
      </c>
      <c r="AB136">
        <v>5.5</v>
      </c>
      <c r="AC136">
        <v>6.5</v>
      </c>
      <c r="AD136">
        <v>0.5</v>
      </c>
      <c r="AE136">
        <v>29</v>
      </c>
      <c r="AF136">
        <v>0</v>
      </c>
      <c r="AG136">
        <v>0</v>
      </c>
      <c r="AH136">
        <v>0</v>
      </c>
      <c r="AI136">
        <v>15</v>
      </c>
      <c r="AJ136">
        <v>2</v>
      </c>
      <c r="AK136" t="s">
        <v>66</v>
      </c>
      <c r="AL136" t="s">
        <v>87</v>
      </c>
      <c r="AM136" t="s">
        <v>87</v>
      </c>
      <c r="AN136" t="s">
        <v>67</v>
      </c>
      <c r="AO136" t="s">
        <v>68</v>
      </c>
      <c r="AP136" t="s">
        <v>67</v>
      </c>
      <c r="AQ136" t="s">
        <v>70</v>
      </c>
      <c r="AR136" t="s">
        <v>71</v>
      </c>
      <c r="AS136" t="s">
        <v>530</v>
      </c>
      <c r="AT136" t="s">
        <v>800</v>
      </c>
    </row>
    <row r="137" spans="1:46" ht="15" customHeight="1" x14ac:dyDescent="0.2">
      <c r="A137">
        <v>1653</v>
      </c>
      <c r="B137" t="s">
        <v>1198</v>
      </c>
      <c r="C137" t="s">
        <v>610</v>
      </c>
      <c r="D137" t="s">
        <v>611</v>
      </c>
      <c r="E137" t="s">
        <v>1160</v>
      </c>
      <c r="F137" t="s">
        <v>63</v>
      </c>
      <c r="G137" t="s">
        <v>64</v>
      </c>
      <c r="H137" t="b">
        <f>FALSE()</f>
        <v>0</v>
      </c>
      <c r="I137" t="b">
        <f>FALSE()</f>
        <v>0</v>
      </c>
      <c r="J137" t="b">
        <f>TRUE()</f>
        <v>1</v>
      </c>
      <c r="K137" t="s">
        <v>65</v>
      </c>
      <c r="L137">
        <v>100</v>
      </c>
      <c r="M137">
        <v>699.9</v>
      </c>
      <c r="N137">
        <v>14.11</v>
      </c>
      <c r="O137">
        <v>13.49</v>
      </c>
      <c r="P137">
        <v>3.71</v>
      </c>
      <c r="Q137">
        <v>0.52</v>
      </c>
      <c r="R137">
        <v>70.45</v>
      </c>
      <c r="S137">
        <v>5.05</v>
      </c>
      <c r="T137">
        <v>19.260000000000002</v>
      </c>
      <c r="U137">
        <v>35.119999999999997</v>
      </c>
      <c r="V137">
        <v>0.1</v>
      </c>
      <c r="W137">
        <v>3.7</v>
      </c>
      <c r="X137">
        <v>1</v>
      </c>
      <c r="Y137">
        <v>597</v>
      </c>
      <c r="Z137">
        <v>16</v>
      </c>
      <c r="AA137">
        <v>251</v>
      </c>
      <c r="AB137">
        <v>5.5</v>
      </c>
      <c r="AC137">
        <v>6.5</v>
      </c>
      <c r="AD137">
        <v>0.5</v>
      </c>
      <c r="AE137">
        <v>29</v>
      </c>
      <c r="AF137">
        <v>0</v>
      </c>
      <c r="AG137">
        <v>0</v>
      </c>
      <c r="AH137">
        <v>0</v>
      </c>
      <c r="AI137">
        <v>15</v>
      </c>
      <c r="AJ137">
        <v>2</v>
      </c>
      <c r="AK137" t="s">
        <v>66</v>
      </c>
      <c r="AL137" t="s">
        <v>87</v>
      </c>
      <c r="AM137" t="s">
        <v>87</v>
      </c>
      <c r="AN137" t="s">
        <v>67</v>
      </c>
      <c r="AO137" t="s">
        <v>68</v>
      </c>
      <c r="AP137" t="s">
        <v>67</v>
      </c>
      <c r="AQ137" t="s">
        <v>70</v>
      </c>
      <c r="AR137" t="s">
        <v>71</v>
      </c>
      <c r="AS137" t="s">
        <v>530</v>
      </c>
      <c r="AT137" t="s">
        <v>800</v>
      </c>
    </row>
    <row r="138" spans="1:46" ht="15" customHeight="1" x14ac:dyDescent="0.2">
      <c r="A138">
        <v>1654</v>
      </c>
      <c r="B138" t="s">
        <v>1199</v>
      </c>
      <c r="C138" t="s">
        <v>610</v>
      </c>
      <c r="D138" t="s">
        <v>611</v>
      </c>
      <c r="E138" t="s">
        <v>216</v>
      </c>
      <c r="F138" t="s">
        <v>63</v>
      </c>
      <c r="G138" t="s">
        <v>473</v>
      </c>
      <c r="H138" t="b">
        <f>FALSE()</f>
        <v>0</v>
      </c>
      <c r="I138" t="b">
        <f>FALSE()</f>
        <v>0</v>
      </c>
      <c r="J138" t="b">
        <f>TRUE()</f>
        <v>1</v>
      </c>
      <c r="K138" t="s">
        <v>65</v>
      </c>
      <c r="L138">
        <v>100</v>
      </c>
      <c r="M138">
        <v>807.6</v>
      </c>
      <c r="N138">
        <v>14.38</v>
      </c>
      <c r="O138">
        <v>13.76</v>
      </c>
      <c r="P138">
        <v>3.78</v>
      </c>
      <c r="Q138">
        <v>0.53</v>
      </c>
      <c r="R138">
        <v>92.34</v>
      </c>
      <c r="S138">
        <v>6.62</v>
      </c>
      <c r="T138">
        <v>26.51</v>
      </c>
      <c r="U138">
        <v>43.73</v>
      </c>
      <c r="V138">
        <v>0.14000000000000001</v>
      </c>
      <c r="W138">
        <v>3.7</v>
      </c>
      <c r="X138">
        <v>420</v>
      </c>
      <c r="Y138">
        <v>597</v>
      </c>
      <c r="Z138">
        <v>16</v>
      </c>
      <c r="AA138">
        <v>251</v>
      </c>
      <c r="AB138">
        <v>5.5</v>
      </c>
      <c r="AC138">
        <v>6.5</v>
      </c>
      <c r="AD138">
        <v>0.4</v>
      </c>
      <c r="AE138">
        <v>26</v>
      </c>
      <c r="AF138">
        <v>0</v>
      </c>
      <c r="AG138">
        <v>0</v>
      </c>
      <c r="AH138">
        <v>0</v>
      </c>
      <c r="AI138">
        <v>15</v>
      </c>
      <c r="AJ138">
        <v>2.1</v>
      </c>
      <c r="AK138" t="s">
        <v>66</v>
      </c>
      <c r="AL138" t="s">
        <v>87</v>
      </c>
      <c r="AM138" t="s">
        <v>87</v>
      </c>
      <c r="AN138" t="s">
        <v>67</v>
      </c>
      <c r="AO138" t="s">
        <v>68</v>
      </c>
      <c r="AP138" t="s">
        <v>67</v>
      </c>
      <c r="AQ138" t="s">
        <v>70</v>
      </c>
      <c r="AR138" t="s">
        <v>71</v>
      </c>
      <c r="AS138" t="s">
        <v>530</v>
      </c>
      <c r="AT138" t="s">
        <v>800</v>
      </c>
    </row>
    <row r="139" spans="1:46" ht="15" customHeight="1" x14ac:dyDescent="0.2">
      <c r="A139">
        <v>1655</v>
      </c>
      <c r="B139" t="s">
        <v>1200</v>
      </c>
      <c r="C139" t="s">
        <v>610</v>
      </c>
      <c r="D139" t="s">
        <v>611</v>
      </c>
      <c r="E139" t="s">
        <v>216</v>
      </c>
      <c r="F139" t="s">
        <v>63</v>
      </c>
      <c r="G139" t="s">
        <v>473</v>
      </c>
      <c r="H139" t="b">
        <f>FALSE()</f>
        <v>0</v>
      </c>
      <c r="I139" t="b">
        <f>FALSE()</f>
        <v>0</v>
      </c>
      <c r="J139" t="b">
        <f>TRUE()</f>
        <v>1</v>
      </c>
      <c r="K139" t="s">
        <v>65</v>
      </c>
      <c r="L139">
        <v>100</v>
      </c>
      <c r="M139">
        <v>807.6</v>
      </c>
      <c r="N139">
        <v>14.38</v>
      </c>
      <c r="O139">
        <v>13.76</v>
      </c>
      <c r="P139">
        <v>3.78</v>
      </c>
      <c r="Q139">
        <v>0.53</v>
      </c>
      <c r="R139">
        <v>92.34</v>
      </c>
      <c r="S139">
        <v>6.62</v>
      </c>
      <c r="T139">
        <v>26.51</v>
      </c>
      <c r="U139">
        <v>43.73</v>
      </c>
      <c r="V139">
        <v>0.14000000000000001</v>
      </c>
      <c r="W139">
        <v>3.7</v>
      </c>
      <c r="X139">
        <v>420</v>
      </c>
      <c r="Y139">
        <v>597</v>
      </c>
      <c r="Z139">
        <v>16</v>
      </c>
      <c r="AA139">
        <v>251</v>
      </c>
      <c r="AB139">
        <v>5.5</v>
      </c>
      <c r="AC139">
        <v>6.5</v>
      </c>
      <c r="AD139">
        <v>0.4</v>
      </c>
      <c r="AE139">
        <v>26</v>
      </c>
      <c r="AF139">
        <v>0</v>
      </c>
      <c r="AG139">
        <v>0</v>
      </c>
      <c r="AH139">
        <v>0</v>
      </c>
      <c r="AI139">
        <v>15</v>
      </c>
      <c r="AJ139">
        <v>2.1</v>
      </c>
      <c r="AK139" t="s">
        <v>66</v>
      </c>
      <c r="AL139" t="s">
        <v>87</v>
      </c>
      <c r="AM139" t="s">
        <v>87</v>
      </c>
      <c r="AN139" t="s">
        <v>67</v>
      </c>
      <c r="AO139" t="s">
        <v>68</v>
      </c>
      <c r="AP139" t="s">
        <v>67</v>
      </c>
      <c r="AQ139" t="s">
        <v>70</v>
      </c>
      <c r="AR139" t="s">
        <v>71</v>
      </c>
      <c r="AS139" t="s">
        <v>530</v>
      </c>
      <c r="AT139" t="s">
        <v>800</v>
      </c>
    </row>
    <row r="140" spans="1:46" ht="15" customHeight="1" x14ac:dyDescent="0.2">
      <c r="A140">
        <v>1656</v>
      </c>
      <c r="B140" t="s">
        <v>1201</v>
      </c>
      <c r="C140" t="s">
        <v>610</v>
      </c>
      <c r="D140" t="s">
        <v>611</v>
      </c>
      <c r="E140" t="s">
        <v>216</v>
      </c>
      <c r="F140" t="s">
        <v>63</v>
      </c>
      <c r="G140" t="s">
        <v>473</v>
      </c>
      <c r="H140" t="b">
        <f>FALSE()</f>
        <v>0</v>
      </c>
      <c r="I140" t="b">
        <f>FALSE()</f>
        <v>0</v>
      </c>
      <c r="J140" t="b">
        <f>TRUE()</f>
        <v>1</v>
      </c>
      <c r="K140" t="s">
        <v>65</v>
      </c>
      <c r="L140">
        <v>100</v>
      </c>
      <c r="M140">
        <v>807.6</v>
      </c>
      <c r="N140">
        <v>14.38</v>
      </c>
      <c r="O140">
        <v>13.76</v>
      </c>
      <c r="P140">
        <v>3.78</v>
      </c>
      <c r="Q140">
        <v>0.53</v>
      </c>
      <c r="R140">
        <v>92.34</v>
      </c>
      <c r="S140">
        <v>6.62</v>
      </c>
      <c r="T140">
        <v>26.51</v>
      </c>
      <c r="U140">
        <v>43.73</v>
      </c>
      <c r="V140">
        <v>0.14000000000000001</v>
      </c>
      <c r="W140">
        <v>3.7</v>
      </c>
      <c r="X140">
        <v>420</v>
      </c>
      <c r="Y140">
        <v>597</v>
      </c>
      <c r="Z140">
        <v>16</v>
      </c>
      <c r="AA140">
        <v>251</v>
      </c>
      <c r="AB140">
        <v>5.5</v>
      </c>
      <c r="AC140">
        <v>6.5</v>
      </c>
      <c r="AD140">
        <v>0.4</v>
      </c>
      <c r="AE140">
        <v>26</v>
      </c>
      <c r="AF140">
        <v>0</v>
      </c>
      <c r="AG140">
        <v>0</v>
      </c>
      <c r="AH140">
        <v>0</v>
      </c>
      <c r="AI140">
        <v>15</v>
      </c>
      <c r="AJ140">
        <v>2.1</v>
      </c>
      <c r="AK140" t="s">
        <v>66</v>
      </c>
      <c r="AL140" t="s">
        <v>87</v>
      </c>
      <c r="AM140" t="s">
        <v>87</v>
      </c>
      <c r="AN140" t="s">
        <v>67</v>
      </c>
      <c r="AO140" t="s">
        <v>68</v>
      </c>
      <c r="AP140" t="s">
        <v>67</v>
      </c>
      <c r="AQ140" t="s">
        <v>70</v>
      </c>
      <c r="AR140" t="s">
        <v>71</v>
      </c>
      <c r="AS140" t="s">
        <v>530</v>
      </c>
      <c r="AT140" t="s">
        <v>800</v>
      </c>
    </row>
    <row r="141" spans="1:46" ht="15" customHeight="1" x14ac:dyDescent="0.2">
      <c r="A141">
        <v>1657</v>
      </c>
      <c r="B141" t="s">
        <v>1202</v>
      </c>
      <c r="C141" t="s">
        <v>1203</v>
      </c>
      <c r="D141" t="s">
        <v>1204</v>
      </c>
      <c r="E141" t="s">
        <v>511</v>
      </c>
      <c r="F141" t="s">
        <v>63</v>
      </c>
      <c r="G141" t="s">
        <v>64</v>
      </c>
      <c r="H141" t="b">
        <f>FALSE()</f>
        <v>0</v>
      </c>
      <c r="I141" t="b">
        <f>FALSE()</f>
        <v>0</v>
      </c>
      <c r="J141" t="b">
        <f>TRUE()</f>
        <v>1</v>
      </c>
      <c r="K141" t="s">
        <v>126</v>
      </c>
      <c r="L141">
        <v>100</v>
      </c>
      <c r="M141">
        <v>304</v>
      </c>
      <c r="N141">
        <v>0.3</v>
      </c>
      <c r="O141">
        <v>82.4</v>
      </c>
      <c r="P141">
        <v>82.1</v>
      </c>
      <c r="Q141">
        <v>0.1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0.2</v>
      </c>
      <c r="X141">
        <v>4</v>
      </c>
      <c r="Y141">
        <v>52</v>
      </c>
      <c r="Z141">
        <v>6</v>
      </c>
      <c r="AA141">
        <v>2</v>
      </c>
      <c r="AB141">
        <v>0.4</v>
      </c>
      <c r="AC141">
        <v>0.2</v>
      </c>
      <c r="AD141">
        <v>0.5</v>
      </c>
      <c r="AE141">
        <v>2</v>
      </c>
      <c r="AF141">
        <v>0</v>
      </c>
      <c r="AG141">
        <v>0</v>
      </c>
      <c r="AH141">
        <v>0</v>
      </c>
      <c r="AI141">
        <v>60</v>
      </c>
      <c r="AJ141">
        <v>49.4</v>
      </c>
      <c r="AK141" t="s">
        <v>77</v>
      </c>
      <c r="AL141" t="s">
        <v>65</v>
      </c>
      <c r="AM141" t="s">
        <v>87</v>
      </c>
      <c r="AN141" t="s">
        <v>69</v>
      </c>
      <c r="AO141" t="s">
        <v>69</v>
      </c>
      <c r="AP141" t="s">
        <v>67</v>
      </c>
      <c r="AQ141" t="s">
        <v>70</v>
      </c>
      <c r="AR141" t="s">
        <v>71</v>
      </c>
      <c r="AS141" t="s">
        <v>72</v>
      </c>
      <c r="AT141" t="s">
        <v>800</v>
      </c>
    </row>
    <row r="142" spans="1:46" ht="15" customHeight="1" x14ac:dyDescent="0.2">
      <c r="A142">
        <v>1658</v>
      </c>
      <c r="B142" t="s">
        <v>1205</v>
      </c>
      <c r="C142" t="s">
        <v>1203</v>
      </c>
      <c r="D142" t="s">
        <v>1204</v>
      </c>
      <c r="E142" t="s">
        <v>511</v>
      </c>
      <c r="F142" t="s">
        <v>63</v>
      </c>
      <c r="G142" t="s">
        <v>64</v>
      </c>
      <c r="H142" t="b">
        <f>FALSE()</f>
        <v>0</v>
      </c>
      <c r="I142" t="b">
        <f>FALSE()</f>
        <v>0</v>
      </c>
      <c r="J142" t="b">
        <f>TRUE()</f>
        <v>1</v>
      </c>
      <c r="K142" t="s">
        <v>126</v>
      </c>
      <c r="L142">
        <v>100</v>
      </c>
      <c r="M142">
        <v>304</v>
      </c>
      <c r="N142">
        <v>0.3</v>
      </c>
      <c r="O142">
        <v>82.4</v>
      </c>
      <c r="P142">
        <v>82.1</v>
      </c>
      <c r="Q142">
        <v>0.1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0.2</v>
      </c>
      <c r="X142">
        <v>4</v>
      </c>
      <c r="Y142">
        <v>52</v>
      </c>
      <c r="Z142">
        <v>6</v>
      </c>
      <c r="AA142">
        <v>2</v>
      </c>
      <c r="AB142">
        <v>0.4</v>
      </c>
      <c r="AC142">
        <v>0.2</v>
      </c>
      <c r="AD142">
        <v>0.5</v>
      </c>
      <c r="AE142">
        <v>2</v>
      </c>
      <c r="AF142">
        <v>0</v>
      </c>
      <c r="AG142">
        <v>0</v>
      </c>
      <c r="AH142">
        <v>0</v>
      </c>
      <c r="AI142">
        <v>60</v>
      </c>
      <c r="AJ142">
        <v>49.4</v>
      </c>
      <c r="AK142" t="s">
        <v>77</v>
      </c>
      <c r="AL142" t="s">
        <v>65</v>
      </c>
      <c r="AM142" t="s">
        <v>87</v>
      </c>
      <c r="AN142" t="s">
        <v>69</v>
      </c>
      <c r="AO142" t="s">
        <v>69</v>
      </c>
      <c r="AP142" t="s">
        <v>67</v>
      </c>
      <c r="AQ142" t="s">
        <v>70</v>
      </c>
      <c r="AR142" t="s">
        <v>71</v>
      </c>
      <c r="AS142" t="s">
        <v>72</v>
      </c>
      <c r="AT142" t="s">
        <v>800</v>
      </c>
    </row>
    <row r="143" spans="1:46" ht="15" customHeight="1" x14ac:dyDescent="0.2">
      <c r="A143">
        <v>1659</v>
      </c>
      <c r="B143" t="s">
        <v>1206</v>
      </c>
      <c r="C143" t="s">
        <v>1203</v>
      </c>
      <c r="D143" t="s">
        <v>1204</v>
      </c>
      <c r="E143" t="s">
        <v>511</v>
      </c>
      <c r="F143" t="s">
        <v>63</v>
      </c>
      <c r="G143" t="s">
        <v>64</v>
      </c>
      <c r="H143" t="b">
        <f>FALSE()</f>
        <v>0</v>
      </c>
      <c r="I143" t="b">
        <f>FALSE()</f>
        <v>0</v>
      </c>
      <c r="J143" t="b">
        <f>TRUE()</f>
        <v>1</v>
      </c>
      <c r="K143" t="s">
        <v>126</v>
      </c>
      <c r="L143">
        <v>100</v>
      </c>
      <c r="M143">
        <v>304</v>
      </c>
      <c r="N143">
        <v>0.3</v>
      </c>
      <c r="O143">
        <v>82.4</v>
      </c>
      <c r="P143">
        <v>82.1</v>
      </c>
      <c r="Q143">
        <v>0.1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0.2</v>
      </c>
      <c r="X143">
        <v>4</v>
      </c>
      <c r="Y143">
        <v>52</v>
      </c>
      <c r="Z143">
        <v>6</v>
      </c>
      <c r="AA143">
        <v>2</v>
      </c>
      <c r="AB143">
        <v>0.4</v>
      </c>
      <c r="AC143">
        <v>0.2</v>
      </c>
      <c r="AD143">
        <v>0.5</v>
      </c>
      <c r="AE143">
        <v>2</v>
      </c>
      <c r="AF143">
        <v>0</v>
      </c>
      <c r="AG143">
        <v>0</v>
      </c>
      <c r="AH143">
        <v>0</v>
      </c>
      <c r="AI143">
        <v>60</v>
      </c>
      <c r="AJ143">
        <v>49.4</v>
      </c>
      <c r="AK143" t="s">
        <v>77</v>
      </c>
      <c r="AL143" t="s">
        <v>65</v>
      </c>
      <c r="AM143" t="s">
        <v>87</v>
      </c>
      <c r="AN143" t="s">
        <v>69</v>
      </c>
      <c r="AO143" t="s">
        <v>69</v>
      </c>
      <c r="AP143" t="s">
        <v>67</v>
      </c>
      <c r="AQ143" t="s">
        <v>70</v>
      </c>
      <c r="AR143" t="s">
        <v>71</v>
      </c>
      <c r="AS143" t="s">
        <v>72</v>
      </c>
      <c r="AT143" t="s">
        <v>800</v>
      </c>
    </row>
    <row r="144" spans="1:46" ht="15" customHeight="1" x14ac:dyDescent="0.2">
      <c r="A144">
        <v>1660</v>
      </c>
      <c r="B144" t="s">
        <v>1207</v>
      </c>
      <c r="C144" t="s">
        <v>610</v>
      </c>
      <c r="D144" t="s">
        <v>1208</v>
      </c>
      <c r="E144" t="s">
        <v>686</v>
      </c>
      <c r="F144" t="s">
        <v>63</v>
      </c>
      <c r="G144" t="s">
        <v>473</v>
      </c>
      <c r="H144" t="b">
        <f>FALSE()</f>
        <v>0</v>
      </c>
      <c r="I144" t="b">
        <f>FALSE()</f>
        <v>0</v>
      </c>
      <c r="J144" t="b">
        <f>TRUE()</f>
        <v>1</v>
      </c>
      <c r="K144" t="s">
        <v>65</v>
      </c>
      <c r="L144">
        <v>100</v>
      </c>
      <c r="M144">
        <v>588</v>
      </c>
      <c r="N144">
        <v>25</v>
      </c>
      <c r="O144">
        <v>20</v>
      </c>
      <c r="P144">
        <v>6</v>
      </c>
      <c r="Q144">
        <v>10</v>
      </c>
      <c r="R144">
        <v>50</v>
      </c>
      <c r="S144">
        <v>10</v>
      </c>
      <c r="T144">
        <v>24</v>
      </c>
      <c r="U144">
        <v>14</v>
      </c>
      <c r="V144">
        <v>0</v>
      </c>
      <c r="W144">
        <v>6</v>
      </c>
      <c r="X144">
        <v>5</v>
      </c>
      <c r="Y144">
        <v>650</v>
      </c>
      <c r="Z144">
        <v>43</v>
      </c>
      <c r="AA144">
        <v>178</v>
      </c>
      <c r="AB144">
        <v>1.9</v>
      </c>
      <c r="AC144">
        <v>2.9</v>
      </c>
      <c r="AD144">
        <v>0</v>
      </c>
      <c r="AE144">
        <v>60</v>
      </c>
      <c r="AF144">
        <v>0</v>
      </c>
      <c r="AG144">
        <v>0</v>
      </c>
      <c r="AH144">
        <v>0</v>
      </c>
      <c r="AI144">
        <v>15</v>
      </c>
      <c r="AJ144">
        <v>3</v>
      </c>
      <c r="AK144" t="s">
        <v>66</v>
      </c>
      <c r="AL144" t="s">
        <v>87</v>
      </c>
      <c r="AM144" t="s">
        <v>87</v>
      </c>
      <c r="AN144" t="s">
        <v>67</v>
      </c>
      <c r="AO144" t="s">
        <v>68</v>
      </c>
      <c r="AP144" t="s">
        <v>69</v>
      </c>
      <c r="AQ144" t="s">
        <v>70</v>
      </c>
      <c r="AR144" t="s">
        <v>71</v>
      </c>
      <c r="AS144" t="s">
        <v>530</v>
      </c>
      <c r="AT144" t="s">
        <v>1209</v>
      </c>
    </row>
    <row r="145" spans="1:46" ht="15" customHeight="1" x14ac:dyDescent="0.2">
      <c r="A145">
        <v>1661</v>
      </c>
      <c r="B145" t="s">
        <v>1210</v>
      </c>
      <c r="C145" t="s">
        <v>610</v>
      </c>
      <c r="D145" t="s">
        <v>1208</v>
      </c>
      <c r="E145" t="s">
        <v>686</v>
      </c>
      <c r="F145" t="s">
        <v>63</v>
      </c>
      <c r="G145" t="s">
        <v>473</v>
      </c>
      <c r="H145" t="b">
        <f>FALSE()</f>
        <v>0</v>
      </c>
      <c r="I145" t="b">
        <f>FALSE()</f>
        <v>0</v>
      </c>
      <c r="J145" t="b">
        <f>TRUE()</f>
        <v>1</v>
      </c>
      <c r="K145" t="s">
        <v>65</v>
      </c>
      <c r="L145">
        <v>100</v>
      </c>
      <c r="M145">
        <v>588</v>
      </c>
      <c r="N145">
        <v>25</v>
      </c>
      <c r="O145">
        <v>20</v>
      </c>
      <c r="P145">
        <v>6</v>
      </c>
      <c r="Q145">
        <v>10</v>
      </c>
      <c r="R145">
        <v>50</v>
      </c>
      <c r="S145">
        <v>10</v>
      </c>
      <c r="T145">
        <v>24</v>
      </c>
      <c r="U145">
        <v>14</v>
      </c>
      <c r="V145">
        <v>0</v>
      </c>
      <c r="W145">
        <v>6</v>
      </c>
      <c r="X145">
        <v>5</v>
      </c>
      <c r="Y145">
        <v>650</v>
      </c>
      <c r="Z145">
        <v>43</v>
      </c>
      <c r="AA145">
        <v>178</v>
      </c>
      <c r="AB145">
        <v>1.9</v>
      </c>
      <c r="AC145">
        <v>2.9</v>
      </c>
      <c r="AD145">
        <v>0</v>
      </c>
      <c r="AE145">
        <v>60</v>
      </c>
      <c r="AF145">
        <v>0</v>
      </c>
      <c r="AG145">
        <v>0</v>
      </c>
      <c r="AH145">
        <v>0</v>
      </c>
      <c r="AI145">
        <v>15</v>
      </c>
      <c r="AJ145">
        <v>3</v>
      </c>
      <c r="AK145" t="s">
        <v>66</v>
      </c>
      <c r="AL145" t="s">
        <v>87</v>
      </c>
      <c r="AM145" t="s">
        <v>87</v>
      </c>
      <c r="AN145" t="s">
        <v>67</v>
      </c>
      <c r="AO145" t="s">
        <v>68</v>
      </c>
      <c r="AP145" t="s">
        <v>69</v>
      </c>
      <c r="AQ145" t="s">
        <v>70</v>
      </c>
      <c r="AR145" t="s">
        <v>71</v>
      </c>
      <c r="AS145" t="s">
        <v>530</v>
      </c>
      <c r="AT145" t="s">
        <v>1209</v>
      </c>
    </row>
    <row r="146" spans="1:46" ht="15" customHeight="1" x14ac:dyDescent="0.2">
      <c r="A146">
        <v>1662</v>
      </c>
      <c r="B146" t="s">
        <v>1211</v>
      </c>
      <c r="C146" t="s">
        <v>610</v>
      </c>
      <c r="D146" t="s">
        <v>1208</v>
      </c>
      <c r="E146" t="s">
        <v>686</v>
      </c>
      <c r="F146" t="s">
        <v>63</v>
      </c>
      <c r="G146" t="s">
        <v>473</v>
      </c>
      <c r="H146" t="b">
        <f>FALSE()</f>
        <v>0</v>
      </c>
      <c r="I146" t="b">
        <f>FALSE()</f>
        <v>0</v>
      </c>
      <c r="J146" t="b">
        <f>TRUE()</f>
        <v>1</v>
      </c>
      <c r="K146" t="s">
        <v>65</v>
      </c>
      <c r="L146">
        <v>100</v>
      </c>
      <c r="M146">
        <v>588</v>
      </c>
      <c r="N146">
        <v>25</v>
      </c>
      <c r="O146">
        <v>20</v>
      </c>
      <c r="P146">
        <v>6</v>
      </c>
      <c r="Q146">
        <v>10</v>
      </c>
      <c r="R146">
        <v>50</v>
      </c>
      <c r="S146">
        <v>10</v>
      </c>
      <c r="T146">
        <v>24</v>
      </c>
      <c r="U146">
        <v>14</v>
      </c>
      <c r="V146">
        <v>0</v>
      </c>
      <c r="W146">
        <v>6</v>
      </c>
      <c r="X146">
        <v>5</v>
      </c>
      <c r="Y146">
        <v>650</v>
      </c>
      <c r="Z146">
        <v>43</v>
      </c>
      <c r="AA146">
        <v>178</v>
      </c>
      <c r="AB146">
        <v>1.9</v>
      </c>
      <c r="AC146">
        <v>2.9</v>
      </c>
      <c r="AD146">
        <v>0</v>
      </c>
      <c r="AE146">
        <v>60</v>
      </c>
      <c r="AF146">
        <v>0</v>
      </c>
      <c r="AG146">
        <v>0</v>
      </c>
      <c r="AH146">
        <v>0</v>
      </c>
      <c r="AI146">
        <v>15</v>
      </c>
      <c r="AJ146">
        <v>3</v>
      </c>
      <c r="AK146" t="s">
        <v>66</v>
      </c>
      <c r="AL146" t="s">
        <v>87</v>
      </c>
      <c r="AM146" t="s">
        <v>87</v>
      </c>
      <c r="AN146" t="s">
        <v>67</v>
      </c>
      <c r="AO146" t="s">
        <v>68</v>
      </c>
      <c r="AP146" t="s">
        <v>69</v>
      </c>
      <c r="AQ146" t="s">
        <v>70</v>
      </c>
      <c r="AR146" t="s">
        <v>71</v>
      </c>
      <c r="AS146" t="s">
        <v>530</v>
      </c>
      <c r="AT146" t="s">
        <v>1209</v>
      </c>
    </row>
    <row r="147" spans="1:46" ht="15" customHeight="1" x14ac:dyDescent="0.2">
      <c r="A147">
        <v>1663</v>
      </c>
      <c r="B147" t="s">
        <v>1212</v>
      </c>
      <c r="C147" t="s">
        <v>1203</v>
      </c>
      <c r="D147" t="s">
        <v>1213</v>
      </c>
      <c r="E147" t="s">
        <v>595</v>
      </c>
      <c r="F147" t="s">
        <v>63</v>
      </c>
      <c r="G147" t="s">
        <v>473</v>
      </c>
      <c r="H147" t="b">
        <f>FALSE()</f>
        <v>0</v>
      </c>
      <c r="I147" t="b">
        <f>FALSE()</f>
        <v>0</v>
      </c>
      <c r="J147" t="b">
        <f>TRUE()</f>
        <v>1</v>
      </c>
      <c r="K147" t="s">
        <v>65</v>
      </c>
      <c r="L147">
        <v>100</v>
      </c>
      <c r="M147">
        <v>598</v>
      </c>
      <c r="N147">
        <v>7.8</v>
      </c>
      <c r="O147">
        <v>45.9</v>
      </c>
      <c r="P147">
        <v>24</v>
      </c>
      <c r="Q147">
        <v>15</v>
      </c>
      <c r="R147">
        <v>42.6</v>
      </c>
      <c r="S147">
        <v>24.5</v>
      </c>
      <c r="T147">
        <v>14.9</v>
      </c>
      <c r="U147">
        <v>1.3</v>
      </c>
      <c r="V147">
        <v>0</v>
      </c>
      <c r="W147">
        <v>10.9</v>
      </c>
      <c r="X147">
        <v>20</v>
      </c>
      <c r="Y147">
        <v>715</v>
      </c>
      <c r="Z147">
        <v>73</v>
      </c>
      <c r="AA147">
        <v>228</v>
      </c>
      <c r="AB147">
        <v>11.9</v>
      </c>
      <c r="AC147">
        <v>3.3</v>
      </c>
      <c r="AD147">
        <v>0</v>
      </c>
      <c r="AE147">
        <v>8</v>
      </c>
      <c r="AF147">
        <v>0</v>
      </c>
      <c r="AG147">
        <v>0</v>
      </c>
      <c r="AH147">
        <v>0</v>
      </c>
      <c r="AI147">
        <v>25</v>
      </c>
      <c r="AJ147">
        <v>11.5</v>
      </c>
      <c r="AK147" t="s">
        <v>77</v>
      </c>
      <c r="AL147" t="s">
        <v>65</v>
      </c>
      <c r="AM147" t="s">
        <v>65</v>
      </c>
      <c r="AN147" t="s">
        <v>67</v>
      </c>
      <c r="AO147" t="s">
        <v>68</v>
      </c>
      <c r="AP147" t="s">
        <v>67</v>
      </c>
      <c r="AQ147" t="s">
        <v>70</v>
      </c>
      <c r="AR147" t="s">
        <v>71</v>
      </c>
      <c r="AS147" t="s">
        <v>72</v>
      </c>
      <c r="AT147" t="s">
        <v>800</v>
      </c>
    </row>
    <row r="148" spans="1:46" ht="15" customHeight="1" x14ac:dyDescent="0.2">
      <c r="A148">
        <v>1664</v>
      </c>
      <c r="B148" t="s">
        <v>1214</v>
      </c>
      <c r="C148" t="s">
        <v>1203</v>
      </c>
      <c r="D148" t="s">
        <v>1213</v>
      </c>
      <c r="E148" t="s">
        <v>595</v>
      </c>
      <c r="F148" t="s">
        <v>63</v>
      </c>
      <c r="G148" t="s">
        <v>473</v>
      </c>
      <c r="H148" t="b">
        <f>FALSE()</f>
        <v>0</v>
      </c>
      <c r="I148" t="b">
        <f>FALSE()</f>
        <v>0</v>
      </c>
      <c r="J148" t="b">
        <f>TRUE()</f>
        <v>1</v>
      </c>
      <c r="K148" t="s">
        <v>65</v>
      </c>
      <c r="L148">
        <v>100</v>
      </c>
      <c r="M148">
        <v>598</v>
      </c>
      <c r="N148">
        <v>7.8</v>
      </c>
      <c r="O148">
        <v>45.9</v>
      </c>
      <c r="P148">
        <v>24</v>
      </c>
      <c r="Q148">
        <v>15</v>
      </c>
      <c r="R148">
        <v>42.6</v>
      </c>
      <c r="S148">
        <v>24.5</v>
      </c>
      <c r="T148">
        <v>14.9</v>
      </c>
      <c r="U148">
        <v>1.3</v>
      </c>
      <c r="V148">
        <v>0</v>
      </c>
      <c r="W148">
        <v>10.9</v>
      </c>
      <c r="X148">
        <v>20</v>
      </c>
      <c r="Y148">
        <v>715</v>
      </c>
      <c r="Z148">
        <v>73</v>
      </c>
      <c r="AA148">
        <v>228</v>
      </c>
      <c r="AB148">
        <v>11.9</v>
      </c>
      <c r="AC148">
        <v>3.3</v>
      </c>
      <c r="AD148">
        <v>0</v>
      </c>
      <c r="AE148">
        <v>8</v>
      </c>
      <c r="AF148">
        <v>0</v>
      </c>
      <c r="AG148">
        <v>0</v>
      </c>
      <c r="AH148">
        <v>0</v>
      </c>
      <c r="AI148">
        <v>25</v>
      </c>
      <c r="AJ148">
        <v>11.5</v>
      </c>
      <c r="AK148" t="s">
        <v>77</v>
      </c>
      <c r="AL148" t="s">
        <v>65</v>
      </c>
      <c r="AM148" t="s">
        <v>65</v>
      </c>
      <c r="AN148" t="s">
        <v>67</v>
      </c>
      <c r="AO148" t="s">
        <v>68</v>
      </c>
      <c r="AP148" t="s">
        <v>67</v>
      </c>
      <c r="AQ148" t="s">
        <v>70</v>
      </c>
      <c r="AR148" t="s">
        <v>71</v>
      </c>
      <c r="AS148" t="s">
        <v>72</v>
      </c>
      <c r="AT148" t="s">
        <v>800</v>
      </c>
    </row>
    <row r="149" spans="1:46" ht="15" customHeight="1" x14ac:dyDescent="0.2">
      <c r="A149">
        <v>1665</v>
      </c>
      <c r="B149" t="s">
        <v>1215</v>
      </c>
      <c r="C149" t="s">
        <v>1203</v>
      </c>
      <c r="D149" t="s">
        <v>1213</v>
      </c>
      <c r="E149" t="s">
        <v>595</v>
      </c>
      <c r="F149" t="s">
        <v>63</v>
      </c>
      <c r="G149" t="s">
        <v>473</v>
      </c>
      <c r="H149" t="b">
        <f>FALSE()</f>
        <v>0</v>
      </c>
      <c r="I149" t="b">
        <f>FALSE()</f>
        <v>0</v>
      </c>
      <c r="J149" t="b">
        <f>TRUE()</f>
        <v>1</v>
      </c>
      <c r="K149" t="s">
        <v>65</v>
      </c>
      <c r="L149">
        <v>100</v>
      </c>
      <c r="M149">
        <v>598</v>
      </c>
      <c r="N149">
        <v>7.8</v>
      </c>
      <c r="O149">
        <v>45.9</v>
      </c>
      <c r="P149">
        <v>24</v>
      </c>
      <c r="Q149">
        <v>15</v>
      </c>
      <c r="R149">
        <v>42.6</v>
      </c>
      <c r="S149">
        <v>24.5</v>
      </c>
      <c r="T149">
        <v>14.9</v>
      </c>
      <c r="U149">
        <v>1.3</v>
      </c>
      <c r="V149">
        <v>0</v>
      </c>
      <c r="W149">
        <v>10.9</v>
      </c>
      <c r="X149">
        <v>20</v>
      </c>
      <c r="Y149">
        <v>715</v>
      </c>
      <c r="Z149">
        <v>73</v>
      </c>
      <c r="AA149">
        <v>228</v>
      </c>
      <c r="AB149">
        <v>11.9</v>
      </c>
      <c r="AC149">
        <v>3.3</v>
      </c>
      <c r="AD149">
        <v>0</v>
      </c>
      <c r="AE149">
        <v>8</v>
      </c>
      <c r="AF149">
        <v>0</v>
      </c>
      <c r="AG149">
        <v>0</v>
      </c>
      <c r="AH149">
        <v>0</v>
      </c>
      <c r="AI149">
        <v>25</v>
      </c>
      <c r="AJ149">
        <v>11.5</v>
      </c>
      <c r="AK149" t="s">
        <v>77</v>
      </c>
      <c r="AL149" t="s">
        <v>65</v>
      </c>
      <c r="AM149" t="s">
        <v>65</v>
      </c>
      <c r="AN149" t="s">
        <v>67</v>
      </c>
      <c r="AO149" t="s">
        <v>68</v>
      </c>
      <c r="AP149" t="s">
        <v>67</v>
      </c>
      <c r="AQ149" t="s">
        <v>70</v>
      </c>
      <c r="AR149" t="s">
        <v>71</v>
      </c>
      <c r="AS149" t="s">
        <v>72</v>
      </c>
      <c r="AT149" t="s">
        <v>800</v>
      </c>
    </row>
    <row r="150" spans="1:46" x14ac:dyDescent="0.2">
      <c r="A150">
        <v>1666</v>
      </c>
      <c r="B150" t="s">
        <v>1216</v>
      </c>
      <c r="C150" t="s">
        <v>527</v>
      </c>
      <c r="D150" t="s">
        <v>100</v>
      </c>
      <c r="E150" t="s">
        <v>76</v>
      </c>
      <c r="F150" t="s">
        <v>63</v>
      </c>
      <c r="G150" t="s">
        <v>473</v>
      </c>
      <c r="H150" t="b">
        <f>TRUE()</f>
        <v>1</v>
      </c>
      <c r="I150" t="b">
        <f>FALSE()</f>
        <v>0</v>
      </c>
      <c r="J150" t="b">
        <f>TRUE()</f>
        <v>1</v>
      </c>
      <c r="K150" t="s">
        <v>87</v>
      </c>
      <c r="L150">
        <v>100</v>
      </c>
      <c r="M150">
        <v>150</v>
      </c>
      <c r="N150">
        <v>3.5</v>
      </c>
      <c r="O150">
        <v>31</v>
      </c>
      <c r="P150">
        <v>1</v>
      </c>
      <c r="Q150">
        <v>0</v>
      </c>
      <c r="R150">
        <v>0.8</v>
      </c>
      <c r="S150">
        <v>0.2</v>
      </c>
      <c r="T150">
        <v>0.2</v>
      </c>
      <c r="U150">
        <v>0.1</v>
      </c>
      <c r="V150">
        <v>0</v>
      </c>
      <c r="W150">
        <v>2</v>
      </c>
      <c r="X150">
        <v>350</v>
      </c>
      <c r="Y150">
        <v>280</v>
      </c>
      <c r="Z150">
        <v>15</v>
      </c>
      <c r="AA150">
        <v>18</v>
      </c>
      <c r="AB150">
        <v>0.8</v>
      </c>
      <c r="AC150">
        <v>0.4</v>
      </c>
      <c r="AD150">
        <v>5</v>
      </c>
      <c r="AE150">
        <v>12</v>
      </c>
      <c r="AF150">
        <v>0</v>
      </c>
      <c r="AG150">
        <v>0</v>
      </c>
      <c r="AH150">
        <v>0</v>
      </c>
      <c r="AI150">
        <v>68</v>
      </c>
      <c r="AJ150">
        <v>21.1</v>
      </c>
      <c r="AK150" t="s">
        <v>66</v>
      </c>
      <c r="AL150" t="s">
        <v>87</v>
      </c>
      <c r="AM150" t="s">
        <v>87</v>
      </c>
      <c r="AN150" t="s">
        <v>67</v>
      </c>
      <c r="AO150" t="s">
        <v>68</v>
      </c>
      <c r="AP150" t="s">
        <v>67</v>
      </c>
      <c r="AQ150" t="s">
        <v>70</v>
      </c>
      <c r="AR150" t="s">
        <v>71</v>
      </c>
      <c r="AS150" t="s">
        <v>530</v>
      </c>
      <c r="AT150" t="s">
        <v>1148</v>
      </c>
    </row>
    <row r="151" spans="1:46" x14ac:dyDescent="0.2">
      <c r="A151">
        <v>1667</v>
      </c>
      <c r="B151" t="s">
        <v>1217</v>
      </c>
      <c r="C151" t="s">
        <v>527</v>
      </c>
      <c r="D151" t="s">
        <v>100</v>
      </c>
      <c r="E151" t="s">
        <v>76</v>
      </c>
      <c r="F151" t="s">
        <v>63</v>
      </c>
      <c r="G151" t="s">
        <v>473</v>
      </c>
      <c r="H151" t="b">
        <f>TRUE()</f>
        <v>1</v>
      </c>
      <c r="I151" t="b">
        <f>FALSE()</f>
        <v>0</v>
      </c>
      <c r="J151" t="b">
        <f>TRUE()</f>
        <v>1</v>
      </c>
      <c r="K151" t="s">
        <v>87</v>
      </c>
      <c r="L151">
        <v>100</v>
      </c>
      <c r="M151">
        <v>150</v>
      </c>
      <c r="N151">
        <v>3.5</v>
      </c>
      <c r="O151">
        <v>31</v>
      </c>
      <c r="P151">
        <v>1</v>
      </c>
      <c r="Q151">
        <v>0</v>
      </c>
      <c r="R151">
        <v>0.8</v>
      </c>
      <c r="S151">
        <v>0.2</v>
      </c>
      <c r="T151">
        <v>0.2</v>
      </c>
      <c r="U151">
        <v>0.1</v>
      </c>
      <c r="V151">
        <v>0</v>
      </c>
      <c r="W151">
        <v>2</v>
      </c>
      <c r="X151">
        <v>350</v>
      </c>
      <c r="Y151">
        <v>280</v>
      </c>
      <c r="Z151">
        <v>15</v>
      </c>
      <c r="AA151">
        <v>18</v>
      </c>
      <c r="AB151">
        <v>0.8</v>
      </c>
      <c r="AC151">
        <v>0.4</v>
      </c>
      <c r="AD151">
        <v>5</v>
      </c>
      <c r="AE151">
        <v>12</v>
      </c>
      <c r="AF151">
        <v>0</v>
      </c>
      <c r="AG151">
        <v>0</v>
      </c>
      <c r="AH151">
        <v>0</v>
      </c>
      <c r="AI151">
        <v>68</v>
      </c>
      <c r="AJ151">
        <v>21.1</v>
      </c>
      <c r="AK151" t="s">
        <v>66</v>
      </c>
      <c r="AL151" t="s">
        <v>87</v>
      </c>
      <c r="AM151" t="s">
        <v>87</v>
      </c>
      <c r="AN151" t="s">
        <v>67</v>
      </c>
      <c r="AO151" t="s">
        <v>68</v>
      </c>
      <c r="AP151" t="s">
        <v>67</v>
      </c>
      <c r="AQ151" t="s">
        <v>70</v>
      </c>
      <c r="AR151" t="s">
        <v>71</v>
      </c>
      <c r="AS151" t="s">
        <v>530</v>
      </c>
      <c r="AT151" t="s">
        <v>1148</v>
      </c>
    </row>
    <row r="152" spans="1:46" x14ac:dyDescent="0.2">
      <c r="A152">
        <v>1668</v>
      </c>
      <c r="B152" t="s">
        <v>1218</v>
      </c>
      <c r="C152" t="s">
        <v>527</v>
      </c>
      <c r="D152" t="s">
        <v>100</v>
      </c>
      <c r="E152" t="s">
        <v>76</v>
      </c>
      <c r="F152" t="s">
        <v>63</v>
      </c>
      <c r="G152" t="s">
        <v>473</v>
      </c>
      <c r="H152" t="b">
        <f>TRUE()</f>
        <v>1</v>
      </c>
      <c r="I152" t="b">
        <f>FALSE()</f>
        <v>0</v>
      </c>
      <c r="J152" t="b">
        <f>TRUE()</f>
        <v>1</v>
      </c>
      <c r="K152" t="s">
        <v>87</v>
      </c>
      <c r="L152">
        <v>100</v>
      </c>
      <c r="M152">
        <v>150</v>
      </c>
      <c r="N152">
        <v>3.5</v>
      </c>
      <c r="O152">
        <v>31</v>
      </c>
      <c r="P152">
        <v>1</v>
      </c>
      <c r="Q152">
        <v>0</v>
      </c>
      <c r="R152">
        <v>0.8</v>
      </c>
      <c r="S152">
        <v>0.2</v>
      </c>
      <c r="T152">
        <v>0.2</v>
      </c>
      <c r="U152">
        <v>0.1</v>
      </c>
      <c r="V152">
        <v>0</v>
      </c>
      <c r="W152">
        <v>2</v>
      </c>
      <c r="X152">
        <v>350</v>
      </c>
      <c r="Y152">
        <v>280</v>
      </c>
      <c r="Z152">
        <v>15</v>
      </c>
      <c r="AA152">
        <v>18</v>
      </c>
      <c r="AB152">
        <v>0.8</v>
      </c>
      <c r="AC152">
        <v>0.4</v>
      </c>
      <c r="AD152">
        <v>5</v>
      </c>
      <c r="AE152">
        <v>12</v>
      </c>
      <c r="AF152">
        <v>0</v>
      </c>
      <c r="AG152">
        <v>0</v>
      </c>
      <c r="AH152">
        <v>0</v>
      </c>
      <c r="AI152">
        <v>68</v>
      </c>
      <c r="AJ152">
        <v>21.1</v>
      </c>
      <c r="AK152" t="s">
        <v>66</v>
      </c>
      <c r="AL152" t="s">
        <v>87</v>
      </c>
      <c r="AM152" t="s">
        <v>87</v>
      </c>
      <c r="AN152" t="s">
        <v>67</v>
      </c>
      <c r="AO152" t="s">
        <v>68</v>
      </c>
      <c r="AP152" t="s">
        <v>67</v>
      </c>
      <c r="AQ152" t="s">
        <v>70</v>
      </c>
      <c r="AR152" t="s">
        <v>71</v>
      </c>
      <c r="AS152" t="s">
        <v>530</v>
      </c>
      <c r="AT152" t="s">
        <v>1148</v>
      </c>
    </row>
    <row r="153" spans="1:46" x14ac:dyDescent="0.2">
      <c r="A153">
        <v>1669</v>
      </c>
      <c r="B153" t="s">
        <v>1219</v>
      </c>
      <c r="C153" t="s">
        <v>472</v>
      </c>
      <c r="D153" t="s">
        <v>1152</v>
      </c>
      <c r="E153" t="s">
        <v>692</v>
      </c>
      <c r="F153" t="s">
        <v>63</v>
      </c>
      <c r="G153" t="s">
        <v>473</v>
      </c>
      <c r="H153" t="b">
        <f>TRUE()</f>
        <v>1</v>
      </c>
      <c r="I153" t="b">
        <f>FALSE()</f>
        <v>0</v>
      </c>
      <c r="J153" t="b">
        <f>FALSE()</f>
        <v>0</v>
      </c>
      <c r="K153" t="s">
        <v>65</v>
      </c>
      <c r="L153">
        <v>100</v>
      </c>
      <c r="M153">
        <v>165</v>
      </c>
      <c r="N153">
        <v>19</v>
      </c>
      <c r="O153">
        <v>6</v>
      </c>
      <c r="P153">
        <v>1</v>
      </c>
      <c r="Q153">
        <v>0</v>
      </c>
      <c r="R153">
        <v>7</v>
      </c>
      <c r="S153">
        <v>1.8</v>
      </c>
      <c r="T153">
        <v>3</v>
      </c>
      <c r="U153">
        <v>1.4</v>
      </c>
      <c r="V153">
        <v>0</v>
      </c>
      <c r="W153">
        <v>0.5</v>
      </c>
      <c r="X153">
        <v>380</v>
      </c>
      <c r="Y153">
        <v>270</v>
      </c>
      <c r="Z153">
        <v>22</v>
      </c>
      <c r="AA153">
        <v>19</v>
      </c>
      <c r="AB153">
        <v>1</v>
      </c>
      <c r="AC153">
        <v>1.2</v>
      </c>
      <c r="AD153">
        <v>1</v>
      </c>
      <c r="AE153">
        <v>11</v>
      </c>
      <c r="AF153">
        <v>0</v>
      </c>
      <c r="AG153">
        <v>0</v>
      </c>
      <c r="AH153">
        <v>0</v>
      </c>
      <c r="AI153">
        <v>40</v>
      </c>
      <c r="AJ153">
        <v>2.4</v>
      </c>
      <c r="AK153" t="s">
        <v>66</v>
      </c>
      <c r="AL153" t="s">
        <v>87</v>
      </c>
      <c r="AM153" t="s">
        <v>87</v>
      </c>
      <c r="AN153" t="s">
        <v>67</v>
      </c>
      <c r="AO153" t="s">
        <v>68</v>
      </c>
      <c r="AP153" t="s">
        <v>67</v>
      </c>
      <c r="AQ153" t="s">
        <v>70</v>
      </c>
      <c r="AR153" t="s">
        <v>71</v>
      </c>
      <c r="AS153" t="s">
        <v>530</v>
      </c>
      <c r="AT153" t="s">
        <v>1148</v>
      </c>
    </row>
    <row r="154" spans="1:46" x14ac:dyDescent="0.2">
      <c r="A154">
        <v>1670</v>
      </c>
      <c r="B154" t="s">
        <v>1220</v>
      </c>
      <c r="C154" t="s">
        <v>472</v>
      </c>
      <c r="D154" t="s">
        <v>1152</v>
      </c>
      <c r="E154" t="s">
        <v>692</v>
      </c>
      <c r="F154" t="s">
        <v>63</v>
      </c>
      <c r="G154" t="s">
        <v>473</v>
      </c>
      <c r="H154" t="b">
        <f>TRUE()</f>
        <v>1</v>
      </c>
      <c r="I154" t="b">
        <f>FALSE()</f>
        <v>0</v>
      </c>
      <c r="J154" t="b">
        <f>FALSE()</f>
        <v>0</v>
      </c>
      <c r="K154" t="s">
        <v>65</v>
      </c>
      <c r="L154">
        <v>100</v>
      </c>
      <c r="M154">
        <v>165</v>
      </c>
      <c r="N154">
        <v>19</v>
      </c>
      <c r="O154">
        <v>6</v>
      </c>
      <c r="P154">
        <v>1</v>
      </c>
      <c r="Q154">
        <v>0</v>
      </c>
      <c r="R154">
        <v>7</v>
      </c>
      <c r="S154">
        <v>1.8</v>
      </c>
      <c r="T154">
        <v>3</v>
      </c>
      <c r="U154">
        <v>1.4</v>
      </c>
      <c r="V154">
        <v>0</v>
      </c>
      <c r="W154">
        <v>0.5</v>
      </c>
      <c r="X154">
        <v>380</v>
      </c>
      <c r="Y154">
        <v>270</v>
      </c>
      <c r="Z154">
        <v>22</v>
      </c>
      <c r="AA154">
        <v>19</v>
      </c>
      <c r="AB154">
        <v>1</v>
      </c>
      <c r="AC154">
        <v>1.2</v>
      </c>
      <c r="AD154">
        <v>1</v>
      </c>
      <c r="AE154">
        <v>11</v>
      </c>
      <c r="AF154">
        <v>0</v>
      </c>
      <c r="AG154">
        <v>0</v>
      </c>
      <c r="AH154">
        <v>0</v>
      </c>
      <c r="AI154">
        <v>40</v>
      </c>
      <c r="AJ154">
        <v>2.4</v>
      </c>
      <c r="AK154" t="s">
        <v>66</v>
      </c>
      <c r="AL154" t="s">
        <v>87</v>
      </c>
      <c r="AM154" t="s">
        <v>87</v>
      </c>
      <c r="AN154" t="s">
        <v>67</v>
      </c>
      <c r="AO154" t="s">
        <v>68</v>
      </c>
      <c r="AP154" t="s">
        <v>67</v>
      </c>
      <c r="AQ154" t="s">
        <v>70</v>
      </c>
      <c r="AR154" t="s">
        <v>71</v>
      </c>
      <c r="AS154" t="s">
        <v>530</v>
      </c>
      <c r="AT154" t="s">
        <v>1148</v>
      </c>
    </row>
    <row r="155" spans="1:46" x14ac:dyDescent="0.2">
      <c r="A155">
        <v>1671</v>
      </c>
      <c r="B155" t="s">
        <v>1221</v>
      </c>
      <c r="C155" t="s">
        <v>472</v>
      </c>
      <c r="D155" t="s">
        <v>1152</v>
      </c>
      <c r="E155" t="s">
        <v>692</v>
      </c>
      <c r="F155" t="s">
        <v>63</v>
      </c>
      <c r="G155" t="s">
        <v>473</v>
      </c>
      <c r="H155" t="b">
        <f>TRUE()</f>
        <v>1</v>
      </c>
      <c r="I155" t="b">
        <f>FALSE()</f>
        <v>0</v>
      </c>
      <c r="J155" t="b">
        <f>FALSE()</f>
        <v>0</v>
      </c>
      <c r="K155" t="s">
        <v>65</v>
      </c>
      <c r="L155">
        <v>100</v>
      </c>
      <c r="M155">
        <v>165</v>
      </c>
      <c r="N155">
        <v>19</v>
      </c>
      <c r="O155">
        <v>6</v>
      </c>
      <c r="P155">
        <v>1</v>
      </c>
      <c r="Q155">
        <v>0</v>
      </c>
      <c r="R155">
        <v>7</v>
      </c>
      <c r="S155">
        <v>1.8</v>
      </c>
      <c r="T155">
        <v>3</v>
      </c>
      <c r="U155">
        <v>1.4</v>
      </c>
      <c r="V155">
        <v>0</v>
      </c>
      <c r="W155">
        <v>0.5</v>
      </c>
      <c r="X155">
        <v>380</v>
      </c>
      <c r="Y155">
        <v>270</v>
      </c>
      <c r="Z155">
        <v>22</v>
      </c>
      <c r="AA155">
        <v>19</v>
      </c>
      <c r="AB155">
        <v>1</v>
      </c>
      <c r="AC155">
        <v>1.2</v>
      </c>
      <c r="AD155">
        <v>1</v>
      </c>
      <c r="AE155">
        <v>11</v>
      </c>
      <c r="AF155">
        <v>0</v>
      </c>
      <c r="AG155">
        <v>0</v>
      </c>
      <c r="AH155">
        <v>0</v>
      </c>
      <c r="AI155">
        <v>40</v>
      </c>
      <c r="AJ155">
        <v>2.4</v>
      </c>
      <c r="AK155" t="s">
        <v>66</v>
      </c>
      <c r="AL155" t="s">
        <v>87</v>
      </c>
      <c r="AM155" t="s">
        <v>87</v>
      </c>
      <c r="AN155" t="s">
        <v>67</v>
      </c>
      <c r="AO155" t="s">
        <v>68</v>
      </c>
      <c r="AP155" t="s">
        <v>67</v>
      </c>
      <c r="AQ155" t="s">
        <v>70</v>
      </c>
      <c r="AR155" t="s">
        <v>71</v>
      </c>
      <c r="AS155" t="s">
        <v>530</v>
      </c>
      <c r="AT155" t="s">
        <v>1148</v>
      </c>
    </row>
    <row r="156" spans="1:46" x14ac:dyDescent="0.2">
      <c r="A156">
        <v>1672</v>
      </c>
      <c r="B156" t="s">
        <v>1222</v>
      </c>
      <c r="C156" t="s">
        <v>472</v>
      </c>
      <c r="D156" t="s">
        <v>1152</v>
      </c>
      <c r="E156" t="s">
        <v>692</v>
      </c>
      <c r="F156" t="s">
        <v>63</v>
      </c>
      <c r="G156" t="s">
        <v>473</v>
      </c>
      <c r="H156" t="b">
        <f>TRUE()</f>
        <v>1</v>
      </c>
      <c r="I156" t="b">
        <f>FALSE()</f>
        <v>0</v>
      </c>
      <c r="J156" t="b">
        <f>FALSE()</f>
        <v>0</v>
      </c>
      <c r="K156" t="s">
        <v>65</v>
      </c>
      <c r="L156">
        <v>100</v>
      </c>
      <c r="M156">
        <v>210</v>
      </c>
      <c r="N156">
        <v>17</v>
      </c>
      <c r="O156">
        <v>6</v>
      </c>
      <c r="P156">
        <v>1</v>
      </c>
      <c r="Q156">
        <v>0</v>
      </c>
      <c r="R156">
        <v>13</v>
      </c>
      <c r="S156">
        <v>5</v>
      </c>
      <c r="T156">
        <v>5.5</v>
      </c>
      <c r="U156">
        <v>0.6</v>
      </c>
      <c r="V156">
        <v>0</v>
      </c>
      <c r="W156">
        <v>0.5</v>
      </c>
      <c r="X156">
        <v>390</v>
      </c>
      <c r="Y156">
        <v>280</v>
      </c>
      <c r="Z156">
        <v>22</v>
      </c>
      <c r="AA156">
        <v>19</v>
      </c>
      <c r="AB156">
        <v>1.8</v>
      </c>
      <c r="AC156">
        <v>3.5</v>
      </c>
      <c r="AD156">
        <v>1</v>
      </c>
      <c r="AE156">
        <v>11</v>
      </c>
      <c r="AF156">
        <v>0</v>
      </c>
      <c r="AG156">
        <v>0</v>
      </c>
      <c r="AH156">
        <v>0</v>
      </c>
      <c r="AI156">
        <v>40</v>
      </c>
      <c r="AJ156">
        <v>2.4</v>
      </c>
      <c r="AK156" t="s">
        <v>66</v>
      </c>
      <c r="AL156" t="s">
        <v>87</v>
      </c>
      <c r="AM156" t="s">
        <v>87</v>
      </c>
      <c r="AN156" t="s">
        <v>67</v>
      </c>
      <c r="AO156" t="s">
        <v>68</v>
      </c>
      <c r="AP156" t="s">
        <v>67</v>
      </c>
      <c r="AQ156" t="s">
        <v>70</v>
      </c>
      <c r="AR156" t="s">
        <v>71</v>
      </c>
      <c r="AS156" t="s">
        <v>530</v>
      </c>
      <c r="AT156" t="s">
        <v>1148</v>
      </c>
    </row>
    <row r="157" spans="1:46" x14ac:dyDescent="0.2">
      <c r="A157">
        <v>1673</v>
      </c>
      <c r="B157" t="s">
        <v>1223</v>
      </c>
      <c r="C157" t="s">
        <v>472</v>
      </c>
      <c r="D157" t="s">
        <v>1152</v>
      </c>
      <c r="E157" t="s">
        <v>692</v>
      </c>
      <c r="F157" t="s">
        <v>63</v>
      </c>
      <c r="G157" t="s">
        <v>473</v>
      </c>
      <c r="H157" t="b">
        <f>TRUE()</f>
        <v>1</v>
      </c>
      <c r="I157" t="b">
        <f>FALSE()</f>
        <v>0</v>
      </c>
      <c r="J157" t="b">
        <f>FALSE()</f>
        <v>0</v>
      </c>
      <c r="K157" t="s">
        <v>65</v>
      </c>
      <c r="L157">
        <v>100</v>
      </c>
      <c r="M157">
        <v>210</v>
      </c>
      <c r="N157">
        <v>17</v>
      </c>
      <c r="O157">
        <v>6</v>
      </c>
      <c r="P157">
        <v>1</v>
      </c>
      <c r="Q157">
        <v>0</v>
      </c>
      <c r="R157">
        <v>13</v>
      </c>
      <c r="S157">
        <v>5</v>
      </c>
      <c r="T157">
        <v>5.5</v>
      </c>
      <c r="U157">
        <v>0.6</v>
      </c>
      <c r="V157">
        <v>0</v>
      </c>
      <c r="W157">
        <v>0.5</v>
      </c>
      <c r="X157">
        <v>390</v>
      </c>
      <c r="Y157">
        <v>280</v>
      </c>
      <c r="Z157">
        <v>22</v>
      </c>
      <c r="AA157">
        <v>19</v>
      </c>
      <c r="AB157">
        <v>1.8</v>
      </c>
      <c r="AC157">
        <v>3.5</v>
      </c>
      <c r="AD157">
        <v>1</v>
      </c>
      <c r="AE157">
        <v>11</v>
      </c>
      <c r="AF157">
        <v>0</v>
      </c>
      <c r="AG157">
        <v>0</v>
      </c>
      <c r="AH157">
        <v>0</v>
      </c>
      <c r="AI157">
        <v>40</v>
      </c>
      <c r="AJ157">
        <v>2.4</v>
      </c>
      <c r="AK157" t="s">
        <v>66</v>
      </c>
      <c r="AL157" t="s">
        <v>87</v>
      </c>
      <c r="AM157" t="s">
        <v>87</v>
      </c>
      <c r="AN157" t="s">
        <v>67</v>
      </c>
      <c r="AO157" t="s">
        <v>68</v>
      </c>
      <c r="AP157" t="s">
        <v>67</v>
      </c>
      <c r="AQ157" t="s">
        <v>70</v>
      </c>
      <c r="AR157" t="s">
        <v>71</v>
      </c>
      <c r="AS157" t="s">
        <v>530</v>
      </c>
      <c r="AT157" t="s">
        <v>1148</v>
      </c>
    </row>
    <row r="158" spans="1:46" x14ac:dyDescent="0.2">
      <c r="A158">
        <v>1674</v>
      </c>
      <c r="B158" t="s">
        <v>1224</v>
      </c>
      <c r="C158" t="s">
        <v>472</v>
      </c>
      <c r="D158" t="s">
        <v>1152</v>
      </c>
      <c r="E158" t="s">
        <v>692</v>
      </c>
      <c r="F158" t="s">
        <v>63</v>
      </c>
      <c r="G158" t="s">
        <v>473</v>
      </c>
      <c r="H158" t="b">
        <f>TRUE()</f>
        <v>1</v>
      </c>
      <c r="I158" t="b">
        <f>FALSE()</f>
        <v>0</v>
      </c>
      <c r="J158" t="b">
        <f>FALSE()</f>
        <v>0</v>
      </c>
      <c r="K158" t="s">
        <v>65</v>
      </c>
      <c r="L158">
        <v>100</v>
      </c>
      <c r="M158">
        <v>210</v>
      </c>
      <c r="N158">
        <v>17</v>
      </c>
      <c r="O158">
        <v>6</v>
      </c>
      <c r="P158">
        <v>1</v>
      </c>
      <c r="Q158">
        <v>0</v>
      </c>
      <c r="R158">
        <v>13</v>
      </c>
      <c r="S158">
        <v>5</v>
      </c>
      <c r="T158">
        <v>5.5</v>
      </c>
      <c r="U158">
        <v>0.6</v>
      </c>
      <c r="V158">
        <v>0</v>
      </c>
      <c r="W158">
        <v>0.5</v>
      </c>
      <c r="X158">
        <v>390</v>
      </c>
      <c r="Y158">
        <v>280</v>
      </c>
      <c r="Z158">
        <v>22</v>
      </c>
      <c r="AA158">
        <v>19</v>
      </c>
      <c r="AB158">
        <v>1.8</v>
      </c>
      <c r="AC158">
        <v>3.5</v>
      </c>
      <c r="AD158">
        <v>1</v>
      </c>
      <c r="AE158">
        <v>11</v>
      </c>
      <c r="AF158">
        <v>0</v>
      </c>
      <c r="AG158">
        <v>0</v>
      </c>
      <c r="AH158">
        <v>0</v>
      </c>
      <c r="AI158">
        <v>40</v>
      </c>
      <c r="AJ158">
        <v>2.4</v>
      </c>
      <c r="AK158" t="s">
        <v>66</v>
      </c>
      <c r="AL158" t="s">
        <v>87</v>
      </c>
      <c r="AM158" t="s">
        <v>87</v>
      </c>
      <c r="AN158" t="s">
        <v>67</v>
      </c>
      <c r="AO158" t="s">
        <v>68</v>
      </c>
      <c r="AP158" t="s">
        <v>67</v>
      </c>
      <c r="AQ158" t="s">
        <v>70</v>
      </c>
      <c r="AR158" t="s">
        <v>71</v>
      </c>
      <c r="AS158" t="s">
        <v>530</v>
      </c>
      <c r="AT158" t="s">
        <v>1148</v>
      </c>
    </row>
    <row r="159" spans="1:46" x14ac:dyDescent="0.2">
      <c r="A159">
        <v>1675</v>
      </c>
      <c r="B159" t="s">
        <v>1225</v>
      </c>
      <c r="C159" t="s">
        <v>472</v>
      </c>
      <c r="D159" t="s">
        <v>1152</v>
      </c>
      <c r="E159" t="s">
        <v>692</v>
      </c>
      <c r="F159" t="s">
        <v>63</v>
      </c>
      <c r="G159" t="s">
        <v>473</v>
      </c>
      <c r="H159" t="b">
        <f>TRUE()</f>
        <v>1</v>
      </c>
      <c r="I159" t="b">
        <f>FALSE()</f>
        <v>0</v>
      </c>
      <c r="J159" t="b">
        <f>FALSE()</f>
        <v>0</v>
      </c>
      <c r="K159" t="s">
        <v>65</v>
      </c>
      <c r="L159">
        <v>100</v>
      </c>
      <c r="M159">
        <v>220</v>
      </c>
      <c r="N159">
        <v>16</v>
      </c>
      <c r="O159">
        <v>6</v>
      </c>
      <c r="P159">
        <v>1</v>
      </c>
      <c r="Q159">
        <v>0</v>
      </c>
      <c r="R159">
        <v>15</v>
      </c>
      <c r="S159">
        <v>5.5</v>
      </c>
      <c r="T159">
        <v>6.5</v>
      </c>
      <c r="U159">
        <v>1.5</v>
      </c>
      <c r="V159">
        <v>0</v>
      </c>
      <c r="W159">
        <v>0.5</v>
      </c>
      <c r="X159">
        <v>390</v>
      </c>
      <c r="Y159">
        <v>260</v>
      </c>
      <c r="Z159">
        <v>20</v>
      </c>
      <c r="AA159">
        <v>18</v>
      </c>
      <c r="AB159">
        <v>1</v>
      </c>
      <c r="AC159">
        <v>1.8</v>
      </c>
      <c r="AD159">
        <v>1</v>
      </c>
      <c r="AE159">
        <v>10</v>
      </c>
      <c r="AF159">
        <v>0</v>
      </c>
      <c r="AG159">
        <v>0</v>
      </c>
      <c r="AH159">
        <v>0</v>
      </c>
      <c r="AI159">
        <v>40</v>
      </c>
      <c r="AJ159">
        <v>2.4</v>
      </c>
      <c r="AK159" t="s">
        <v>66</v>
      </c>
      <c r="AL159" t="s">
        <v>87</v>
      </c>
      <c r="AM159" t="s">
        <v>87</v>
      </c>
      <c r="AN159" t="s">
        <v>67</v>
      </c>
      <c r="AO159" t="s">
        <v>68</v>
      </c>
      <c r="AP159" t="s">
        <v>67</v>
      </c>
      <c r="AQ159" t="s">
        <v>70</v>
      </c>
      <c r="AR159" t="s">
        <v>71</v>
      </c>
      <c r="AS159" t="s">
        <v>530</v>
      </c>
      <c r="AT159" t="s">
        <v>1148</v>
      </c>
    </row>
    <row r="160" spans="1:46" x14ac:dyDescent="0.2">
      <c r="A160">
        <v>1676</v>
      </c>
      <c r="B160" t="s">
        <v>1226</v>
      </c>
      <c r="C160" t="s">
        <v>472</v>
      </c>
      <c r="D160" t="s">
        <v>1152</v>
      </c>
      <c r="E160" t="s">
        <v>692</v>
      </c>
      <c r="F160" t="s">
        <v>63</v>
      </c>
      <c r="G160" t="s">
        <v>473</v>
      </c>
      <c r="H160" t="b">
        <f>TRUE()</f>
        <v>1</v>
      </c>
      <c r="I160" t="b">
        <f>FALSE()</f>
        <v>0</v>
      </c>
      <c r="J160" t="b">
        <f>FALSE()</f>
        <v>0</v>
      </c>
      <c r="K160" t="s">
        <v>65</v>
      </c>
      <c r="L160">
        <v>100</v>
      </c>
      <c r="M160">
        <v>220</v>
      </c>
      <c r="N160">
        <v>16</v>
      </c>
      <c r="O160">
        <v>6</v>
      </c>
      <c r="P160">
        <v>1</v>
      </c>
      <c r="Q160">
        <v>0</v>
      </c>
      <c r="R160">
        <v>15</v>
      </c>
      <c r="S160">
        <v>5.5</v>
      </c>
      <c r="T160">
        <v>6.5</v>
      </c>
      <c r="U160">
        <v>1.5</v>
      </c>
      <c r="V160">
        <v>0</v>
      </c>
      <c r="W160">
        <v>0.5</v>
      </c>
      <c r="X160">
        <v>390</v>
      </c>
      <c r="Y160">
        <v>260</v>
      </c>
      <c r="Z160">
        <v>20</v>
      </c>
      <c r="AA160">
        <v>18</v>
      </c>
      <c r="AB160">
        <v>1</v>
      </c>
      <c r="AC160">
        <v>1.8</v>
      </c>
      <c r="AD160">
        <v>1</v>
      </c>
      <c r="AE160">
        <v>10</v>
      </c>
      <c r="AF160">
        <v>0</v>
      </c>
      <c r="AG160">
        <v>0</v>
      </c>
      <c r="AH160">
        <v>0</v>
      </c>
      <c r="AI160">
        <v>40</v>
      </c>
      <c r="AJ160">
        <v>2.4</v>
      </c>
      <c r="AK160" t="s">
        <v>66</v>
      </c>
      <c r="AL160" t="s">
        <v>87</v>
      </c>
      <c r="AM160" t="s">
        <v>87</v>
      </c>
      <c r="AN160" t="s">
        <v>67</v>
      </c>
      <c r="AO160" t="s">
        <v>68</v>
      </c>
      <c r="AP160" t="s">
        <v>67</v>
      </c>
      <c r="AQ160" t="s">
        <v>70</v>
      </c>
      <c r="AR160" t="s">
        <v>71</v>
      </c>
      <c r="AS160" t="s">
        <v>530</v>
      </c>
      <c r="AT160" t="s">
        <v>1148</v>
      </c>
    </row>
    <row r="161" spans="1:46" x14ac:dyDescent="0.2">
      <c r="A161">
        <v>1677</v>
      </c>
      <c r="B161" t="s">
        <v>1227</v>
      </c>
      <c r="C161" t="s">
        <v>472</v>
      </c>
      <c r="D161" t="s">
        <v>1152</v>
      </c>
      <c r="E161" t="s">
        <v>692</v>
      </c>
      <c r="F161" t="s">
        <v>63</v>
      </c>
      <c r="G161" t="s">
        <v>473</v>
      </c>
      <c r="H161" t="b">
        <f>TRUE()</f>
        <v>1</v>
      </c>
      <c r="I161" t="b">
        <f>FALSE()</f>
        <v>0</v>
      </c>
      <c r="J161" t="b">
        <f>FALSE()</f>
        <v>0</v>
      </c>
      <c r="K161" t="s">
        <v>65</v>
      </c>
      <c r="L161">
        <v>100</v>
      </c>
      <c r="M161">
        <v>220</v>
      </c>
      <c r="N161">
        <v>16</v>
      </c>
      <c r="O161">
        <v>6</v>
      </c>
      <c r="P161">
        <v>1</v>
      </c>
      <c r="Q161">
        <v>0</v>
      </c>
      <c r="R161">
        <v>15</v>
      </c>
      <c r="S161">
        <v>5.5</v>
      </c>
      <c r="T161">
        <v>6.5</v>
      </c>
      <c r="U161">
        <v>1.5</v>
      </c>
      <c r="V161">
        <v>0</v>
      </c>
      <c r="W161">
        <v>0.5</v>
      </c>
      <c r="X161">
        <v>390</v>
      </c>
      <c r="Y161">
        <v>260</v>
      </c>
      <c r="Z161">
        <v>20</v>
      </c>
      <c r="AA161">
        <v>18</v>
      </c>
      <c r="AB161">
        <v>1</v>
      </c>
      <c r="AC161">
        <v>1.8</v>
      </c>
      <c r="AD161">
        <v>1</v>
      </c>
      <c r="AE161">
        <v>10</v>
      </c>
      <c r="AF161">
        <v>0</v>
      </c>
      <c r="AG161">
        <v>0</v>
      </c>
      <c r="AH161">
        <v>0</v>
      </c>
      <c r="AI161">
        <v>40</v>
      </c>
      <c r="AJ161">
        <v>2.4</v>
      </c>
      <c r="AK161" t="s">
        <v>66</v>
      </c>
      <c r="AL161" t="s">
        <v>87</v>
      </c>
      <c r="AM161" t="s">
        <v>87</v>
      </c>
      <c r="AN161" t="s">
        <v>67</v>
      </c>
      <c r="AO161" t="s">
        <v>68</v>
      </c>
      <c r="AP161" t="s">
        <v>67</v>
      </c>
      <c r="AQ161" t="s">
        <v>70</v>
      </c>
      <c r="AR161" t="s">
        <v>71</v>
      </c>
      <c r="AS161" t="s">
        <v>530</v>
      </c>
      <c r="AT161" t="s">
        <v>1148</v>
      </c>
    </row>
    <row r="162" spans="1:46" x14ac:dyDescent="0.2">
      <c r="A162">
        <v>1678</v>
      </c>
      <c r="B162" t="s">
        <v>1228</v>
      </c>
      <c r="C162" t="s">
        <v>455</v>
      </c>
      <c r="D162" t="s">
        <v>1229</v>
      </c>
      <c r="E162" t="s">
        <v>76</v>
      </c>
      <c r="F162" t="s">
        <v>63</v>
      </c>
      <c r="G162" t="s">
        <v>64</v>
      </c>
      <c r="H162" t="b">
        <f>FALSE()</f>
        <v>0</v>
      </c>
      <c r="I162" t="b">
        <f>FALSE()</f>
        <v>0</v>
      </c>
      <c r="J162" t="b">
        <f>FALSE()</f>
        <v>0</v>
      </c>
      <c r="K162" t="s">
        <v>65</v>
      </c>
      <c r="L162">
        <v>100</v>
      </c>
      <c r="M162">
        <v>175</v>
      </c>
      <c r="N162">
        <v>15.5</v>
      </c>
      <c r="O162">
        <v>0</v>
      </c>
      <c r="P162">
        <v>0</v>
      </c>
      <c r="Q162">
        <v>0</v>
      </c>
      <c r="R162">
        <v>12.5</v>
      </c>
      <c r="S162">
        <v>4.5</v>
      </c>
      <c r="T162">
        <v>5.5</v>
      </c>
      <c r="U162">
        <v>0.7</v>
      </c>
      <c r="V162">
        <v>0</v>
      </c>
      <c r="W162">
        <v>0</v>
      </c>
      <c r="X162">
        <v>75</v>
      </c>
      <c r="Y162">
        <v>180</v>
      </c>
      <c r="Z162">
        <v>25</v>
      </c>
      <c r="AA162">
        <v>12</v>
      </c>
      <c r="AB162">
        <v>1</v>
      </c>
      <c r="AC162">
        <v>2</v>
      </c>
      <c r="AD162">
        <v>0</v>
      </c>
      <c r="AE162">
        <v>3</v>
      </c>
      <c r="AF162">
        <v>0</v>
      </c>
      <c r="AG162">
        <v>0</v>
      </c>
      <c r="AH162">
        <v>0</v>
      </c>
      <c r="AI162">
        <v>0</v>
      </c>
      <c r="AJ162">
        <v>0</v>
      </c>
      <c r="AK162" t="s">
        <v>66</v>
      </c>
      <c r="AL162" t="s">
        <v>87</v>
      </c>
      <c r="AM162" t="s">
        <v>65</v>
      </c>
      <c r="AN162" t="s">
        <v>67</v>
      </c>
      <c r="AO162" t="s">
        <v>68</v>
      </c>
      <c r="AP162" t="s">
        <v>67</v>
      </c>
      <c r="AQ162" t="s">
        <v>70</v>
      </c>
      <c r="AR162" t="s">
        <v>71</v>
      </c>
      <c r="AS162" t="s">
        <v>530</v>
      </c>
      <c r="AT162" t="s">
        <v>1230</v>
      </c>
    </row>
    <row r="163" spans="1:46" x14ac:dyDescent="0.2">
      <c r="A163">
        <v>1679</v>
      </c>
      <c r="B163" t="s">
        <v>1231</v>
      </c>
      <c r="C163" t="s">
        <v>455</v>
      </c>
      <c r="D163" t="s">
        <v>1229</v>
      </c>
      <c r="E163" t="s">
        <v>76</v>
      </c>
      <c r="F163" t="s">
        <v>63</v>
      </c>
      <c r="G163" t="s">
        <v>64</v>
      </c>
      <c r="H163" t="b">
        <f>FALSE()</f>
        <v>0</v>
      </c>
      <c r="I163" t="b">
        <f>FALSE()</f>
        <v>0</v>
      </c>
      <c r="J163" t="b">
        <f>FALSE()</f>
        <v>0</v>
      </c>
      <c r="K163" t="s">
        <v>65</v>
      </c>
      <c r="L163">
        <v>100</v>
      </c>
      <c r="M163">
        <v>175</v>
      </c>
      <c r="N163">
        <v>15.5</v>
      </c>
      <c r="O163">
        <v>0</v>
      </c>
      <c r="P163">
        <v>0</v>
      </c>
      <c r="Q163">
        <v>0</v>
      </c>
      <c r="R163">
        <v>12.5</v>
      </c>
      <c r="S163">
        <v>4.5</v>
      </c>
      <c r="T163">
        <v>5.5</v>
      </c>
      <c r="U163">
        <v>0.7</v>
      </c>
      <c r="V163">
        <v>0</v>
      </c>
      <c r="W163">
        <v>0</v>
      </c>
      <c r="X163">
        <v>75</v>
      </c>
      <c r="Y163">
        <v>180</v>
      </c>
      <c r="Z163">
        <v>25</v>
      </c>
      <c r="AA163">
        <v>12</v>
      </c>
      <c r="AB163">
        <v>1</v>
      </c>
      <c r="AC163">
        <v>2</v>
      </c>
      <c r="AD163">
        <v>0</v>
      </c>
      <c r="AE163">
        <v>3</v>
      </c>
      <c r="AF163">
        <v>0</v>
      </c>
      <c r="AG163">
        <v>0</v>
      </c>
      <c r="AH163">
        <v>0</v>
      </c>
      <c r="AI163">
        <v>0</v>
      </c>
      <c r="AJ163">
        <v>0</v>
      </c>
      <c r="AK163" t="s">
        <v>66</v>
      </c>
      <c r="AL163" t="s">
        <v>87</v>
      </c>
      <c r="AM163" t="s">
        <v>65</v>
      </c>
      <c r="AN163" t="s">
        <v>67</v>
      </c>
      <c r="AO163" t="s">
        <v>68</v>
      </c>
      <c r="AP163" t="s">
        <v>67</v>
      </c>
      <c r="AQ163" t="s">
        <v>70</v>
      </c>
      <c r="AR163" t="s">
        <v>71</v>
      </c>
      <c r="AS163" t="s">
        <v>530</v>
      </c>
      <c r="AT163" t="s">
        <v>1230</v>
      </c>
    </row>
    <row r="164" spans="1:46" x14ac:dyDescent="0.2">
      <c r="A164">
        <v>1680</v>
      </c>
      <c r="B164" t="s">
        <v>1232</v>
      </c>
      <c r="C164" t="s">
        <v>455</v>
      </c>
      <c r="D164" t="s">
        <v>1229</v>
      </c>
      <c r="E164" t="s">
        <v>76</v>
      </c>
      <c r="F164" t="s">
        <v>63</v>
      </c>
      <c r="G164" t="s">
        <v>64</v>
      </c>
      <c r="H164" t="b">
        <f>FALSE()</f>
        <v>0</v>
      </c>
      <c r="I164" t="b">
        <f>FALSE()</f>
        <v>0</v>
      </c>
      <c r="J164" t="b">
        <f>FALSE()</f>
        <v>0</v>
      </c>
      <c r="K164" t="s">
        <v>65</v>
      </c>
      <c r="L164">
        <v>100</v>
      </c>
      <c r="M164">
        <v>175</v>
      </c>
      <c r="N164">
        <v>15.5</v>
      </c>
      <c r="O164">
        <v>0</v>
      </c>
      <c r="P164">
        <v>0</v>
      </c>
      <c r="Q164">
        <v>0</v>
      </c>
      <c r="R164">
        <v>12.5</v>
      </c>
      <c r="S164">
        <v>4.5</v>
      </c>
      <c r="T164">
        <v>5.5</v>
      </c>
      <c r="U164">
        <v>0.7</v>
      </c>
      <c r="V164">
        <v>0</v>
      </c>
      <c r="W164">
        <v>0</v>
      </c>
      <c r="X164">
        <v>75</v>
      </c>
      <c r="Y164">
        <v>180</v>
      </c>
      <c r="Z164">
        <v>25</v>
      </c>
      <c r="AA164">
        <v>12</v>
      </c>
      <c r="AB164">
        <v>1</v>
      </c>
      <c r="AC164">
        <v>2</v>
      </c>
      <c r="AD164">
        <v>0</v>
      </c>
      <c r="AE164">
        <v>3</v>
      </c>
      <c r="AF164">
        <v>0</v>
      </c>
      <c r="AG164">
        <v>0</v>
      </c>
      <c r="AH164">
        <v>0</v>
      </c>
      <c r="AI164">
        <v>0</v>
      </c>
      <c r="AJ164">
        <v>0</v>
      </c>
      <c r="AK164" t="s">
        <v>66</v>
      </c>
      <c r="AL164" t="s">
        <v>87</v>
      </c>
      <c r="AM164" t="s">
        <v>65</v>
      </c>
      <c r="AN164" t="s">
        <v>67</v>
      </c>
      <c r="AO164" t="s">
        <v>68</v>
      </c>
      <c r="AP164" t="s">
        <v>67</v>
      </c>
      <c r="AQ164" t="s">
        <v>70</v>
      </c>
      <c r="AR164" t="s">
        <v>71</v>
      </c>
      <c r="AS164" t="s">
        <v>530</v>
      </c>
      <c r="AT164" t="s">
        <v>1230</v>
      </c>
    </row>
    <row r="165" spans="1:46" x14ac:dyDescent="0.2">
      <c r="A165">
        <v>1681</v>
      </c>
      <c r="B165" t="s">
        <v>1233</v>
      </c>
      <c r="C165" t="s">
        <v>527</v>
      </c>
      <c r="D165" t="s">
        <v>1234</v>
      </c>
      <c r="E165" t="s">
        <v>1235</v>
      </c>
      <c r="F165" t="s">
        <v>63</v>
      </c>
      <c r="G165" t="s">
        <v>603</v>
      </c>
      <c r="H165" t="b">
        <f>FALSE()</f>
        <v>0</v>
      </c>
      <c r="I165" t="b">
        <f>FALSE()</f>
        <v>0</v>
      </c>
      <c r="J165" t="b">
        <f>FALSE()</f>
        <v>0</v>
      </c>
      <c r="K165" t="s">
        <v>87</v>
      </c>
      <c r="L165">
        <v>100</v>
      </c>
      <c r="M165">
        <v>195</v>
      </c>
      <c r="N165">
        <v>2.2000000000000002</v>
      </c>
      <c r="O165">
        <v>22</v>
      </c>
      <c r="P165">
        <v>1.5</v>
      </c>
      <c r="Q165">
        <v>0</v>
      </c>
      <c r="R165">
        <v>11</v>
      </c>
      <c r="S165">
        <v>1.6</v>
      </c>
      <c r="T165">
        <v>6</v>
      </c>
      <c r="U165">
        <v>2.5</v>
      </c>
      <c r="V165">
        <v>0</v>
      </c>
      <c r="W165">
        <v>2</v>
      </c>
      <c r="X165">
        <v>380</v>
      </c>
      <c r="Y165">
        <v>420</v>
      </c>
      <c r="Z165">
        <v>12</v>
      </c>
      <c r="AA165">
        <v>20</v>
      </c>
      <c r="AB165">
        <v>0.6</v>
      </c>
      <c r="AC165">
        <v>0.3</v>
      </c>
      <c r="AD165">
        <v>8</v>
      </c>
      <c r="AE165">
        <v>15</v>
      </c>
      <c r="AF165">
        <v>0</v>
      </c>
      <c r="AG165">
        <v>0</v>
      </c>
      <c r="AH165">
        <v>0</v>
      </c>
      <c r="AI165">
        <v>75</v>
      </c>
      <c r="AJ165">
        <v>16.5</v>
      </c>
      <c r="AK165" t="s">
        <v>66</v>
      </c>
      <c r="AL165" t="s">
        <v>87</v>
      </c>
      <c r="AM165" t="s">
        <v>87</v>
      </c>
      <c r="AN165" t="s">
        <v>67</v>
      </c>
      <c r="AO165" t="s">
        <v>68</v>
      </c>
      <c r="AP165" t="s">
        <v>67</v>
      </c>
      <c r="AQ165" t="s">
        <v>70</v>
      </c>
      <c r="AR165" t="s">
        <v>71</v>
      </c>
      <c r="AS165" t="s">
        <v>530</v>
      </c>
      <c r="AT165" t="s">
        <v>1148</v>
      </c>
    </row>
    <row r="166" spans="1:46" x14ac:dyDescent="0.2">
      <c r="A166">
        <v>1682</v>
      </c>
      <c r="B166" t="s">
        <v>1236</v>
      </c>
      <c r="C166" t="s">
        <v>527</v>
      </c>
      <c r="D166" t="s">
        <v>1234</v>
      </c>
      <c r="E166" t="s">
        <v>1235</v>
      </c>
      <c r="F166" t="s">
        <v>63</v>
      </c>
      <c r="G166" t="s">
        <v>603</v>
      </c>
      <c r="H166" t="b">
        <f>FALSE()</f>
        <v>0</v>
      </c>
      <c r="I166" t="b">
        <f>FALSE()</f>
        <v>0</v>
      </c>
      <c r="J166" t="b">
        <f>FALSE()</f>
        <v>0</v>
      </c>
      <c r="K166" t="s">
        <v>87</v>
      </c>
      <c r="L166">
        <v>100</v>
      </c>
      <c r="M166">
        <v>195</v>
      </c>
      <c r="N166">
        <v>2.2000000000000002</v>
      </c>
      <c r="O166">
        <v>22</v>
      </c>
      <c r="P166">
        <v>1.5</v>
      </c>
      <c r="Q166">
        <v>0</v>
      </c>
      <c r="R166">
        <v>11</v>
      </c>
      <c r="S166">
        <v>1.6</v>
      </c>
      <c r="T166">
        <v>6</v>
      </c>
      <c r="U166">
        <v>2.5</v>
      </c>
      <c r="V166">
        <v>0</v>
      </c>
      <c r="W166">
        <v>2</v>
      </c>
      <c r="X166">
        <v>380</v>
      </c>
      <c r="Y166">
        <v>420</v>
      </c>
      <c r="Z166">
        <v>12</v>
      </c>
      <c r="AA166">
        <v>20</v>
      </c>
      <c r="AB166">
        <v>0.6</v>
      </c>
      <c r="AC166">
        <v>0.3</v>
      </c>
      <c r="AD166">
        <v>8</v>
      </c>
      <c r="AE166">
        <v>15</v>
      </c>
      <c r="AF166">
        <v>0</v>
      </c>
      <c r="AG166">
        <v>0</v>
      </c>
      <c r="AH166">
        <v>0</v>
      </c>
      <c r="AI166">
        <v>75</v>
      </c>
      <c r="AJ166">
        <v>16.5</v>
      </c>
      <c r="AK166" t="s">
        <v>66</v>
      </c>
      <c r="AL166" t="s">
        <v>87</v>
      </c>
      <c r="AM166" t="s">
        <v>87</v>
      </c>
      <c r="AN166" t="s">
        <v>67</v>
      </c>
      <c r="AO166" t="s">
        <v>68</v>
      </c>
      <c r="AP166" t="s">
        <v>67</v>
      </c>
      <c r="AQ166" t="s">
        <v>70</v>
      </c>
      <c r="AR166" t="s">
        <v>71</v>
      </c>
      <c r="AS166" t="s">
        <v>530</v>
      </c>
      <c r="AT166" t="s">
        <v>1148</v>
      </c>
    </row>
    <row r="167" spans="1:46" x14ac:dyDescent="0.2">
      <c r="A167">
        <v>1683</v>
      </c>
      <c r="B167" t="s">
        <v>1237</v>
      </c>
      <c r="C167" t="s">
        <v>527</v>
      </c>
      <c r="D167" t="s">
        <v>1234</v>
      </c>
      <c r="E167" t="s">
        <v>1235</v>
      </c>
      <c r="F167" t="s">
        <v>63</v>
      </c>
      <c r="G167" t="s">
        <v>603</v>
      </c>
      <c r="H167" t="b">
        <f>FALSE()</f>
        <v>0</v>
      </c>
      <c r="I167" t="b">
        <f>FALSE()</f>
        <v>0</v>
      </c>
      <c r="J167" t="b">
        <f>FALSE()</f>
        <v>0</v>
      </c>
      <c r="K167" t="s">
        <v>87</v>
      </c>
      <c r="L167">
        <v>100</v>
      </c>
      <c r="M167">
        <v>195</v>
      </c>
      <c r="N167">
        <v>2.2000000000000002</v>
      </c>
      <c r="O167">
        <v>22</v>
      </c>
      <c r="P167">
        <v>1.5</v>
      </c>
      <c r="Q167">
        <v>0</v>
      </c>
      <c r="R167">
        <v>11</v>
      </c>
      <c r="S167">
        <v>1.6</v>
      </c>
      <c r="T167">
        <v>6</v>
      </c>
      <c r="U167">
        <v>2.5</v>
      </c>
      <c r="V167">
        <v>0</v>
      </c>
      <c r="W167">
        <v>2</v>
      </c>
      <c r="X167">
        <v>380</v>
      </c>
      <c r="Y167">
        <v>420</v>
      </c>
      <c r="Z167">
        <v>12</v>
      </c>
      <c r="AA167">
        <v>20</v>
      </c>
      <c r="AB167">
        <v>0.6</v>
      </c>
      <c r="AC167">
        <v>0.3</v>
      </c>
      <c r="AD167">
        <v>8</v>
      </c>
      <c r="AE167">
        <v>15</v>
      </c>
      <c r="AF167">
        <v>0</v>
      </c>
      <c r="AG167">
        <v>0</v>
      </c>
      <c r="AH167">
        <v>0</v>
      </c>
      <c r="AI167">
        <v>75</v>
      </c>
      <c r="AJ167">
        <v>16.5</v>
      </c>
      <c r="AK167" t="s">
        <v>66</v>
      </c>
      <c r="AL167" t="s">
        <v>87</v>
      </c>
      <c r="AM167" t="s">
        <v>87</v>
      </c>
      <c r="AN167" t="s">
        <v>67</v>
      </c>
      <c r="AO167" t="s">
        <v>68</v>
      </c>
      <c r="AP167" t="s">
        <v>67</v>
      </c>
      <c r="AQ167" t="s">
        <v>70</v>
      </c>
      <c r="AR167" t="s">
        <v>71</v>
      </c>
      <c r="AS167" t="s">
        <v>530</v>
      </c>
      <c r="AT167" t="s">
        <v>1148</v>
      </c>
    </row>
    <row r="168" spans="1:46" x14ac:dyDescent="0.2">
      <c r="A168">
        <v>1684</v>
      </c>
      <c r="B168" t="s">
        <v>1238</v>
      </c>
      <c r="C168" t="s">
        <v>527</v>
      </c>
      <c r="D168" t="s">
        <v>528</v>
      </c>
      <c r="E168" t="s">
        <v>686</v>
      </c>
      <c r="F168" t="s">
        <v>63</v>
      </c>
      <c r="G168" t="s">
        <v>473</v>
      </c>
      <c r="H168" t="b">
        <f>FALSE()</f>
        <v>0</v>
      </c>
      <c r="I168" t="b">
        <f>FALSE()</f>
        <v>0</v>
      </c>
      <c r="J168" t="b">
        <f>FALSE()</f>
        <v>0</v>
      </c>
      <c r="K168" t="s">
        <v>65</v>
      </c>
      <c r="L168">
        <v>100</v>
      </c>
      <c r="M168">
        <v>185</v>
      </c>
      <c r="N168">
        <v>5.5</v>
      </c>
      <c r="O168">
        <v>12</v>
      </c>
      <c r="P168">
        <v>2</v>
      </c>
      <c r="Q168">
        <v>0</v>
      </c>
      <c r="R168">
        <v>13</v>
      </c>
      <c r="S168">
        <v>2</v>
      </c>
      <c r="T168">
        <v>8</v>
      </c>
      <c r="U168">
        <v>2</v>
      </c>
      <c r="V168">
        <v>0</v>
      </c>
      <c r="W168">
        <v>1.5</v>
      </c>
      <c r="X168">
        <v>320</v>
      </c>
      <c r="Y168">
        <v>280</v>
      </c>
      <c r="Z168">
        <v>20</v>
      </c>
      <c r="AA168">
        <v>15</v>
      </c>
      <c r="AB168">
        <v>0.7</v>
      </c>
      <c r="AC168">
        <v>0.5</v>
      </c>
      <c r="AD168">
        <v>6</v>
      </c>
      <c r="AE168">
        <v>20</v>
      </c>
      <c r="AF168">
        <v>0</v>
      </c>
      <c r="AG168">
        <v>0</v>
      </c>
      <c r="AH168">
        <v>0</v>
      </c>
      <c r="AI168">
        <v>45</v>
      </c>
      <c r="AJ168">
        <v>5.4</v>
      </c>
      <c r="AK168" t="s">
        <v>66</v>
      </c>
      <c r="AL168" t="s">
        <v>87</v>
      </c>
      <c r="AM168" t="s">
        <v>87</v>
      </c>
      <c r="AN168" t="s">
        <v>67</v>
      </c>
      <c r="AO168" t="s">
        <v>68</v>
      </c>
      <c r="AP168" t="s">
        <v>67</v>
      </c>
      <c r="AQ168" t="s">
        <v>70</v>
      </c>
      <c r="AR168" t="s">
        <v>71</v>
      </c>
      <c r="AS168" t="s">
        <v>530</v>
      </c>
      <c r="AT168" t="s">
        <v>1148</v>
      </c>
    </row>
    <row r="169" spans="1:46" x14ac:dyDescent="0.2">
      <c r="A169">
        <v>1685</v>
      </c>
      <c r="B169" t="s">
        <v>1239</v>
      </c>
      <c r="C169" t="s">
        <v>527</v>
      </c>
      <c r="D169" t="s">
        <v>528</v>
      </c>
      <c r="E169" t="s">
        <v>686</v>
      </c>
      <c r="F169" t="s">
        <v>63</v>
      </c>
      <c r="G169" t="s">
        <v>473</v>
      </c>
      <c r="H169" t="b">
        <f>FALSE()</f>
        <v>0</v>
      </c>
      <c r="I169" t="b">
        <f>FALSE()</f>
        <v>0</v>
      </c>
      <c r="J169" t="b">
        <f>FALSE()</f>
        <v>0</v>
      </c>
      <c r="K169" t="s">
        <v>65</v>
      </c>
      <c r="L169">
        <v>100</v>
      </c>
      <c r="M169">
        <v>185</v>
      </c>
      <c r="N169">
        <v>5.5</v>
      </c>
      <c r="O169">
        <v>12</v>
      </c>
      <c r="P169">
        <v>2</v>
      </c>
      <c r="Q169">
        <v>0</v>
      </c>
      <c r="R169">
        <v>13</v>
      </c>
      <c r="S169">
        <v>2</v>
      </c>
      <c r="T169">
        <v>8</v>
      </c>
      <c r="U169">
        <v>2</v>
      </c>
      <c r="V169">
        <v>0</v>
      </c>
      <c r="W169">
        <v>1.5</v>
      </c>
      <c r="X169">
        <v>320</v>
      </c>
      <c r="Y169">
        <v>280</v>
      </c>
      <c r="Z169">
        <v>20</v>
      </c>
      <c r="AA169">
        <v>15</v>
      </c>
      <c r="AB169">
        <v>0.7</v>
      </c>
      <c r="AC169">
        <v>0.5</v>
      </c>
      <c r="AD169">
        <v>6</v>
      </c>
      <c r="AE169">
        <v>20</v>
      </c>
      <c r="AF169">
        <v>0</v>
      </c>
      <c r="AG169">
        <v>0</v>
      </c>
      <c r="AH169">
        <v>0</v>
      </c>
      <c r="AI169">
        <v>45</v>
      </c>
      <c r="AJ169">
        <v>5.4</v>
      </c>
      <c r="AK169" t="s">
        <v>66</v>
      </c>
      <c r="AL169" t="s">
        <v>87</v>
      </c>
      <c r="AM169" t="s">
        <v>87</v>
      </c>
      <c r="AN169" t="s">
        <v>67</v>
      </c>
      <c r="AO169" t="s">
        <v>68</v>
      </c>
      <c r="AP169" t="s">
        <v>67</v>
      </c>
      <c r="AQ169" t="s">
        <v>70</v>
      </c>
      <c r="AR169" t="s">
        <v>71</v>
      </c>
      <c r="AS169" t="s">
        <v>530</v>
      </c>
      <c r="AT169" t="s">
        <v>1148</v>
      </c>
    </row>
    <row r="170" spans="1:46" x14ac:dyDescent="0.2">
      <c r="A170">
        <v>1686</v>
      </c>
      <c r="B170" t="s">
        <v>1240</v>
      </c>
      <c r="C170" t="s">
        <v>527</v>
      </c>
      <c r="D170" t="s">
        <v>528</v>
      </c>
      <c r="E170" t="s">
        <v>686</v>
      </c>
      <c r="F170" t="s">
        <v>63</v>
      </c>
      <c r="G170" t="s">
        <v>473</v>
      </c>
      <c r="H170" t="b">
        <f>FALSE()</f>
        <v>0</v>
      </c>
      <c r="I170" t="b">
        <f>FALSE()</f>
        <v>0</v>
      </c>
      <c r="J170" t="b">
        <f>FALSE()</f>
        <v>0</v>
      </c>
      <c r="K170" t="s">
        <v>65</v>
      </c>
      <c r="L170">
        <v>100</v>
      </c>
      <c r="M170">
        <v>185</v>
      </c>
      <c r="N170">
        <v>5.5</v>
      </c>
      <c r="O170">
        <v>12</v>
      </c>
      <c r="P170">
        <v>2</v>
      </c>
      <c r="Q170">
        <v>0</v>
      </c>
      <c r="R170">
        <v>13</v>
      </c>
      <c r="S170">
        <v>2</v>
      </c>
      <c r="T170">
        <v>8</v>
      </c>
      <c r="U170">
        <v>2</v>
      </c>
      <c r="V170">
        <v>0</v>
      </c>
      <c r="W170">
        <v>1.5</v>
      </c>
      <c r="X170">
        <v>320</v>
      </c>
      <c r="Y170">
        <v>280</v>
      </c>
      <c r="Z170">
        <v>20</v>
      </c>
      <c r="AA170">
        <v>15</v>
      </c>
      <c r="AB170">
        <v>0.7</v>
      </c>
      <c r="AC170">
        <v>0.5</v>
      </c>
      <c r="AD170">
        <v>6</v>
      </c>
      <c r="AE170">
        <v>20</v>
      </c>
      <c r="AF170">
        <v>0</v>
      </c>
      <c r="AG170">
        <v>0</v>
      </c>
      <c r="AH170">
        <v>0</v>
      </c>
      <c r="AI170">
        <v>45</v>
      </c>
      <c r="AJ170">
        <v>5.4</v>
      </c>
      <c r="AK170" t="s">
        <v>66</v>
      </c>
      <c r="AL170" t="s">
        <v>87</v>
      </c>
      <c r="AM170" t="s">
        <v>87</v>
      </c>
      <c r="AN170" t="s">
        <v>67</v>
      </c>
      <c r="AO170" t="s">
        <v>68</v>
      </c>
      <c r="AP170" t="s">
        <v>67</v>
      </c>
      <c r="AQ170" t="s">
        <v>70</v>
      </c>
      <c r="AR170" t="s">
        <v>71</v>
      </c>
      <c r="AS170" t="s">
        <v>530</v>
      </c>
      <c r="AT170" t="s">
        <v>1148</v>
      </c>
    </row>
    <row r="171" spans="1:46" x14ac:dyDescent="0.2">
      <c r="A171">
        <v>1687</v>
      </c>
      <c r="B171" t="s">
        <v>1241</v>
      </c>
      <c r="C171" t="s">
        <v>527</v>
      </c>
      <c r="D171" t="s">
        <v>100</v>
      </c>
      <c r="E171" t="s">
        <v>692</v>
      </c>
      <c r="F171" t="s">
        <v>63</v>
      </c>
      <c r="G171" t="s">
        <v>473</v>
      </c>
      <c r="H171" t="b">
        <f>TRUE()</f>
        <v>1</v>
      </c>
      <c r="I171" t="b">
        <f>TRUE()</f>
        <v>1</v>
      </c>
      <c r="J171" t="b">
        <f>FALSE()</f>
        <v>0</v>
      </c>
      <c r="K171" t="s">
        <v>87</v>
      </c>
      <c r="L171">
        <v>100</v>
      </c>
      <c r="M171">
        <v>195</v>
      </c>
      <c r="N171">
        <v>8</v>
      </c>
      <c r="O171">
        <v>22</v>
      </c>
      <c r="P171">
        <v>1.5</v>
      </c>
      <c r="Q171">
        <v>0</v>
      </c>
      <c r="R171">
        <v>8.5</v>
      </c>
      <c r="S171">
        <v>4</v>
      </c>
      <c r="T171">
        <v>3</v>
      </c>
      <c r="U171">
        <v>0.8</v>
      </c>
      <c r="V171">
        <v>0</v>
      </c>
      <c r="W171">
        <v>1</v>
      </c>
      <c r="X171">
        <v>380</v>
      </c>
      <c r="Y171">
        <v>140</v>
      </c>
      <c r="Z171">
        <v>90</v>
      </c>
      <c r="AA171">
        <v>16</v>
      </c>
      <c r="AB171">
        <v>0.8</v>
      </c>
      <c r="AC171">
        <v>0.9</v>
      </c>
      <c r="AD171">
        <v>0</v>
      </c>
      <c r="AE171">
        <v>15</v>
      </c>
      <c r="AF171">
        <v>0</v>
      </c>
      <c r="AG171">
        <v>0</v>
      </c>
      <c r="AH171">
        <v>0</v>
      </c>
      <c r="AI171">
        <v>55</v>
      </c>
      <c r="AJ171">
        <v>12.1</v>
      </c>
      <c r="AK171" t="s">
        <v>66</v>
      </c>
      <c r="AL171" t="s">
        <v>87</v>
      </c>
      <c r="AM171" t="s">
        <v>87</v>
      </c>
      <c r="AN171" t="s">
        <v>67</v>
      </c>
      <c r="AO171" t="s">
        <v>68</v>
      </c>
      <c r="AP171" t="s">
        <v>67</v>
      </c>
      <c r="AQ171" t="s">
        <v>70</v>
      </c>
      <c r="AR171" t="s">
        <v>71</v>
      </c>
      <c r="AS171" t="s">
        <v>530</v>
      </c>
      <c r="AT171" t="s">
        <v>1148</v>
      </c>
    </row>
    <row r="172" spans="1:46" x14ac:dyDescent="0.2">
      <c r="A172">
        <v>1688</v>
      </c>
      <c r="B172" t="s">
        <v>1242</v>
      </c>
      <c r="C172" t="s">
        <v>527</v>
      </c>
      <c r="D172" t="s">
        <v>100</v>
      </c>
      <c r="E172" t="s">
        <v>692</v>
      </c>
      <c r="F172" t="s">
        <v>63</v>
      </c>
      <c r="G172" t="s">
        <v>473</v>
      </c>
      <c r="H172" t="b">
        <f>TRUE()</f>
        <v>1</v>
      </c>
      <c r="I172" t="b">
        <f>TRUE()</f>
        <v>1</v>
      </c>
      <c r="J172" t="b">
        <f>FALSE()</f>
        <v>0</v>
      </c>
      <c r="K172" t="s">
        <v>87</v>
      </c>
      <c r="L172">
        <v>100</v>
      </c>
      <c r="M172">
        <v>195</v>
      </c>
      <c r="N172">
        <v>8</v>
      </c>
      <c r="O172">
        <v>22</v>
      </c>
      <c r="P172">
        <v>1.5</v>
      </c>
      <c r="Q172">
        <v>0</v>
      </c>
      <c r="R172">
        <v>8.5</v>
      </c>
      <c r="S172">
        <v>4</v>
      </c>
      <c r="T172">
        <v>3</v>
      </c>
      <c r="U172">
        <v>0.8</v>
      </c>
      <c r="V172">
        <v>0</v>
      </c>
      <c r="W172">
        <v>1</v>
      </c>
      <c r="X172">
        <v>380</v>
      </c>
      <c r="Y172">
        <v>140</v>
      </c>
      <c r="Z172">
        <v>90</v>
      </c>
      <c r="AA172">
        <v>16</v>
      </c>
      <c r="AB172">
        <v>0.8</v>
      </c>
      <c r="AC172">
        <v>0.9</v>
      </c>
      <c r="AD172">
        <v>0</v>
      </c>
      <c r="AE172">
        <v>15</v>
      </c>
      <c r="AF172">
        <v>0</v>
      </c>
      <c r="AG172">
        <v>0</v>
      </c>
      <c r="AH172">
        <v>0</v>
      </c>
      <c r="AI172">
        <v>55</v>
      </c>
      <c r="AJ172">
        <v>12.1</v>
      </c>
      <c r="AK172" t="s">
        <v>66</v>
      </c>
      <c r="AL172" t="s">
        <v>87</v>
      </c>
      <c r="AM172" t="s">
        <v>87</v>
      </c>
      <c r="AN172" t="s">
        <v>67</v>
      </c>
      <c r="AO172" t="s">
        <v>68</v>
      </c>
      <c r="AP172" t="s">
        <v>67</v>
      </c>
      <c r="AQ172" t="s">
        <v>70</v>
      </c>
      <c r="AR172" t="s">
        <v>71</v>
      </c>
      <c r="AS172" t="s">
        <v>530</v>
      </c>
      <c r="AT172" t="s">
        <v>1148</v>
      </c>
    </row>
    <row r="173" spans="1:46" x14ac:dyDescent="0.2">
      <c r="A173">
        <v>1689</v>
      </c>
      <c r="B173" t="s">
        <v>1243</v>
      </c>
      <c r="C173" t="s">
        <v>527</v>
      </c>
      <c r="D173" t="s">
        <v>100</v>
      </c>
      <c r="E173" t="s">
        <v>692</v>
      </c>
      <c r="F173" t="s">
        <v>63</v>
      </c>
      <c r="G173" t="s">
        <v>473</v>
      </c>
      <c r="H173" t="b">
        <f>TRUE()</f>
        <v>1</v>
      </c>
      <c r="I173" t="b">
        <f>TRUE()</f>
        <v>1</v>
      </c>
      <c r="J173" t="b">
        <f>FALSE()</f>
        <v>0</v>
      </c>
      <c r="K173" t="s">
        <v>87</v>
      </c>
      <c r="L173">
        <v>100</v>
      </c>
      <c r="M173">
        <v>195</v>
      </c>
      <c r="N173">
        <v>8</v>
      </c>
      <c r="O173">
        <v>22</v>
      </c>
      <c r="P173">
        <v>1.5</v>
      </c>
      <c r="Q173">
        <v>0</v>
      </c>
      <c r="R173">
        <v>8.5</v>
      </c>
      <c r="S173">
        <v>4</v>
      </c>
      <c r="T173">
        <v>3</v>
      </c>
      <c r="U173">
        <v>0.8</v>
      </c>
      <c r="V173">
        <v>0</v>
      </c>
      <c r="W173">
        <v>1</v>
      </c>
      <c r="X173">
        <v>380</v>
      </c>
      <c r="Y173">
        <v>140</v>
      </c>
      <c r="Z173">
        <v>90</v>
      </c>
      <c r="AA173">
        <v>16</v>
      </c>
      <c r="AB173">
        <v>0.8</v>
      </c>
      <c r="AC173">
        <v>0.9</v>
      </c>
      <c r="AD173">
        <v>0</v>
      </c>
      <c r="AE173">
        <v>15</v>
      </c>
      <c r="AF173">
        <v>0</v>
      </c>
      <c r="AG173">
        <v>0</v>
      </c>
      <c r="AH173">
        <v>0</v>
      </c>
      <c r="AI173">
        <v>55</v>
      </c>
      <c r="AJ173">
        <v>12.1</v>
      </c>
      <c r="AK173" t="s">
        <v>66</v>
      </c>
      <c r="AL173" t="s">
        <v>87</v>
      </c>
      <c r="AM173" t="s">
        <v>87</v>
      </c>
      <c r="AN173" t="s">
        <v>67</v>
      </c>
      <c r="AO173" t="s">
        <v>68</v>
      </c>
      <c r="AP173" t="s">
        <v>67</v>
      </c>
      <c r="AQ173" t="s">
        <v>70</v>
      </c>
      <c r="AR173" t="s">
        <v>71</v>
      </c>
      <c r="AS173" t="s">
        <v>530</v>
      </c>
      <c r="AT173" t="s">
        <v>1148</v>
      </c>
    </row>
    <row r="174" spans="1:46" x14ac:dyDescent="0.2">
      <c r="A174">
        <v>1690</v>
      </c>
      <c r="B174" t="s">
        <v>1244</v>
      </c>
      <c r="C174" t="s">
        <v>455</v>
      </c>
      <c r="D174" t="s">
        <v>465</v>
      </c>
      <c r="E174" t="s">
        <v>62</v>
      </c>
      <c r="F174" t="s">
        <v>63</v>
      </c>
      <c r="G174" t="s">
        <v>64</v>
      </c>
      <c r="H174" t="b">
        <f>FALSE()</f>
        <v>0</v>
      </c>
      <c r="I174" t="b">
        <f>FALSE()</f>
        <v>0</v>
      </c>
      <c r="J174" t="b">
        <f>FALSE()</f>
        <v>0</v>
      </c>
      <c r="K174" t="s">
        <v>65</v>
      </c>
      <c r="L174">
        <v>100</v>
      </c>
      <c r="M174">
        <v>250</v>
      </c>
      <c r="N174">
        <v>20</v>
      </c>
      <c r="O174">
        <v>0</v>
      </c>
      <c r="P174">
        <v>0</v>
      </c>
      <c r="Q174">
        <v>0</v>
      </c>
      <c r="R174">
        <v>19</v>
      </c>
      <c r="S174">
        <v>8</v>
      </c>
      <c r="T174">
        <v>8.5</v>
      </c>
      <c r="U174">
        <v>0.7</v>
      </c>
      <c r="V174">
        <v>0.1</v>
      </c>
      <c r="W174">
        <v>0</v>
      </c>
      <c r="X174">
        <v>60</v>
      </c>
      <c r="Y174">
        <v>320</v>
      </c>
      <c r="Z174">
        <v>10</v>
      </c>
      <c r="AA174">
        <v>22</v>
      </c>
      <c r="AB174">
        <v>2.1</v>
      </c>
      <c r="AC174">
        <v>4.3</v>
      </c>
      <c r="AD174">
        <v>0</v>
      </c>
      <c r="AE174">
        <v>8</v>
      </c>
      <c r="AF174">
        <v>0.2</v>
      </c>
      <c r="AG174">
        <v>0</v>
      </c>
      <c r="AH174">
        <v>0</v>
      </c>
      <c r="AI174">
        <v>0</v>
      </c>
      <c r="AJ174">
        <v>0</v>
      </c>
      <c r="AK174" t="s">
        <v>77</v>
      </c>
      <c r="AL174" t="s">
        <v>65</v>
      </c>
      <c r="AM174" t="s">
        <v>65</v>
      </c>
      <c r="AN174" t="s">
        <v>68</v>
      </c>
      <c r="AO174" t="s">
        <v>68</v>
      </c>
      <c r="AP174" t="s">
        <v>69</v>
      </c>
      <c r="AQ174" t="s">
        <v>70</v>
      </c>
      <c r="AR174" t="s">
        <v>71</v>
      </c>
      <c r="AS174" t="s">
        <v>72</v>
      </c>
      <c r="AT174" t="s">
        <v>1148</v>
      </c>
    </row>
    <row r="175" spans="1:46" x14ac:dyDescent="0.2">
      <c r="A175">
        <v>1691</v>
      </c>
      <c r="B175" t="s">
        <v>1245</v>
      </c>
      <c r="C175" t="s">
        <v>455</v>
      </c>
      <c r="D175" t="s">
        <v>465</v>
      </c>
      <c r="E175" t="s">
        <v>62</v>
      </c>
      <c r="F175" t="s">
        <v>63</v>
      </c>
      <c r="G175" t="s">
        <v>64</v>
      </c>
      <c r="H175" t="b">
        <f>FALSE()</f>
        <v>0</v>
      </c>
      <c r="I175" t="b">
        <f>FALSE()</f>
        <v>0</v>
      </c>
      <c r="J175" t="b">
        <f>FALSE()</f>
        <v>0</v>
      </c>
      <c r="K175" t="s">
        <v>65</v>
      </c>
      <c r="L175">
        <v>100</v>
      </c>
      <c r="M175">
        <v>250</v>
      </c>
      <c r="N175">
        <v>20</v>
      </c>
      <c r="O175">
        <v>0</v>
      </c>
      <c r="P175">
        <v>0</v>
      </c>
      <c r="Q175">
        <v>0</v>
      </c>
      <c r="R175">
        <v>19</v>
      </c>
      <c r="S175">
        <v>8</v>
      </c>
      <c r="T175">
        <v>8.5</v>
      </c>
      <c r="U175">
        <v>0.7</v>
      </c>
      <c r="V175">
        <v>0.1</v>
      </c>
      <c r="W175">
        <v>0</v>
      </c>
      <c r="X175">
        <v>60</v>
      </c>
      <c r="Y175">
        <v>320</v>
      </c>
      <c r="Z175">
        <v>10</v>
      </c>
      <c r="AA175">
        <v>22</v>
      </c>
      <c r="AB175">
        <v>2.1</v>
      </c>
      <c r="AC175">
        <v>4.3</v>
      </c>
      <c r="AD175">
        <v>0</v>
      </c>
      <c r="AE175">
        <v>8</v>
      </c>
      <c r="AF175">
        <v>0.2</v>
      </c>
      <c r="AG175">
        <v>0</v>
      </c>
      <c r="AH175">
        <v>0</v>
      </c>
      <c r="AI175">
        <v>0</v>
      </c>
      <c r="AJ175">
        <v>0</v>
      </c>
      <c r="AK175" t="s">
        <v>77</v>
      </c>
      <c r="AL175" t="s">
        <v>65</v>
      </c>
      <c r="AM175" t="s">
        <v>65</v>
      </c>
      <c r="AN175" t="s">
        <v>68</v>
      </c>
      <c r="AO175" t="s">
        <v>68</v>
      </c>
      <c r="AP175" t="s">
        <v>69</v>
      </c>
      <c r="AQ175" t="s">
        <v>70</v>
      </c>
      <c r="AR175" t="s">
        <v>71</v>
      </c>
      <c r="AS175" t="s">
        <v>72</v>
      </c>
      <c r="AT175" t="s">
        <v>1148</v>
      </c>
    </row>
    <row r="176" spans="1:46" x14ac:dyDescent="0.2">
      <c r="A176">
        <v>1692</v>
      </c>
      <c r="B176" t="s">
        <v>1246</v>
      </c>
      <c r="C176" t="s">
        <v>455</v>
      </c>
      <c r="D176" t="s">
        <v>465</v>
      </c>
      <c r="E176" t="s">
        <v>62</v>
      </c>
      <c r="F176" t="s">
        <v>63</v>
      </c>
      <c r="G176" t="s">
        <v>64</v>
      </c>
      <c r="H176" t="b">
        <f>FALSE()</f>
        <v>0</v>
      </c>
      <c r="I176" t="b">
        <f>FALSE()</f>
        <v>0</v>
      </c>
      <c r="J176" t="b">
        <f>FALSE()</f>
        <v>0</v>
      </c>
      <c r="K176" t="s">
        <v>65</v>
      </c>
      <c r="L176">
        <v>100</v>
      </c>
      <c r="M176">
        <v>250</v>
      </c>
      <c r="N176">
        <v>20</v>
      </c>
      <c r="O176">
        <v>0</v>
      </c>
      <c r="P176">
        <v>0</v>
      </c>
      <c r="Q176">
        <v>0</v>
      </c>
      <c r="R176">
        <v>19</v>
      </c>
      <c r="S176">
        <v>8</v>
      </c>
      <c r="T176">
        <v>8.5</v>
      </c>
      <c r="U176">
        <v>0.7</v>
      </c>
      <c r="V176">
        <v>0.1</v>
      </c>
      <c r="W176">
        <v>0</v>
      </c>
      <c r="X176">
        <v>60</v>
      </c>
      <c r="Y176">
        <v>320</v>
      </c>
      <c r="Z176">
        <v>10</v>
      </c>
      <c r="AA176">
        <v>22</v>
      </c>
      <c r="AB176">
        <v>2.1</v>
      </c>
      <c r="AC176">
        <v>4.3</v>
      </c>
      <c r="AD176">
        <v>0</v>
      </c>
      <c r="AE176">
        <v>8</v>
      </c>
      <c r="AF176">
        <v>0.2</v>
      </c>
      <c r="AG176">
        <v>0</v>
      </c>
      <c r="AH176">
        <v>0</v>
      </c>
      <c r="AI176">
        <v>0</v>
      </c>
      <c r="AJ176">
        <v>0</v>
      </c>
      <c r="AK176" t="s">
        <v>77</v>
      </c>
      <c r="AL176" t="s">
        <v>65</v>
      </c>
      <c r="AM176" t="s">
        <v>65</v>
      </c>
      <c r="AN176" t="s">
        <v>68</v>
      </c>
      <c r="AO176" t="s">
        <v>68</v>
      </c>
      <c r="AP176" t="s">
        <v>69</v>
      </c>
      <c r="AQ176" t="s">
        <v>70</v>
      </c>
      <c r="AR176" t="s">
        <v>71</v>
      </c>
      <c r="AS176" t="s">
        <v>72</v>
      </c>
      <c r="AT176" t="s">
        <v>1148</v>
      </c>
    </row>
    <row r="177" spans="1:46" x14ac:dyDescent="0.2">
      <c r="A177">
        <v>1693</v>
      </c>
      <c r="B177" t="s">
        <v>1247</v>
      </c>
      <c r="C177" t="s">
        <v>455</v>
      </c>
      <c r="D177" t="s">
        <v>465</v>
      </c>
      <c r="E177" t="s">
        <v>458</v>
      </c>
      <c r="F177" t="s">
        <v>63</v>
      </c>
      <c r="G177" t="s">
        <v>64</v>
      </c>
      <c r="H177" t="b">
        <f>FALSE()</f>
        <v>0</v>
      </c>
      <c r="I177" t="b">
        <f>FALSE()</f>
        <v>0</v>
      </c>
      <c r="J177" t="b">
        <f>FALSE()</f>
        <v>0</v>
      </c>
      <c r="K177" t="s">
        <v>65</v>
      </c>
      <c r="L177">
        <v>100</v>
      </c>
      <c r="M177">
        <v>280</v>
      </c>
      <c r="N177">
        <v>21.6</v>
      </c>
      <c r="O177">
        <v>0</v>
      </c>
      <c r="P177">
        <v>0</v>
      </c>
      <c r="Q177">
        <v>0</v>
      </c>
      <c r="R177">
        <v>20.52</v>
      </c>
      <c r="S177">
        <v>8.64</v>
      </c>
      <c r="T177">
        <v>9.18</v>
      </c>
      <c r="U177">
        <v>0.76</v>
      </c>
      <c r="V177">
        <v>0.1</v>
      </c>
      <c r="W177">
        <v>0</v>
      </c>
      <c r="X177">
        <v>60</v>
      </c>
      <c r="Y177">
        <v>320</v>
      </c>
      <c r="Z177">
        <v>10</v>
      </c>
      <c r="AA177">
        <v>22</v>
      </c>
      <c r="AB177">
        <v>2.1</v>
      </c>
      <c r="AC177">
        <v>4.3</v>
      </c>
      <c r="AD177">
        <v>0</v>
      </c>
      <c r="AE177">
        <v>8</v>
      </c>
      <c r="AF177">
        <v>0.2</v>
      </c>
      <c r="AG177">
        <v>0</v>
      </c>
      <c r="AH177">
        <v>0</v>
      </c>
      <c r="AI177">
        <v>0</v>
      </c>
      <c r="AJ177">
        <v>0</v>
      </c>
      <c r="AK177" t="s">
        <v>77</v>
      </c>
      <c r="AL177" t="s">
        <v>65</v>
      </c>
      <c r="AM177" t="s">
        <v>65</v>
      </c>
      <c r="AN177" t="s">
        <v>68</v>
      </c>
      <c r="AO177" t="s">
        <v>68</v>
      </c>
      <c r="AP177" t="s">
        <v>69</v>
      </c>
      <c r="AQ177" t="s">
        <v>70</v>
      </c>
      <c r="AR177" t="s">
        <v>71</v>
      </c>
      <c r="AS177" t="s">
        <v>72</v>
      </c>
      <c r="AT177" t="s">
        <v>1148</v>
      </c>
    </row>
    <row r="178" spans="1:46" x14ac:dyDescent="0.2">
      <c r="A178">
        <v>1694</v>
      </c>
      <c r="B178" t="s">
        <v>1248</v>
      </c>
      <c r="C178" t="s">
        <v>455</v>
      </c>
      <c r="D178" t="s">
        <v>465</v>
      </c>
      <c r="E178" t="s">
        <v>458</v>
      </c>
      <c r="F178" t="s">
        <v>63</v>
      </c>
      <c r="G178" t="s">
        <v>64</v>
      </c>
      <c r="H178" t="b">
        <f>FALSE()</f>
        <v>0</v>
      </c>
      <c r="I178" t="b">
        <f>FALSE()</f>
        <v>0</v>
      </c>
      <c r="J178" t="b">
        <f>FALSE()</f>
        <v>0</v>
      </c>
      <c r="K178" t="s">
        <v>65</v>
      </c>
      <c r="L178">
        <v>100</v>
      </c>
      <c r="M178">
        <v>280</v>
      </c>
      <c r="N178">
        <v>21.6</v>
      </c>
      <c r="O178">
        <v>0</v>
      </c>
      <c r="P178">
        <v>0</v>
      </c>
      <c r="Q178">
        <v>0</v>
      </c>
      <c r="R178">
        <v>20.52</v>
      </c>
      <c r="S178">
        <v>8.64</v>
      </c>
      <c r="T178">
        <v>9.18</v>
      </c>
      <c r="U178">
        <v>0.76</v>
      </c>
      <c r="V178">
        <v>0.1</v>
      </c>
      <c r="W178">
        <v>0</v>
      </c>
      <c r="X178">
        <v>60</v>
      </c>
      <c r="Y178">
        <v>320</v>
      </c>
      <c r="Z178">
        <v>10</v>
      </c>
      <c r="AA178">
        <v>22</v>
      </c>
      <c r="AB178">
        <v>2.1</v>
      </c>
      <c r="AC178">
        <v>4.3</v>
      </c>
      <c r="AD178">
        <v>0</v>
      </c>
      <c r="AE178">
        <v>8</v>
      </c>
      <c r="AF178">
        <v>0.2</v>
      </c>
      <c r="AG178">
        <v>0</v>
      </c>
      <c r="AH178">
        <v>0</v>
      </c>
      <c r="AI178">
        <v>0</v>
      </c>
      <c r="AJ178">
        <v>0</v>
      </c>
      <c r="AK178" t="s">
        <v>77</v>
      </c>
      <c r="AL178" t="s">
        <v>65</v>
      </c>
      <c r="AM178" t="s">
        <v>65</v>
      </c>
      <c r="AN178" t="s">
        <v>68</v>
      </c>
      <c r="AO178" t="s">
        <v>68</v>
      </c>
      <c r="AP178" t="s">
        <v>69</v>
      </c>
      <c r="AQ178" t="s">
        <v>70</v>
      </c>
      <c r="AR178" t="s">
        <v>71</v>
      </c>
      <c r="AS178" t="s">
        <v>72</v>
      </c>
      <c r="AT178" t="s">
        <v>1148</v>
      </c>
    </row>
    <row r="179" spans="1:46" x14ac:dyDescent="0.2">
      <c r="A179">
        <v>1695</v>
      </c>
      <c r="B179" t="s">
        <v>1249</v>
      </c>
      <c r="C179" t="s">
        <v>455</v>
      </c>
      <c r="D179" t="s">
        <v>465</v>
      </c>
      <c r="E179" t="s">
        <v>458</v>
      </c>
      <c r="F179" t="s">
        <v>63</v>
      </c>
      <c r="G179" t="s">
        <v>64</v>
      </c>
      <c r="H179" t="b">
        <f>FALSE()</f>
        <v>0</v>
      </c>
      <c r="I179" t="b">
        <f>FALSE()</f>
        <v>0</v>
      </c>
      <c r="J179" t="b">
        <f>FALSE()</f>
        <v>0</v>
      </c>
      <c r="K179" t="s">
        <v>65</v>
      </c>
      <c r="L179">
        <v>100</v>
      </c>
      <c r="M179">
        <v>280</v>
      </c>
      <c r="N179">
        <v>21.6</v>
      </c>
      <c r="O179">
        <v>0</v>
      </c>
      <c r="P179">
        <v>0</v>
      </c>
      <c r="Q179">
        <v>0</v>
      </c>
      <c r="R179">
        <v>20.52</v>
      </c>
      <c r="S179">
        <v>8.64</v>
      </c>
      <c r="T179">
        <v>9.18</v>
      </c>
      <c r="U179">
        <v>0.76</v>
      </c>
      <c r="V179">
        <v>0.1</v>
      </c>
      <c r="W179">
        <v>0</v>
      </c>
      <c r="X179">
        <v>60</v>
      </c>
      <c r="Y179">
        <v>320</v>
      </c>
      <c r="Z179">
        <v>10</v>
      </c>
      <c r="AA179">
        <v>22</v>
      </c>
      <c r="AB179">
        <v>2.1</v>
      </c>
      <c r="AC179">
        <v>4.3</v>
      </c>
      <c r="AD179">
        <v>0</v>
      </c>
      <c r="AE179">
        <v>8</v>
      </c>
      <c r="AF179">
        <v>0.2</v>
      </c>
      <c r="AG179">
        <v>0</v>
      </c>
      <c r="AH179">
        <v>0</v>
      </c>
      <c r="AI179">
        <v>0</v>
      </c>
      <c r="AJ179">
        <v>0</v>
      </c>
      <c r="AK179" t="s">
        <v>77</v>
      </c>
      <c r="AL179" t="s">
        <v>65</v>
      </c>
      <c r="AM179" t="s">
        <v>65</v>
      </c>
      <c r="AN179" t="s">
        <v>68</v>
      </c>
      <c r="AO179" t="s">
        <v>68</v>
      </c>
      <c r="AP179" t="s">
        <v>69</v>
      </c>
      <c r="AQ179" t="s">
        <v>70</v>
      </c>
      <c r="AR179" t="s">
        <v>71</v>
      </c>
      <c r="AS179" t="s">
        <v>72</v>
      </c>
      <c r="AT179" t="s">
        <v>1148</v>
      </c>
    </row>
    <row r="180" spans="1:46" x14ac:dyDescent="0.2">
      <c r="A180">
        <v>1696</v>
      </c>
      <c r="B180" t="s">
        <v>1250</v>
      </c>
      <c r="C180" t="s">
        <v>527</v>
      </c>
      <c r="D180" t="s">
        <v>1251</v>
      </c>
      <c r="E180" t="s">
        <v>216</v>
      </c>
      <c r="F180" t="s">
        <v>63</v>
      </c>
      <c r="G180" t="s">
        <v>603</v>
      </c>
      <c r="H180" t="b">
        <f>TRUE()</f>
        <v>1</v>
      </c>
      <c r="I180" t="b">
        <f>TRUE()</f>
        <v>1</v>
      </c>
      <c r="J180" t="b">
        <f>FALSE()</f>
        <v>0</v>
      </c>
      <c r="K180" t="s">
        <v>87</v>
      </c>
      <c r="L180">
        <v>100</v>
      </c>
      <c r="M180">
        <v>260</v>
      </c>
      <c r="N180">
        <v>7</v>
      </c>
      <c r="O180">
        <v>22</v>
      </c>
      <c r="P180">
        <v>2</v>
      </c>
      <c r="Q180">
        <v>0</v>
      </c>
      <c r="R180">
        <v>16</v>
      </c>
      <c r="S180">
        <v>4</v>
      </c>
      <c r="T180">
        <v>7</v>
      </c>
      <c r="U180">
        <v>3.5</v>
      </c>
      <c r="V180">
        <v>0</v>
      </c>
      <c r="W180">
        <v>1</v>
      </c>
      <c r="X180">
        <v>480</v>
      </c>
      <c r="Y180">
        <v>150</v>
      </c>
      <c r="Z180">
        <v>45</v>
      </c>
      <c r="AA180">
        <v>12</v>
      </c>
      <c r="AB180">
        <v>0.6</v>
      </c>
      <c r="AC180">
        <v>0.6</v>
      </c>
      <c r="AD180">
        <v>1</v>
      </c>
      <c r="AE180">
        <v>10</v>
      </c>
      <c r="AF180">
        <v>0</v>
      </c>
      <c r="AG180">
        <v>0</v>
      </c>
      <c r="AH180">
        <v>0</v>
      </c>
      <c r="AI180">
        <v>70</v>
      </c>
      <c r="AJ180">
        <v>15.4</v>
      </c>
      <c r="AK180" t="s">
        <v>66</v>
      </c>
      <c r="AL180" t="s">
        <v>87</v>
      </c>
      <c r="AM180" t="s">
        <v>87</v>
      </c>
      <c r="AN180" t="s">
        <v>67</v>
      </c>
      <c r="AO180" t="s">
        <v>68</v>
      </c>
      <c r="AP180" t="s">
        <v>67</v>
      </c>
      <c r="AQ180" t="s">
        <v>70</v>
      </c>
      <c r="AR180" t="s">
        <v>71</v>
      </c>
      <c r="AS180" t="s">
        <v>530</v>
      </c>
      <c r="AT180" t="s">
        <v>1148</v>
      </c>
    </row>
    <row r="181" spans="1:46" x14ac:dyDescent="0.2">
      <c r="A181">
        <v>1697</v>
      </c>
      <c r="B181" t="s">
        <v>1252</v>
      </c>
      <c r="C181" t="s">
        <v>527</v>
      </c>
      <c r="D181" t="s">
        <v>1251</v>
      </c>
      <c r="E181" t="s">
        <v>216</v>
      </c>
      <c r="F181" t="s">
        <v>63</v>
      </c>
      <c r="G181" t="s">
        <v>603</v>
      </c>
      <c r="H181" t="b">
        <f>TRUE()</f>
        <v>1</v>
      </c>
      <c r="I181" t="b">
        <f>TRUE()</f>
        <v>1</v>
      </c>
      <c r="J181" t="b">
        <f>FALSE()</f>
        <v>0</v>
      </c>
      <c r="K181" t="s">
        <v>87</v>
      </c>
      <c r="L181">
        <v>100</v>
      </c>
      <c r="M181">
        <v>260</v>
      </c>
      <c r="N181">
        <v>7</v>
      </c>
      <c r="O181">
        <v>22</v>
      </c>
      <c r="P181">
        <v>2</v>
      </c>
      <c r="Q181">
        <v>0</v>
      </c>
      <c r="R181">
        <v>16</v>
      </c>
      <c r="S181">
        <v>4</v>
      </c>
      <c r="T181">
        <v>7</v>
      </c>
      <c r="U181">
        <v>3.5</v>
      </c>
      <c r="V181">
        <v>0</v>
      </c>
      <c r="W181">
        <v>1</v>
      </c>
      <c r="X181">
        <v>480</v>
      </c>
      <c r="Y181">
        <v>150</v>
      </c>
      <c r="Z181">
        <v>45</v>
      </c>
      <c r="AA181">
        <v>12</v>
      </c>
      <c r="AB181">
        <v>0.6</v>
      </c>
      <c r="AC181">
        <v>0.6</v>
      </c>
      <c r="AD181">
        <v>1</v>
      </c>
      <c r="AE181">
        <v>10</v>
      </c>
      <c r="AF181">
        <v>0</v>
      </c>
      <c r="AG181">
        <v>0</v>
      </c>
      <c r="AH181">
        <v>0</v>
      </c>
      <c r="AI181">
        <v>70</v>
      </c>
      <c r="AJ181">
        <v>15.4</v>
      </c>
      <c r="AK181" t="s">
        <v>66</v>
      </c>
      <c r="AL181" t="s">
        <v>87</v>
      </c>
      <c r="AM181" t="s">
        <v>87</v>
      </c>
      <c r="AN181" t="s">
        <v>67</v>
      </c>
      <c r="AO181" t="s">
        <v>68</v>
      </c>
      <c r="AP181" t="s">
        <v>67</v>
      </c>
      <c r="AQ181" t="s">
        <v>70</v>
      </c>
      <c r="AR181" t="s">
        <v>71</v>
      </c>
      <c r="AS181" t="s">
        <v>530</v>
      </c>
      <c r="AT181" t="s">
        <v>1148</v>
      </c>
    </row>
    <row r="182" spans="1:46" x14ac:dyDescent="0.2">
      <c r="A182">
        <v>1698</v>
      </c>
      <c r="B182" t="s">
        <v>1253</v>
      </c>
      <c r="C182" t="s">
        <v>527</v>
      </c>
      <c r="D182" t="s">
        <v>1251</v>
      </c>
      <c r="E182" t="s">
        <v>216</v>
      </c>
      <c r="F182" t="s">
        <v>63</v>
      </c>
      <c r="G182" t="s">
        <v>603</v>
      </c>
      <c r="H182" t="b">
        <f>TRUE()</f>
        <v>1</v>
      </c>
      <c r="I182" t="b">
        <f>TRUE()</f>
        <v>1</v>
      </c>
      <c r="J182" t="b">
        <f>FALSE()</f>
        <v>0</v>
      </c>
      <c r="K182" t="s">
        <v>87</v>
      </c>
      <c r="L182">
        <v>100</v>
      </c>
      <c r="M182">
        <v>260</v>
      </c>
      <c r="N182">
        <v>7</v>
      </c>
      <c r="O182">
        <v>22</v>
      </c>
      <c r="P182">
        <v>2</v>
      </c>
      <c r="Q182">
        <v>0</v>
      </c>
      <c r="R182">
        <v>16</v>
      </c>
      <c r="S182">
        <v>4</v>
      </c>
      <c r="T182">
        <v>7</v>
      </c>
      <c r="U182">
        <v>3.5</v>
      </c>
      <c r="V182">
        <v>0</v>
      </c>
      <c r="W182">
        <v>1</v>
      </c>
      <c r="X182">
        <v>480</v>
      </c>
      <c r="Y182">
        <v>150</v>
      </c>
      <c r="Z182">
        <v>45</v>
      </c>
      <c r="AA182">
        <v>12</v>
      </c>
      <c r="AB182">
        <v>0.6</v>
      </c>
      <c r="AC182">
        <v>0.6</v>
      </c>
      <c r="AD182">
        <v>1</v>
      </c>
      <c r="AE182">
        <v>10</v>
      </c>
      <c r="AF182">
        <v>0</v>
      </c>
      <c r="AG182">
        <v>0</v>
      </c>
      <c r="AH182">
        <v>0</v>
      </c>
      <c r="AI182">
        <v>70</v>
      </c>
      <c r="AJ182">
        <v>15.4</v>
      </c>
      <c r="AK182" t="s">
        <v>66</v>
      </c>
      <c r="AL182" t="s">
        <v>87</v>
      </c>
      <c r="AM182" t="s">
        <v>87</v>
      </c>
      <c r="AN182" t="s">
        <v>67</v>
      </c>
      <c r="AO182" t="s">
        <v>68</v>
      </c>
      <c r="AP182" t="s">
        <v>67</v>
      </c>
      <c r="AQ182" t="s">
        <v>70</v>
      </c>
      <c r="AR182" t="s">
        <v>71</v>
      </c>
      <c r="AS182" t="s">
        <v>530</v>
      </c>
      <c r="AT182" t="s">
        <v>1148</v>
      </c>
    </row>
    <row r="183" spans="1:46" x14ac:dyDescent="0.2">
      <c r="A183">
        <v>1699</v>
      </c>
      <c r="B183" t="s">
        <v>1254</v>
      </c>
      <c r="C183" t="s">
        <v>527</v>
      </c>
      <c r="D183" t="s">
        <v>1251</v>
      </c>
      <c r="E183" t="s">
        <v>216</v>
      </c>
      <c r="F183" t="s">
        <v>63</v>
      </c>
      <c r="G183" t="s">
        <v>603</v>
      </c>
      <c r="H183" t="b">
        <f>TRUE()</f>
        <v>1</v>
      </c>
      <c r="I183" t="b">
        <f>TRUE()</f>
        <v>1</v>
      </c>
      <c r="J183" t="b">
        <f>FALSE()</f>
        <v>0</v>
      </c>
      <c r="K183" t="s">
        <v>87</v>
      </c>
      <c r="L183">
        <v>100</v>
      </c>
      <c r="M183">
        <v>245</v>
      </c>
      <c r="N183">
        <v>8</v>
      </c>
      <c r="O183">
        <v>22</v>
      </c>
      <c r="P183">
        <v>2</v>
      </c>
      <c r="Q183">
        <v>0</v>
      </c>
      <c r="R183">
        <v>14</v>
      </c>
      <c r="S183">
        <v>3.5</v>
      </c>
      <c r="T183">
        <v>6.5</v>
      </c>
      <c r="U183">
        <v>3</v>
      </c>
      <c r="V183">
        <v>0</v>
      </c>
      <c r="W183">
        <v>1</v>
      </c>
      <c r="X183">
        <v>420</v>
      </c>
      <c r="Y183">
        <v>150</v>
      </c>
      <c r="Z183">
        <v>45</v>
      </c>
      <c r="AA183">
        <v>12</v>
      </c>
      <c r="AB183">
        <v>0.6</v>
      </c>
      <c r="AC183">
        <v>0.6</v>
      </c>
      <c r="AD183">
        <v>1</v>
      </c>
      <c r="AE183">
        <v>10</v>
      </c>
      <c r="AF183">
        <v>0</v>
      </c>
      <c r="AG183">
        <v>0</v>
      </c>
      <c r="AH183">
        <v>0</v>
      </c>
      <c r="AI183">
        <v>70</v>
      </c>
      <c r="AJ183">
        <v>15.4</v>
      </c>
      <c r="AK183" t="s">
        <v>66</v>
      </c>
      <c r="AL183" t="s">
        <v>87</v>
      </c>
      <c r="AM183" t="s">
        <v>87</v>
      </c>
      <c r="AN183" t="s">
        <v>67</v>
      </c>
      <c r="AO183" t="s">
        <v>68</v>
      </c>
      <c r="AP183" t="s">
        <v>67</v>
      </c>
      <c r="AQ183" t="s">
        <v>70</v>
      </c>
      <c r="AR183" t="s">
        <v>71</v>
      </c>
      <c r="AS183" t="s">
        <v>530</v>
      </c>
      <c r="AT183" t="s">
        <v>1148</v>
      </c>
    </row>
    <row r="184" spans="1:46" x14ac:dyDescent="0.2">
      <c r="A184">
        <v>1700</v>
      </c>
      <c r="B184" t="s">
        <v>1255</v>
      </c>
      <c r="C184" t="s">
        <v>527</v>
      </c>
      <c r="D184" t="s">
        <v>1251</v>
      </c>
      <c r="E184" t="s">
        <v>216</v>
      </c>
      <c r="F184" t="s">
        <v>63</v>
      </c>
      <c r="G184" t="s">
        <v>603</v>
      </c>
      <c r="H184" t="b">
        <f>TRUE()</f>
        <v>1</v>
      </c>
      <c r="I184" t="b">
        <f>TRUE()</f>
        <v>1</v>
      </c>
      <c r="J184" t="b">
        <f>FALSE()</f>
        <v>0</v>
      </c>
      <c r="K184" t="s">
        <v>87</v>
      </c>
      <c r="L184">
        <v>100</v>
      </c>
      <c r="M184">
        <v>245</v>
      </c>
      <c r="N184">
        <v>8</v>
      </c>
      <c r="O184">
        <v>22</v>
      </c>
      <c r="P184">
        <v>2</v>
      </c>
      <c r="Q184">
        <v>0</v>
      </c>
      <c r="R184">
        <v>14</v>
      </c>
      <c r="S184">
        <v>3.5</v>
      </c>
      <c r="T184">
        <v>6.5</v>
      </c>
      <c r="U184">
        <v>3</v>
      </c>
      <c r="V184">
        <v>0</v>
      </c>
      <c r="W184">
        <v>1</v>
      </c>
      <c r="X184">
        <v>420</v>
      </c>
      <c r="Y184">
        <v>150</v>
      </c>
      <c r="Z184">
        <v>45</v>
      </c>
      <c r="AA184">
        <v>12</v>
      </c>
      <c r="AB184">
        <v>0.6</v>
      </c>
      <c r="AC184">
        <v>0.6</v>
      </c>
      <c r="AD184">
        <v>1</v>
      </c>
      <c r="AE184">
        <v>10</v>
      </c>
      <c r="AF184">
        <v>0</v>
      </c>
      <c r="AG184">
        <v>0</v>
      </c>
      <c r="AH184">
        <v>0</v>
      </c>
      <c r="AI184">
        <v>70</v>
      </c>
      <c r="AJ184">
        <v>15.4</v>
      </c>
      <c r="AK184" t="s">
        <v>66</v>
      </c>
      <c r="AL184" t="s">
        <v>87</v>
      </c>
      <c r="AM184" t="s">
        <v>87</v>
      </c>
      <c r="AN184" t="s">
        <v>67</v>
      </c>
      <c r="AO184" t="s">
        <v>68</v>
      </c>
      <c r="AP184" t="s">
        <v>67</v>
      </c>
      <c r="AQ184" t="s">
        <v>70</v>
      </c>
      <c r="AR184" t="s">
        <v>71</v>
      </c>
      <c r="AS184" t="s">
        <v>530</v>
      </c>
      <c r="AT184" t="s">
        <v>1148</v>
      </c>
    </row>
    <row r="185" spans="1:46" x14ac:dyDescent="0.2">
      <c r="A185">
        <v>1701</v>
      </c>
      <c r="B185" t="s">
        <v>1256</v>
      </c>
      <c r="C185" t="s">
        <v>527</v>
      </c>
      <c r="D185" t="s">
        <v>1251</v>
      </c>
      <c r="E185" t="s">
        <v>216</v>
      </c>
      <c r="F185" t="s">
        <v>63</v>
      </c>
      <c r="G185" t="s">
        <v>603</v>
      </c>
      <c r="H185" t="b">
        <f>TRUE()</f>
        <v>1</v>
      </c>
      <c r="I185" t="b">
        <f>TRUE()</f>
        <v>1</v>
      </c>
      <c r="J185" t="b">
        <f>FALSE()</f>
        <v>0</v>
      </c>
      <c r="K185" t="s">
        <v>87</v>
      </c>
      <c r="L185">
        <v>100</v>
      </c>
      <c r="M185">
        <v>245</v>
      </c>
      <c r="N185">
        <v>8</v>
      </c>
      <c r="O185">
        <v>22</v>
      </c>
      <c r="P185">
        <v>2</v>
      </c>
      <c r="Q185">
        <v>0</v>
      </c>
      <c r="R185">
        <v>14</v>
      </c>
      <c r="S185">
        <v>3.5</v>
      </c>
      <c r="T185">
        <v>6.5</v>
      </c>
      <c r="U185">
        <v>3</v>
      </c>
      <c r="V185">
        <v>0</v>
      </c>
      <c r="W185">
        <v>1</v>
      </c>
      <c r="X185">
        <v>420</v>
      </c>
      <c r="Y185">
        <v>150</v>
      </c>
      <c r="Z185">
        <v>45</v>
      </c>
      <c r="AA185">
        <v>12</v>
      </c>
      <c r="AB185">
        <v>0.6</v>
      </c>
      <c r="AC185">
        <v>0.6</v>
      </c>
      <c r="AD185">
        <v>1</v>
      </c>
      <c r="AE185">
        <v>10</v>
      </c>
      <c r="AF185">
        <v>0</v>
      </c>
      <c r="AG185">
        <v>0</v>
      </c>
      <c r="AH185">
        <v>0</v>
      </c>
      <c r="AI185">
        <v>70</v>
      </c>
      <c r="AJ185">
        <v>15.4</v>
      </c>
      <c r="AK185" t="s">
        <v>66</v>
      </c>
      <c r="AL185" t="s">
        <v>87</v>
      </c>
      <c r="AM185" t="s">
        <v>87</v>
      </c>
      <c r="AN185" t="s">
        <v>67</v>
      </c>
      <c r="AO185" t="s">
        <v>68</v>
      </c>
      <c r="AP185" t="s">
        <v>67</v>
      </c>
      <c r="AQ185" t="s">
        <v>70</v>
      </c>
      <c r="AR185" t="s">
        <v>71</v>
      </c>
      <c r="AS185" t="s">
        <v>530</v>
      </c>
      <c r="AT185" t="s">
        <v>1148</v>
      </c>
    </row>
    <row r="186" spans="1:46" x14ac:dyDescent="0.2">
      <c r="A186">
        <v>1702</v>
      </c>
      <c r="B186" t="s">
        <v>1257</v>
      </c>
      <c r="C186" t="s">
        <v>527</v>
      </c>
      <c r="D186" t="s">
        <v>1251</v>
      </c>
      <c r="E186" t="s">
        <v>216</v>
      </c>
      <c r="F186" t="s">
        <v>63</v>
      </c>
      <c r="G186" t="s">
        <v>603</v>
      </c>
      <c r="H186" t="b">
        <f>TRUE()</f>
        <v>1</v>
      </c>
      <c r="I186" t="b">
        <f>TRUE()</f>
        <v>1</v>
      </c>
      <c r="J186" t="b">
        <f>FALSE()</f>
        <v>0</v>
      </c>
      <c r="K186" t="s">
        <v>87</v>
      </c>
      <c r="L186">
        <v>100</v>
      </c>
      <c r="M186">
        <v>235</v>
      </c>
      <c r="N186">
        <v>9</v>
      </c>
      <c r="O186">
        <v>21</v>
      </c>
      <c r="P186">
        <v>2</v>
      </c>
      <c r="Q186">
        <v>0</v>
      </c>
      <c r="R186">
        <v>13</v>
      </c>
      <c r="S186">
        <v>3.2</v>
      </c>
      <c r="T186">
        <v>6</v>
      </c>
      <c r="U186">
        <v>2.8</v>
      </c>
      <c r="V186">
        <v>0</v>
      </c>
      <c r="W186">
        <v>1</v>
      </c>
      <c r="X186">
        <v>460</v>
      </c>
      <c r="Y186">
        <v>150</v>
      </c>
      <c r="Z186">
        <v>45</v>
      </c>
      <c r="AA186">
        <v>12</v>
      </c>
      <c r="AB186">
        <v>0.6</v>
      </c>
      <c r="AC186">
        <v>0.6</v>
      </c>
      <c r="AD186">
        <v>1</v>
      </c>
      <c r="AE186">
        <v>10</v>
      </c>
      <c r="AF186">
        <v>0</v>
      </c>
      <c r="AG186">
        <v>0</v>
      </c>
      <c r="AH186">
        <v>0</v>
      </c>
      <c r="AI186">
        <v>70</v>
      </c>
      <c r="AJ186">
        <v>14.7</v>
      </c>
      <c r="AK186" t="s">
        <v>66</v>
      </c>
      <c r="AL186" t="s">
        <v>87</v>
      </c>
      <c r="AM186" t="s">
        <v>87</v>
      </c>
      <c r="AN186" t="s">
        <v>67</v>
      </c>
      <c r="AO186" t="s">
        <v>68</v>
      </c>
      <c r="AP186" t="s">
        <v>67</v>
      </c>
      <c r="AQ186" t="s">
        <v>70</v>
      </c>
      <c r="AR186" t="s">
        <v>71</v>
      </c>
      <c r="AS186" t="s">
        <v>530</v>
      </c>
      <c r="AT186" t="s">
        <v>1148</v>
      </c>
    </row>
    <row r="187" spans="1:46" x14ac:dyDescent="0.2">
      <c r="A187">
        <v>1703</v>
      </c>
      <c r="B187" t="s">
        <v>1258</v>
      </c>
      <c r="C187" t="s">
        <v>527</v>
      </c>
      <c r="D187" t="s">
        <v>1251</v>
      </c>
      <c r="E187" t="s">
        <v>216</v>
      </c>
      <c r="F187" t="s">
        <v>63</v>
      </c>
      <c r="G187" t="s">
        <v>603</v>
      </c>
      <c r="H187" t="b">
        <f>TRUE()</f>
        <v>1</v>
      </c>
      <c r="I187" t="b">
        <f>TRUE()</f>
        <v>1</v>
      </c>
      <c r="J187" t="b">
        <f>FALSE()</f>
        <v>0</v>
      </c>
      <c r="K187" t="s">
        <v>87</v>
      </c>
      <c r="L187">
        <v>100</v>
      </c>
      <c r="M187">
        <v>235</v>
      </c>
      <c r="N187">
        <v>9</v>
      </c>
      <c r="O187">
        <v>21</v>
      </c>
      <c r="P187">
        <v>2</v>
      </c>
      <c r="Q187">
        <v>0</v>
      </c>
      <c r="R187">
        <v>13</v>
      </c>
      <c r="S187">
        <v>3.2</v>
      </c>
      <c r="T187">
        <v>6</v>
      </c>
      <c r="U187">
        <v>2.8</v>
      </c>
      <c r="V187">
        <v>0</v>
      </c>
      <c r="W187">
        <v>1</v>
      </c>
      <c r="X187">
        <v>460</v>
      </c>
      <c r="Y187">
        <v>150</v>
      </c>
      <c r="Z187">
        <v>45</v>
      </c>
      <c r="AA187">
        <v>12</v>
      </c>
      <c r="AB187">
        <v>0.6</v>
      </c>
      <c r="AC187">
        <v>0.6</v>
      </c>
      <c r="AD187">
        <v>1</v>
      </c>
      <c r="AE187">
        <v>10</v>
      </c>
      <c r="AF187">
        <v>0</v>
      </c>
      <c r="AG187">
        <v>0</v>
      </c>
      <c r="AH187">
        <v>0</v>
      </c>
      <c r="AI187">
        <v>70</v>
      </c>
      <c r="AJ187">
        <v>14.7</v>
      </c>
      <c r="AK187" t="s">
        <v>66</v>
      </c>
      <c r="AL187" t="s">
        <v>87</v>
      </c>
      <c r="AM187" t="s">
        <v>87</v>
      </c>
      <c r="AN187" t="s">
        <v>67</v>
      </c>
      <c r="AO187" t="s">
        <v>68</v>
      </c>
      <c r="AP187" t="s">
        <v>67</v>
      </c>
      <c r="AQ187" t="s">
        <v>70</v>
      </c>
      <c r="AR187" t="s">
        <v>71</v>
      </c>
      <c r="AS187" t="s">
        <v>530</v>
      </c>
      <c r="AT187" t="s">
        <v>1148</v>
      </c>
    </row>
    <row r="188" spans="1:46" x14ac:dyDescent="0.2">
      <c r="A188">
        <v>1704</v>
      </c>
      <c r="B188" t="s">
        <v>1259</v>
      </c>
      <c r="C188" t="s">
        <v>527</v>
      </c>
      <c r="D188" t="s">
        <v>1251</v>
      </c>
      <c r="E188" t="s">
        <v>216</v>
      </c>
      <c r="F188" t="s">
        <v>63</v>
      </c>
      <c r="G188" t="s">
        <v>603</v>
      </c>
      <c r="H188" t="b">
        <f>TRUE()</f>
        <v>1</v>
      </c>
      <c r="I188" t="b">
        <f>TRUE()</f>
        <v>1</v>
      </c>
      <c r="J188" t="b">
        <f>FALSE()</f>
        <v>0</v>
      </c>
      <c r="K188" t="s">
        <v>87</v>
      </c>
      <c r="L188">
        <v>100</v>
      </c>
      <c r="M188">
        <v>235</v>
      </c>
      <c r="N188">
        <v>9</v>
      </c>
      <c r="O188">
        <v>21</v>
      </c>
      <c r="P188">
        <v>2</v>
      </c>
      <c r="Q188">
        <v>0</v>
      </c>
      <c r="R188">
        <v>13</v>
      </c>
      <c r="S188">
        <v>3.2</v>
      </c>
      <c r="T188">
        <v>6</v>
      </c>
      <c r="U188">
        <v>2.8</v>
      </c>
      <c r="V188">
        <v>0</v>
      </c>
      <c r="W188">
        <v>1</v>
      </c>
      <c r="X188">
        <v>460</v>
      </c>
      <c r="Y188">
        <v>150</v>
      </c>
      <c r="Z188">
        <v>45</v>
      </c>
      <c r="AA188">
        <v>12</v>
      </c>
      <c r="AB188">
        <v>0.6</v>
      </c>
      <c r="AC188">
        <v>0.6</v>
      </c>
      <c r="AD188">
        <v>1</v>
      </c>
      <c r="AE188">
        <v>10</v>
      </c>
      <c r="AF188">
        <v>0</v>
      </c>
      <c r="AG188">
        <v>0</v>
      </c>
      <c r="AH188">
        <v>0</v>
      </c>
      <c r="AI188">
        <v>70</v>
      </c>
      <c r="AJ188">
        <v>14.7</v>
      </c>
      <c r="AK188" t="s">
        <v>66</v>
      </c>
      <c r="AL188" t="s">
        <v>87</v>
      </c>
      <c r="AM188" t="s">
        <v>87</v>
      </c>
      <c r="AN188" t="s">
        <v>67</v>
      </c>
      <c r="AO188" t="s">
        <v>68</v>
      </c>
      <c r="AP188" t="s">
        <v>67</v>
      </c>
      <c r="AQ188" t="s">
        <v>70</v>
      </c>
      <c r="AR188" t="s">
        <v>71</v>
      </c>
      <c r="AS188" t="s">
        <v>530</v>
      </c>
      <c r="AT188" t="s">
        <v>1148</v>
      </c>
    </row>
    <row r="189" spans="1:46" x14ac:dyDescent="0.2">
      <c r="A189">
        <v>1705</v>
      </c>
      <c r="B189" t="s">
        <v>1260</v>
      </c>
      <c r="C189" t="s">
        <v>527</v>
      </c>
      <c r="D189" t="s">
        <v>1251</v>
      </c>
      <c r="E189" t="s">
        <v>216</v>
      </c>
      <c r="F189" t="s">
        <v>63</v>
      </c>
      <c r="G189" t="s">
        <v>603</v>
      </c>
      <c r="H189" t="b">
        <f>TRUE()</f>
        <v>1</v>
      </c>
      <c r="I189" t="b">
        <f>TRUE()</f>
        <v>1</v>
      </c>
      <c r="J189" t="b">
        <f>FALSE()</f>
        <v>0</v>
      </c>
      <c r="K189" t="s">
        <v>87</v>
      </c>
      <c r="L189">
        <v>100</v>
      </c>
      <c r="M189">
        <v>220</v>
      </c>
      <c r="N189">
        <v>5</v>
      </c>
      <c r="O189">
        <v>23</v>
      </c>
      <c r="P189">
        <v>2</v>
      </c>
      <c r="Q189">
        <v>0</v>
      </c>
      <c r="R189">
        <v>12</v>
      </c>
      <c r="S189">
        <v>3</v>
      </c>
      <c r="T189">
        <v>5.5</v>
      </c>
      <c r="U189">
        <v>2.5</v>
      </c>
      <c r="V189">
        <v>0</v>
      </c>
      <c r="W189">
        <v>1</v>
      </c>
      <c r="X189">
        <v>400</v>
      </c>
      <c r="Y189">
        <v>150</v>
      </c>
      <c r="Z189">
        <v>45</v>
      </c>
      <c r="AA189">
        <v>12</v>
      </c>
      <c r="AB189">
        <v>0.6</v>
      </c>
      <c r="AC189">
        <v>0.6</v>
      </c>
      <c r="AD189">
        <v>1</v>
      </c>
      <c r="AE189">
        <v>10</v>
      </c>
      <c r="AF189">
        <v>0</v>
      </c>
      <c r="AG189">
        <v>0</v>
      </c>
      <c r="AH189">
        <v>0</v>
      </c>
      <c r="AI189">
        <v>70</v>
      </c>
      <c r="AJ189">
        <v>16.100000000000001</v>
      </c>
      <c r="AK189" t="s">
        <v>66</v>
      </c>
      <c r="AL189" t="s">
        <v>87</v>
      </c>
      <c r="AM189" t="s">
        <v>87</v>
      </c>
      <c r="AN189" t="s">
        <v>67</v>
      </c>
      <c r="AO189" t="s">
        <v>68</v>
      </c>
      <c r="AP189" t="s">
        <v>67</v>
      </c>
      <c r="AQ189" t="s">
        <v>70</v>
      </c>
      <c r="AR189" t="s">
        <v>71</v>
      </c>
      <c r="AS189" t="s">
        <v>530</v>
      </c>
      <c r="AT189" t="s">
        <v>1148</v>
      </c>
    </row>
    <row r="190" spans="1:46" x14ac:dyDescent="0.2">
      <c r="A190">
        <v>1706</v>
      </c>
      <c r="B190" t="s">
        <v>1261</v>
      </c>
      <c r="C190" t="s">
        <v>527</v>
      </c>
      <c r="D190" t="s">
        <v>1251</v>
      </c>
      <c r="E190" t="s">
        <v>216</v>
      </c>
      <c r="F190" t="s">
        <v>63</v>
      </c>
      <c r="G190" t="s">
        <v>603</v>
      </c>
      <c r="H190" t="b">
        <f>TRUE()</f>
        <v>1</v>
      </c>
      <c r="I190" t="b">
        <f>TRUE()</f>
        <v>1</v>
      </c>
      <c r="J190" t="b">
        <f>FALSE()</f>
        <v>0</v>
      </c>
      <c r="K190" t="s">
        <v>87</v>
      </c>
      <c r="L190">
        <v>100</v>
      </c>
      <c r="M190">
        <v>220</v>
      </c>
      <c r="N190">
        <v>5</v>
      </c>
      <c r="O190">
        <v>23</v>
      </c>
      <c r="P190">
        <v>2</v>
      </c>
      <c r="Q190">
        <v>0</v>
      </c>
      <c r="R190">
        <v>12</v>
      </c>
      <c r="S190">
        <v>3</v>
      </c>
      <c r="T190">
        <v>5.5</v>
      </c>
      <c r="U190">
        <v>2.5</v>
      </c>
      <c r="V190">
        <v>0</v>
      </c>
      <c r="W190">
        <v>1</v>
      </c>
      <c r="X190">
        <v>400</v>
      </c>
      <c r="Y190">
        <v>150</v>
      </c>
      <c r="Z190">
        <v>45</v>
      </c>
      <c r="AA190">
        <v>12</v>
      </c>
      <c r="AB190">
        <v>0.6</v>
      </c>
      <c r="AC190">
        <v>0.6</v>
      </c>
      <c r="AD190">
        <v>1</v>
      </c>
      <c r="AE190">
        <v>10</v>
      </c>
      <c r="AF190">
        <v>0</v>
      </c>
      <c r="AG190">
        <v>0</v>
      </c>
      <c r="AH190">
        <v>0</v>
      </c>
      <c r="AI190">
        <v>70</v>
      </c>
      <c r="AJ190">
        <v>16.100000000000001</v>
      </c>
      <c r="AK190" t="s">
        <v>66</v>
      </c>
      <c r="AL190" t="s">
        <v>87</v>
      </c>
      <c r="AM190" t="s">
        <v>87</v>
      </c>
      <c r="AN190" t="s">
        <v>67</v>
      </c>
      <c r="AO190" t="s">
        <v>68</v>
      </c>
      <c r="AP190" t="s">
        <v>67</v>
      </c>
      <c r="AQ190" t="s">
        <v>70</v>
      </c>
      <c r="AR190" t="s">
        <v>71</v>
      </c>
      <c r="AS190" t="s">
        <v>530</v>
      </c>
      <c r="AT190" t="s">
        <v>1148</v>
      </c>
    </row>
    <row r="191" spans="1:46" x14ac:dyDescent="0.2">
      <c r="A191">
        <v>1707</v>
      </c>
      <c r="B191" t="s">
        <v>1262</v>
      </c>
      <c r="C191" t="s">
        <v>527</v>
      </c>
      <c r="D191" t="s">
        <v>1251</v>
      </c>
      <c r="E191" t="s">
        <v>216</v>
      </c>
      <c r="F191" t="s">
        <v>63</v>
      </c>
      <c r="G191" t="s">
        <v>603</v>
      </c>
      <c r="H191" t="b">
        <f>TRUE()</f>
        <v>1</v>
      </c>
      <c r="I191" t="b">
        <f>TRUE()</f>
        <v>1</v>
      </c>
      <c r="J191" t="b">
        <f>FALSE()</f>
        <v>0</v>
      </c>
      <c r="K191" t="s">
        <v>87</v>
      </c>
      <c r="L191">
        <v>100</v>
      </c>
      <c r="M191">
        <v>220</v>
      </c>
      <c r="N191">
        <v>5</v>
      </c>
      <c r="O191">
        <v>23</v>
      </c>
      <c r="P191">
        <v>2</v>
      </c>
      <c r="Q191">
        <v>0</v>
      </c>
      <c r="R191">
        <v>12</v>
      </c>
      <c r="S191">
        <v>3</v>
      </c>
      <c r="T191">
        <v>5.5</v>
      </c>
      <c r="U191">
        <v>2.5</v>
      </c>
      <c r="V191">
        <v>0</v>
      </c>
      <c r="W191">
        <v>1</v>
      </c>
      <c r="X191">
        <v>400</v>
      </c>
      <c r="Y191">
        <v>150</v>
      </c>
      <c r="Z191">
        <v>45</v>
      </c>
      <c r="AA191">
        <v>12</v>
      </c>
      <c r="AB191">
        <v>0.6</v>
      </c>
      <c r="AC191">
        <v>0.6</v>
      </c>
      <c r="AD191">
        <v>1</v>
      </c>
      <c r="AE191">
        <v>10</v>
      </c>
      <c r="AF191">
        <v>0</v>
      </c>
      <c r="AG191">
        <v>0</v>
      </c>
      <c r="AH191">
        <v>0</v>
      </c>
      <c r="AI191">
        <v>70</v>
      </c>
      <c r="AJ191">
        <v>16.100000000000001</v>
      </c>
      <c r="AK191" t="s">
        <v>66</v>
      </c>
      <c r="AL191" t="s">
        <v>87</v>
      </c>
      <c r="AM191" t="s">
        <v>87</v>
      </c>
      <c r="AN191" t="s">
        <v>67</v>
      </c>
      <c r="AO191" t="s">
        <v>68</v>
      </c>
      <c r="AP191" t="s">
        <v>67</v>
      </c>
      <c r="AQ191" t="s">
        <v>70</v>
      </c>
      <c r="AR191" t="s">
        <v>71</v>
      </c>
      <c r="AS191" t="s">
        <v>530</v>
      </c>
      <c r="AT191" t="s">
        <v>1148</v>
      </c>
    </row>
    <row r="192" spans="1:46" x14ac:dyDescent="0.2">
      <c r="A192">
        <v>1708</v>
      </c>
      <c r="B192" t="s">
        <v>1263</v>
      </c>
      <c r="C192" t="s">
        <v>527</v>
      </c>
      <c r="D192" t="s">
        <v>1251</v>
      </c>
      <c r="E192" t="s">
        <v>216</v>
      </c>
      <c r="F192" t="s">
        <v>63</v>
      </c>
      <c r="G192" t="s">
        <v>603</v>
      </c>
      <c r="H192" t="b">
        <f>TRUE()</f>
        <v>1</v>
      </c>
      <c r="I192" t="b">
        <f>TRUE()</f>
        <v>1</v>
      </c>
      <c r="J192" t="b">
        <f>FALSE()</f>
        <v>0</v>
      </c>
      <c r="K192" t="s">
        <v>87</v>
      </c>
      <c r="L192">
        <v>100</v>
      </c>
      <c r="M192">
        <v>215</v>
      </c>
      <c r="N192">
        <v>5.5</v>
      </c>
      <c r="O192">
        <v>22</v>
      </c>
      <c r="P192">
        <v>2</v>
      </c>
      <c r="Q192">
        <v>0</v>
      </c>
      <c r="R192">
        <v>11.5</v>
      </c>
      <c r="S192">
        <v>2.8</v>
      </c>
      <c r="T192">
        <v>5.2</v>
      </c>
      <c r="U192">
        <v>2.4</v>
      </c>
      <c r="V192">
        <v>0</v>
      </c>
      <c r="W192">
        <v>1</v>
      </c>
      <c r="X192">
        <v>400</v>
      </c>
      <c r="Y192">
        <v>150</v>
      </c>
      <c r="Z192">
        <v>45</v>
      </c>
      <c r="AA192">
        <v>12</v>
      </c>
      <c r="AB192">
        <v>0.6</v>
      </c>
      <c r="AC192">
        <v>0.6</v>
      </c>
      <c r="AD192">
        <v>1</v>
      </c>
      <c r="AE192">
        <v>10</v>
      </c>
      <c r="AF192">
        <v>0</v>
      </c>
      <c r="AG192">
        <v>0</v>
      </c>
      <c r="AH192">
        <v>0</v>
      </c>
      <c r="AI192">
        <v>70</v>
      </c>
      <c r="AJ192">
        <v>15.4</v>
      </c>
      <c r="AK192" t="s">
        <v>66</v>
      </c>
      <c r="AL192" t="s">
        <v>87</v>
      </c>
      <c r="AM192" t="s">
        <v>87</v>
      </c>
      <c r="AN192" t="s">
        <v>67</v>
      </c>
      <c r="AO192" t="s">
        <v>68</v>
      </c>
      <c r="AP192" t="s">
        <v>67</v>
      </c>
      <c r="AQ192" t="s">
        <v>70</v>
      </c>
      <c r="AR192" t="s">
        <v>71</v>
      </c>
      <c r="AS192" t="s">
        <v>530</v>
      </c>
      <c r="AT192" t="s">
        <v>1148</v>
      </c>
    </row>
    <row r="193" spans="1:46" x14ac:dyDescent="0.2">
      <c r="A193">
        <v>1709</v>
      </c>
      <c r="B193" t="s">
        <v>1264</v>
      </c>
      <c r="C193" t="s">
        <v>527</v>
      </c>
      <c r="D193" t="s">
        <v>1251</v>
      </c>
      <c r="E193" t="s">
        <v>216</v>
      </c>
      <c r="F193" t="s">
        <v>63</v>
      </c>
      <c r="G193" t="s">
        <v>603</v>
      </c>
      <c r="H193" t="b">
        <f>TRUE()</f>
        <v>1</v>
      </c>
      <c r="I193" t="b">
        <f>TRUE()</f>
        <v>1</v>
      </c>
      <c r="J193" t="b">
        <f>FALSE()</f>
        <v>0</v>
      </c>
      <c r="K193" t="s">
        <v>87</v>
      </c>
      <c r="L193">
        <v>100</v>
      </c>
      <c r="M193">
        <v>215</v>
      </c>
      <c r="N193">
        <v>5.5</v>
      </c>
      <c r="O193">
        <v>22</v>
      </c>
      <c r="P193">
        <v>2</v>
      </c>
      <c r="Q193">
        <v>0</v>
      </c>
      <c r="R193">
        <v>11.5</v>
      </c>
      <c r="S193">
        <v>2.8</v>
      </c>
      <c r="T193">
        <v>5.2</v>
      </c>
      <c r="U193">
        <v>2.4</v>
      </c>
      <c r="V193">
        <v>0</v>
      </c>
      <c r="W193">
        <v>1</v>
      </c>
      <c r="X193">
        <v>400</v>
      </c>
      <c r="Y193">
        <v>150</v>
      </c>
      <c r="Z193">
        <v>45</v>
      </c>
      <c r="AA193">
        <v>12</v>
      </c>
      <c r="AB193">
        <v>0.6</v>
      </c>
      <c r="AC193">
        <v>0.6</v>
      </c>
      <c r="AD193">
        <v>1</v>
      </c>
      <c r="AE193">
        <v>10</v>
      </c>
      <c r="AF193">
        <v>0</v>
      </c>
      <c r="AG193">
        <v>0</v>
      </c>
      <c r="AH193">
        <v>0</v>
      </c>
      <c r="AI193">
        <v>70</v>
      </c>
      <c r="AJ193">
        <v>15.4</v>
      </c>
      <c r="AK193" t="s">
        <v>66</v>
      </c>
      <c r="AL193" t="s">
        <v>87</v>
      </c>
      <c r="AM193" t="s">
        <v>87</v>
      </c>
      <c r="AN193" t="s">
        <v>67</v>
      </c>
      <c r="AO193" t="s">
        <v>68</v>
      </c>
      <c r="AP193" t="s">
        <v>67</v>
      </c>
      <c r="AQ193" t="s">
        <v>70</v>
      </c>
      <c r="AR193" t="s">
        <v>71</v>
      </c>
      <c r="AS193" t="s">
        <v>530</v>
      </c>
      <c r="AT193" t="s">
        <v>1148</v>
      </c>
    </row>
    <row r="194" spans="1:46" x14ac:dyDescent="0.2">
      <c r="A194">
        <v>1710</v>
      </c>
      <c r="B194" t="s">
        <v>1265</v>
      </c>
      <c r="C194" t="s">
        <v>527</v>
      </c>
      <c r="D194" t="s">
        <v>1251</v>
      </c>
      <c r="E194" t="s">
        <v>216</v>
      </c>
      <c r="F194" t="s">
        <v>63</v>
      </c>
      <c r="G194" t="s">
        <v>603</v>
      </c>
      <c r="H194" t="b">
        <f>TRUE()</f>
        <v>1</v>
      </c>
      <c r="I194" t="b">
        <f>TRUE()</f>
        <v>1</v>
      </c>
      <c r="J194" t="b">
        <f>FALSE()</f>
        <v>0</v>
      </c>
      <c r="K194" t="s">
        <v>87</v>
      </c>
      <c r="L194">
        <v>100</v>
      </c>
      <c r="M194">
        <v>215</v>
      </c>
      <c r="N194">
        <v>5.5</v>
      </c>
      <c r="O194">
        <v>22</v>
      </c>
      <c r="P194">
        <v>2</v>
      </c>
      <c r="Q194">
        <v>0</v>
      </c>
      <c r="R194">
        <v>11.5</v>
      </c>
      <c r="S194">
        <v>2.8</v>
      </c>
      <c r="T194">
        <v>5.2</v>
      </c>
      <c r="U194">
        <v>2.4</v>
      </c>
      <c r="V194">
        <v>0</v>
      </c>
      <c r="W194">
        <v>1</v>
      </c>
      <c r="X194">
        <v>400</v>
      </c>
      <c r="Y194">
        <v>150</v>
      </c>
      <c r="Z194">
        <v>45</v>
      </c>
      <c r="AA194">
        <v>12</v>
      </c>
      <c r="AB194">
        <v>0.6</v>
      </c>
      <c r="AC194">
        <v>0.6</v>
      </c>
      <c r="AD194">
        <v>1</v>
      </c>
      <c r="AE194">
        <v>10</v>
      </c>
      <c r="AF194">
        <v>0</v>
      </c>
      <c r="AG194">
        <v>0</v>
      </c>
      <c r="AH194">
        <v>0</v>
      </c>
      <c r="AI194">
        <v>70</v>
      </c>
      <c r="AJ194">
        <v>15.4</v>
      </c>
      <c r="AK194" t="s">
        <v>66</v>
      </c>
      <c r="AL194" t="s">
        <v>87</v>
      </c>
      <c r="AM194" t="s">
        <v>87</v>
      </c>
      <c r="AN194" t="s">
        <v>67</v>
      </c>
      <c r="AO194" t="s">
        <v>68</v>
      </c>
      <c r="AP194" t="s">
        <v>67</v>
      </c>
      <c r="AQ194" t="s">
        <v>70</v>
      </c>
      <c r="AR194" t="s">
        <v>71</v>
      </c>
      <c r="AS194" t="s">
        <v>530</v>
      </c>
      <c r="AT194" t="s">
        <v>1148</v>
      </c>
    </row>
    <row r="195" spans="1:46" x14ac:dyDescent="0.2">
      <c r="A195">
        <v>1711</v>
      </c>
      <c r="B195" t="s">
        <v>1266</v>
      </c>
      <c r="C195" t="s">
        <v>539</v>
      </c>
      <c r="D195" t="s">
        <v>1267</v>
      </c>
      <c r="E195" t="s">
        <v>541</v>
      </c>
      <c r="F195" t="s">
        <v>63</v>
      </c>
      <c r="G195" t="s">
        <v>473</v>
      </c>
      <c r="H195" t="b">
        <f>TRUE()</f>
        <v>1</v>
      </c>
      <c r="I195" t="b">
        <f>FALSE()</f>
        <v>0</v>
      </c>
      <c r="J195" t="b">
        <f>TRUE()</f>
        <v>1</v>
      </c>
      <c r="K195" t="s">
        <v>87</v>
      </c>
      <c r="L195">
        <v>100</v>
      </c>
      <c r="M195">
        <v>280</v>
      </c>
      <c r="N195">
        <v>9</v>
      </c>
      <c r="O195">
        <v>50</v>
      </c>
      <c r="P195">
        <v>6</v>
      </c>
      <c r="Q195">
        <v>0</v>
      </c>
      <c r="R195">
        <v>5</v>
      </c>
      <c r="S195">
        <v>1.2</v>
      </c>
      <c r="T195">
        <v>2</v>
      </c>
      <c r="U195">
        <v>1.3</v>
      </c>
      <c r="V195">
        <v>0</v>
      </c>
      <c r="W195">
        <v>2.5</v>
      </c>
      <c r="X195">
        <v>480</v>
      </c>
      <c r="Y195">
        <v>120</v>
      </c>
      <c r="Z195">
        <v>90</v>
      </c>
      <c r="AA195">
        <v>20</v>
      </c>
      <c r="AB195">
        <v>2.5</v>
      </c>
      <c r="AC195">
        <v>0.8</v>
      </c>
      <c r="AD195">
        <v>0</v>
      </c>
      <c r="AE195">
        <v>40</v>
      </c>
      <c r="AF195">
        <v>0</v>
      </c>
      <c r="AG195">
        <v>0</v>
      </c>
      <c r="AH195">
        <v>0</v>
      </c>
      <c r="AI195">
        <v>75</v>
      </c>
      <c r="AJ195">
        <v>37.5</v>
      </c>
      <c r="AK195" t="s">
        <v>66</v>
      </c>
      <c r="AL195" t="s">
        <v>87</v>
      </c>
      <c r="AM195" t="s">
        <v>87</v>
      </c>
      <c r="AN195" t="s">
        <v>69</v>
      </c>
      <c r="AO195" t="s">
        <v>68</v>
      </c>
      <c r="AP195" t="s">
        <v>69</v>
      </c>
      <c r="AQ195" t="s">
        <v>70</v>
      </c>
      <c r="AR195" t="s">
        <v>71</v>
      </c>
      <c r="AS195" t="s">
        <v>530</v>
      </c>
      <c r="AT195" t="s">
        <v>1148</v>
      </c>
    </row>
    <row r="196" spans="1:46" x14ac:dyDescent="0.2">
      <c r="A196">
        <v>1712</v>
      </c>
      <c r="B196" t="s">
        <v>1268</v>
      </c>
      <c r="C196" t="s">
        <v>539</v>
      </c>
      <c r="D196" t="s">
        <v>1267</v>
      </c>
      <c r="E196" t="s">
        <v>541</v>
      </c>
      <c r="F196" t="s">
        <v>63</v>
      </c>
      <c r="G196" t="s">
        <v>473</v>
      </c>
      <c r="H196" t="b">
        <f>TRUE()</f>
        <v>1</v>
      </c>
      <c r="I196" t="b">
        <f>FALSE()</f>
        <v>0</v>
      </c>
      <c r="J196" t="b">
        <f>TRUE()</f>
        <v>1</v>
      </c>
      <c r="K196" t="s">
        <v>87</v>
      </c>
      <c r="L196">
        <v>100</v>
      </c>
      <c r="M196">
        <v>280</v>
      </c>
      <c r="N196">
        <v>9</v>
      </c>
      <c r="O196">
        <v>50</v>
      </c>
      <c r="P196">
        <v>6</v>
      </c>
      <c r="Q196">
        <v>0</v>
      </c>
      <c r="R196">
        <v>5</v>
      </c>
      <c r="S196">
        <v>1.2</v>
      </c>
      <c r="T196">
        <v>2</v>
      </c>
      <c r="U196">
        <v>1.3</v>
      </c>
      <c r="V196">
        <v>0</v>
      </c>
      <c r="W196">
        <v>2.5</v>
      </c>
      <c r="X196">
        <v>480</v>
      </c>
      <c r="Y196">
        <v>120</v>
      </c>
      <c r="Z196">
        <v>90</v>
      </c>
      <c r="AA196">
        <v>20</v>
      </c>
      <c r="AB196">
        <v>2.5</v>
      </c>
      <c r="AC196">
        <v>0.8</v>
      </c>
      <c r="AD196">
        <v>0</v>
      </c>
      <c r="AE196">
        <v>40</v>
      </c>
      <c r="AF196">
        <v>0</v>
      </c>
      <c r="AG196">
        <v>0</v>
      </c>
      <c r="AH196">
        <v>0</v>
      </c>
      <c r="AI196">
        <v>75</v>
      </c>
      <c r="AJ196">
        <v>37.5</v>
      </c>
      <c r="AK196" t="s">
        <v>66</v>
      </c>
      <c r="AL196" t="s">
        <v>87</v>
      </c>
      <c r="AM196" t="s">
        <v>87</v>
      </c>
      <c r="AN196" t="s">
        <v>69</v>
      </c>
      <c r="AO196" t="s">
        <v>68</v>
      </c>
      <c r="AP196" t="s">
        <v>69</v>
      </c>
      <c r="AQ196" t="s">
        <v>70</v>
      </c>
      <c r="AR196" t="s">
        <v>71</v>
      </c>
      <c r="AS196" t="s">
        <v>530</v>
      </c>
      <c r="AT196" t="s">
        <v>1148</v>
      </c>
    </row>
    <row r="197" spans="1:46" x14ac:dyDescent="0.2">
      <c r="A197">
        <v>1713</v>
      </c>
      <c r="B197" t="s">
        <v>1269</v>
      </c>
      <c r="C197" t="s">
        <v>539</v>
      </c>
      <c r="D197" t="s">
        <v>1267</v>
      </c>
      <c r="E197" t="s">
        <v>541</v>
      </c>
      <c r="F197" t="s">
        <v>63</v>
      </c>
      <c r="G197" t="s">
        <v>473</v>
      </c>
      <c r="H197" t="b">
        <f>TRUE()</f>
        <v>1</v>
      </c>
      <c r="I197" t="b">
        <f>FALSE()</f>
        <v>0</v>
      </c>
      <c r="J197" t="b">
        <f>TRUE()</f>
        <v>1</v>
      </c>
      <c r="K197" t="s">
        <v>87</v>
      </c>
      <c r="L197">
        <v>100</v>
      </c>
      <c r="M197">
        <v>280</v>
      </c>
      <c r="N197">
        <v>9</v>
      </c>
      <c r="O197">
        <v>50</v>
      </c>
      <c r="P197">
        <v>6</v>
      </c>
      <c r="Q197">
        <v>0</v>
      </c>
      <c r="R197">
        <v>5</v>
      </c>
      <c r="S197">
        <v>1.2</v>
      </c>
      <c r="T197">
        <v>2</v>
      </c>
      <c r="U197">
        <v>1.3</v>
      </c>
      <c r="V197">
        <v>0</v>
      </c>
      <c r="W197">
        <v>2.5</v>
      </c>
      <c r="X197">
        <v>480</v>
      </c>
      <c r="Y197">
        <v>120</v>
      </c>
      <c r="Z197">
        <v>90</v>
      </c>
      <c r="AA197">
        <v>20</v>
      </c>
      <c r="AB197">
        <v>2.5</v>
      </c>
      <c r="AC197">
        <v>0.8</v>
      </c>
      <c r="AD197">
        <v>0</v>
      </c>
      <c r="AE197">
        <v>40</v>
      </c>
      <c r="AF197">
        <v>0</v>
      </c>
      <c r="AG197">
        <v>0</v>
      </c>
      <c r="AH197">
        <v>0</v>
      </c>
      <c r="AI197">
        <v>75</v>
      </c>
      <c r="AJ197">
        <v>37.5</v>
      </c>
      <c r="AK197" t="s">
        <v>66</v>
      </c>
      <c r="AL197" t="s">
        <v>87</v>
      </c>
      <c r="AM197" t="s">
        <v>87</v>
      </c>
      <c r="AN197" t="s">
        <v>69</v>
      </c>
      <c r="AO197" t="s">
        <v>68</v>
      </c>
      <c r="AP197" t="s">
        <v>69</v>
      </c>
      <c r="AQ197" t="s">
        <v>70</v>
      </c>
      <c r="AR197" t="s">
        <v>71</v>
      </c>
      <c r="AS197" t="s">
        <v>530</v>
      </c>
      <c r="AT197" t="s">
        <v>1148</v>
      </c>
    </row>
    <row r="198" spans="1:46" x14ac:dyDescent="0.2">
      <c r="A198">
        <v>1714</v>
      </c>
      <c r="B198" t="s">
        <v>1270</v>
      </c>
      <c r="C198" t="s">
        <v>1203</v>
      </c>
      <c r="D198" t="s">
        <v>1271</v>
      </c>
      <c r="E198" t="s">
        <v>216</v>
      </c>
      <c r="F198" t="s">
        <v>63</v>
      </c>
      <c r="G198" t="s">
        <v>603</v>
      </c>
      <c r="H198" t="b">
        <f>TRUE()</f>
        <v>1</v>
      </c>
      <c r="I198" t="b">
        <f>TRUE()</f>
        <v>1</v>
      </c>
      <c r="J198" t="b">
        <f>FALSE()</f>
        <v>0</v>
      </c>
      <c r="K198" t="s">
        <v>87</v>
      </c>
      <c r="L198">
        <v>100</v>
      </c>
      <c r="M198">
        <v>420</v>
      </c>
      <c r="N198">
        <v>5</v>
      </c>
      <c r="O198">
        <v>51</v>
      </c>
      <c r="P198">
        <v>23</v>
      </c>
      <c r="Q198">
        <v>0</v>
      </c>
      <c r="R198">
        <v>22</v>
      </c>
      <c r="S198">
        <v>10</v>
      </c>
      <c r="T198">
        <v>8</v>
      </c>
      <c r="U198">
        <v>2.5</v>
      </c>
      <c r="V198">
        <v>0</v>
      </c>
      <c r="W198">
        <v>1.5</v>
      </c>
      <c r="X198">
        <v>380</v>
      </c>
      <c r="Y198">
        <v>110</v>
      </c>
      <c r="Z198">
        <v>60</v>
      </c>
      <c r="AA198">
        <v>14</v>
      </c>
      <c r="AB198">
        <v>1.5</v>
      </c>
      <c r="AC198">
        <v>0.5</v>
      </c>
      <c r="AD198">
        <v>0</v>
      </c>
      <c r="AE198">
        <v>25</v>
      </c>
      <c r="AF198">
        <v>0</v>
      </c>
      <c r="AG198">
        <v>0</v>
      </c>
      <c r="AH198">
        <v>0</v>
      </c>
      <c r="AI198">
        <v>76</v>
      </c>
      <c r="AJ198">
        <v>38.799999999999997</v>
      </c>
      <c r="AK198" t="s">
        <v>66</v>
      </c>
      <c r="AL198" t="s">
        <v>87</v>
      </c>
      <c r="AM198" t="s">
        <v>87</v>
      </c>
      <c r="AN198" t="s">
        <v>69</v>
      </c>
      <c r="AO198" t="s">
        <v>69</v>
      </c>
      <c r="AP198" t="s">
        <v>67</v>
      </c>
      <c r="AQ198" t="s">
        <v>70</v>
      </c>
      <c r="AR198" t="s">
        <v>71</v>
      </c>
      <c r="AS198" t="s">
        <v>530</v>
      </c>
      <c r="AT198" t="s">
        <v>1148</v>
      </c>
    </row>
    <row r="199" spans="1:46" x14ac:dyDescent="0.2">
      <c r="A199">
        <v>1715</v>
      </c>
      <c r="B199" t="s">
        <v>1272</v>
      </c>
      <c r="C199" t="s">
        <v>1203</v>
      </c>
      <c r="D199" t="s">
        <v>1271</v>
      </c>
      <c r="E199" t="s">
        <v>216</v>
      </c>
      <c r="F199" t="s">
        <v>63</v>
      </c>
      <c r="G199" t="s">
        <v>603</v>
      </c>
      <c r="H199" t="b">
        <f>TRUE()</f>
        <v>1</v>
      </c>
      <c r="I199" t="b">
        <f>TRUE()</f>
        <v>1</v>
      </c>
      <c r="J199" t="b">
        <f>FALSE()</f>
        <v>0</v>
      </c>
      <c r="K199" t="s">
        <v>87</v>
      </c>
      <c r="L199">
        <v>100</v>
      </c>
      <c r="M199">
        <v>420</v>
      </c>
      <c r="N199">
        <v>5</v>
      </c>
      <c r="O199">
        <v>51</v>
      </c>
      <c r="P199">
        <v>23</v>
      </c>
      <c r="Q199">
        <v>0</v>
      </c>
      <c r="R199">
        <v>22</v>
      </c>
      <c r="S199">
        <v>10</v>
      </c>
      <c r="T199">
        <v>8</v>
      </c>
      <c r="U199">
        <v>2.5</v>
      </c>
      <c r="V199">
        <v>0</v>
      </c>
      <c r="W199">
        <v>1.5</v>
      </c>
      <c r="X199">
        <v>380</v>
      </c>
      <c r="Y199">
        <v>110</v>
      </c>
      <c r="Z199">
        <v>60</v>
      </c>
      <c r="AA199">
        <v>14</v>
      </c>
      <c r="AB199">
        <v>1.5</v>
      </c>
      <c r="AC199">
        <v>0.5</v>
      </c>
      <c r="AD199">
        <v>0</v>
      </c>
      <c r="AE199">
        <v>25</v>
      </c>
      <c r="AF199">
        <v>0</v>
      </c>
      <c r="AG199">
        <v>0</v>
      </c>
      <c r="AH199">
        <v>0</v>
      </c>
      <c r="AI199">
        <v>76</v>
      </c>
      <c r="AJ199">
        <v>38.799999999999997</v>
      </c>
      <c r="AK199" t="s">
        <v>66</v>
      </c>
      <c r="AL199" t="s">
        <v>87</v>
      </c>
      <c r="AM199" t="s">
        <v>87</v>
      </c>
      <c r="AN199" t="s">
        <v>69</v>
      </c>
      <c r="AO199" t="s">
        <v>69</v>
      </c>
      <c r="AP199" t="s">
        <v>67</v>
      </c>
      <c r="AQ199" t="s">
        <v>70</v>
      </c>
      <c r="AR199" t="s">
        <v>71</v>
      </c>
      <c r="AS199" t="s">
        <v>530</v>
      </c>
      <c r="AT199" t="s">
        <v>1148</v>
      </c>
    </row>
    <row r="200" spans="1:46" x14ac:dyDescent="0.2">
      <c r="A200">
        <v>1716</v>
      </c>
      <c r="B200" t="s">
        <v>1273</v>
      </c>
      <c r="C200" t="s">
        <v>1203</v>
      </c>
      <c r="D200" t="s">
        <v>1271</v>
      </c>
      <c r="E200" t="s">
        <v>216</v>
      </c>
      <c r="F200" t="s">
        <v>63</v>
      </c>
      <c r="G200" t="s">
        <v>603</v>
      </c>
      <c r="H200" t="b">
        <f>TRUE()</f>
        <v>1</v>
      </c>
      <c r="I200" t="b">
        <f>TRUE()</f>
        <v>1</v>
      </c>
      <c r="J200" t="b">
        <f>FALSE()</f>
        <v>0</v>
      </c>
      <c r="K200" t="s">
        <v>87</v>
      </c>
      <c r="L200">
        <v>100</v>
      </c>
      <c r="M200">
        <v>420</v>
      </c>
      <c r="N200">
        <v>5</v>
      </c>
      <c r="O200">
        <v>51</v>
      </c>
      <c r="P200">
        <v>23</v>
      </c>
      <c r="Q200">
        <v>0</v>
      </c>
      <c r="R200">
        <v>22</v>
      </c>
      <c r="S200">
        <v>10</v>
      </c>
      <c r="T200">
        <v>8</v>
      </c>
      <c r="U200">
        <v>2.5</v>
      </c>
      <c r="V200">
        <v>0</v>
      </c>
      <c r="W200">
        <v>1.5</v>
      </c>
      <c r="X200">
        <v>380</v>
      </c>
      <c r="Y200">
        <v>110</v>
      </c>
      <c r="Z200">
        <v>60</v>
      </c>
      <c r="AA200">
        <v>14</v>
      </c>
      <c r="AB200">
        <v>1.5</v>
      </c>
      <c r="AC200">
        <v>0.5</v>
      </c>
      <c r="AD200">
        <v>0</v>
      </c>
      <c r="AE200">
        <v>25</v>
      </c>
      <c r="AF200">
        <v>0</v>
      </c>
      <c r="AG200">
        <v>0</v>
      </c>
      <c r="AH200">
        <v>0</v>
      </c>
      <c r="AI200">
        <v>76</v>
      </c>
      <c r="AJ200">
        <v>38.799999999999997</v>
      </c>
      <c r="AK200" t="s">
        <v>66</v>
      </c>
      <c r="AL200" t="s">
        <v>87</v>
      </c>
      <c r="AM200" t="s">
        <v>87</v>
      </c>
      <c r="AN200" t="s">
        <v>69</v>
      </c>
      <c r="AO200" t="s">
        <v>69</v>
      </c>
      <c r="AP200" t="s">
        <v>67</v>
      </c>
      <c r="AQ200" t="s">
        <v>70</v>
      </c>
      <c r="AR200" t="s">
        <v>71</v>
      </c>
      <c r="AS200" t="s">
        <v>530</v>
      </c>
      <c r="AT200" t="s">
        <v>1148</v>
      </c>
    </row>
    <row r="201" spans="1:46" x14ac:dyDescent="0.2">
      <c r="A201">
        <v>1717</v>
      </c>
      <c r="B201" t="s">
        <v>1274</v>
      </c>
      <c r="C201" t="s">
        <v>1203</v>
      </c>
      <c r="D201" t="s">
        <v>1275</v>
      </c>
      <c r="E201" t="s">
        <v>541</v>
      </c>
      <c r="F201" t="s">
        <v>63</v>
      </c>
      <c r="G201" t="s">
        <v>603</v>
      </c>
      <c r="H201" t="b">
        <f>TRUE()</f>
        <v>1</v>
      </c>
      <c r="I201" t="b">
        <f>TRUE()</f>
        <v>1</v>
      </c>
      <c r="J201" t="b">
        <f>FALSE()</f>
        <v>0</v>
      </c>
      <c r="K201" t="s">
        <v>87</v>
      </c>
      <c r="L201">
        <v>100</v>
      </c>
      <c r="M201">
        <v>460</v>
      </c>
      <c r="N201">
        <v>7</v>
      </c>
      <c r="O201">
        <v>68</v>
      </c>
      <c r="P201">
        <v>22</v>
      </c>
      <c r="Q201">
        <v>0</v>
      </c>
      <c r="R201">
        <v>18</v>
      </c>
      <c r="S201">
        <v>8</v>
      </c>
      <c r="T201">
        <v>6</v>
      </c>
      <c r="U201">
        <v>2</v>
      </c>
      <c r="V201">
        <v>0</v>
      </c>
      <c r="W201">
        <v>2.5</v>
      </c>
      <c r="X201">
        <v>320</v>
      </c>
      <c r="Y201">
        <v>140</v>
      </c>
      <c r="Z201">
        <v>90</v>
      </c>
      <c r="AA201">
        <v>18</v>
      </c>
      <c r="AB201">
        <v>2</v>
      </c>
      <c r="AC201">
        <v>0.6</v>
      </c>
      <c r="AD201">
        <v>0</v>
      </c>
      <c r="AE201">
        <v>20</v>
      </c>
      <c r="AF201">
        <v>0</v>
      </c>
      <c r="AG201">
        <v>0</v>
      </c>
      <c r="AH201">
        <v>0</v>
      </c>
      <c r="AI201">
        <v>70</v>
      </c>
      <c r="AJ201">
        <v>47.6</v>
      </c>
      <c r="AK201" t="s">
        <v>66</v>
      </c>
      <c r="AL201" t="s">
        <v>87</v>
      </c>
      <c r="AM201" t="s">
        <v>87</v>
      </c>
      <c r="AN201" t="s">
        <v>69</v>
      </c>
      <c r="AO201" t="s">
        <v>69</v>
      </c>
      <c r="AP201" t="s">
        <v>67</v>
      </c>
      <c r="AQ201" t="s">
        <v>70</v>
      </c>
      <c r="AR201" t="s">
        <v>71</v>
      </c>
      <c r="AS201" t="s">
        <v>530</v>
      </c>
      <c r="AT201" t="s">
        <v>1148</v>
      </c>
    </row>
    <row r="202" spans="1:46" x14ac:dyDescent="0.2">
      <c r="A202">
        <v>1718</v>
      </c>
      <c r="B202" t="s">
        <v>1276</v>
      </c>
      <c r="C202" t="s">
        <v>1203</v>
      </c>
      <c r="D202" t="s">
        <v>1275</v>
      </c>
      <c r="E202" t="s">
        <v>541</v>
      </c>
      <c r="F202" t="s">
        <v>63</v>
      </c>
      <c r="G202" t="s">
        <v>603</v>
      </c>
      <c r="H202" t="b">
        <f>TRUE()</f>
        <v>1</v>
      </c>
      <c r="I202" t="b">
        <f>TRUE()</f>
        <v>1</v>
      </c>
      <c r="J202" t="b">
        <f>FALSE()</f>
        <v>0</v>
      </c>
      <c r="K202" t="s">
        <v>87</v>
      </c>
      <c r="L202">
        <v>100</v>
      </c>
      <c r="M202">
        <v>460</v>
      </c>
      <c r="N202">
        <v>7</v>
      </c>
      <c r="O202">
        <v>68</v>
      </c>
      <c r="P202">
        <v>22</v>
      </c>
      <c r="Q202">
        <v>0</v>
      </c>
      <c r="R202">
        <v>18</v>
      </c>
      <c r="S202">
        <v>8</v>
      </c>
      <c r="T202">
        <v>6</v>
      </c>
      <c r="U202">
        <v>2</v>
      </c>
      <c r="V202">
        <v>0</v>
      </c>
      <c r="W202">
        <v>2.5</v>
      </c>
      <c r="X202">
        <v>320</v>
      </c>
      <c r="Y202">
        <v>140</v>
      </c>
      <c r="Z202">
        <v>90</v>
      </c>
      <c r="AA202">
        <v>18</v>
      </c>
      <c r="AB202">
        <v>2</v>
      </c>
      <c r="AC202">
        <v>0.6</v>
      </c>
      <c r="AD202">
        <v>0</v>
      </c>
      <c r="AE202">
        <v>20</v>
      </c>
      <c r="AF202">
        <v>0</v>
      </c>
      <c r="AG202">
        <v>0</v>
      </c>
      <c r="AH202">
        <v>0</v>
      </c>
      <c r="AI202">
        <v>70</v>
      </c>
      <c r="AJ202">
        <v>47.6</v>
      </c>
      <c r="AK202" t="s">
        <v>66</v>
      </c>
      <c r="AL202" t="s">
        <v>87</v>
      </c>
      <c r="AM202" t="s">
        <v>87</v>
      </c>
      <c r="AN202" t="s">
        <v>69</v>
      </c>
      <c r="AO202" t="s">
        <v>69</v>
      </c>
      <c r="AP202" t="s">
        <v>67</v>
      </c>
      <c r="AQ202" t="s">
        <v>70</v>
      </c>
      <c r="AR202" t="s">
        <v>71</v>
      </c>
      <c r="AS202" t="s">
        <v>530</v>
      </c>
      <c r="AT202" t="s">
        <v>1148</v>
      </c>
    </row>
    <row r="203" spans="1:46" x14ac:dyDescent="0.2">
      <c r="A203">
        <v>1719</v>
      </c>
      <c r="B203" t="s">
        <v>1277</v>
      </c>
      <c r="C203" t="s">
        <v>1203</v>
      </c>
      <c r="D203" t="s">
        <v>1275</v>
      </c>
      <c r="E203" t="s">
        <v>541</v>
      </c>
      <c r="F203" t="s">
        <v>63</v>
      </c>
      <c r="G203" t="s">
        <v>603</v>
      </c>
      <c r="H203" t="b">
        <f>TRUE()</f>
        <v>1</v>
      </c>
      <c r="I203" t="b">
        <f>TRUE()</f>
        <v>1</v>
      </c>
      <c r="J203" t="b">
        <f>FALSE()</f>
        <v>0</v>
      </c>
      <c r="K203" t="s">
        <v>87</v>
      </c>
      <c r="L203">
        <v>100</v>
      </c>
      <c r="M203">
        <v>460</v>
      </c>
      <c r="N203">
        <v>7</v>
      </c>
      <c r="O203">
        <v>68</v>
      </c>
      <c r="P203">
        <v>22</v>
      </c>
      <c r="Q203">
        <v>0</v>
      </c>
      <c r="R203">
        <v>18</v>
      </c>
      <c r="S203">
        <v>8</v>
      </c>
      <c r="T203">
        <v>6</v>
      </c>
      <c r="U203">
        <v>2</v>
      </c>
      <c r="V203">
        <v>0</v>
      </c>
      <c r="W203">
        <v>2.5</v>
      </c>
      <c r="X203">
        <v>320</v>
      </c>
      <c r="Y203">
        <v>140</v>
      </c>
      <c r="Z203">
        <v>90</v>
      </c>
      <c r="AA203">
        <v>18</v>
      </c>
      <c r="AB203">
        <v>2</v>
      </c>
      <c r="AC203">
        <v>0.6</v>
      </c>
      <c r="AD203">
        <v>0</v>
      </c>
      <c r="AE203">
        <v>20</v>
      </c>
      <c r="AF203">
        <v>0</v>
      </c>
      <c r="AG203">
        <v>0</v>
      </c>
      <c r="AH203">
        <v>0</v>
      </c>
      <c r="AI203">
        <v>70</v>
      </c>
      <c r="AJ203">
        <v>47.6</v>
      </c>
      <c r="AK203" t="s">
        <v>66</v>
      </c>
      <c r="AL203" t="s">
        <v>87</v>
      </c>
      <c r="AM203" t="s">
        <v>87</v>
      </c>
      <c r="AN203" t="s">
        <v>69</v>
      </c>
      <c r="AO203" t="s">
        <v>69</v>
      </c>
      <c r="AP203" t="s">
        <v>67</v>
      </c>
      <c r="AQ203" t="s">
        <v>70</v>
      </c>
      <c r="AR203" t="s">
        <v>71</v>
      </c>
      <c r="AS203" t="s">
        <v>530</v>
      </c>
      <c r="AT203" t="s">
        <v>1148</v>
      </c>
    </row>
    <row r="204" spans="1:46" x14ac:dyDescent="0.2">
      <c r="A204">
        <v>1720</v>
      </c>
      <c r="B204" t="s">
        <v>1278</v>
      </c>
      <c r="C204" t="s">
        <v>1203</v>
      </c>
      <c r="D204" t="s">
        <v>1279</v>
      </c>
      <c r="E204" t="s">
        <v>1280</v>
      </c>
      <c r="F204" t="s">
        <v>63</v>
      </c>
      <c r="G204" t="s">
        <v>603</v>
      </c>
      <c r="H204" t="b">
        <f>FALSE()</f>
        <v>0</v>
      </c>
      <c r="I204" t="b">
        <f>TRUE()</f>
        <v>1</v>
      </c>
      <c r="J204" t="b">
        <f>FALSE()</f>
        <v>0</v>
      </c>
      <c r="K204" t="s">
        <v>65</v>
      </c>
      <c r="L204">
        <v>100</v>
      </c>
      <c r="M204">
        <v>207</v>
      </c>
      <c r="N204">
        <v>3.5</v>
      </c>
      <c r="O204">
        <v>24</v>
      </c>
      <c r="P204">
        <v>21</v>
      </c>
      <c r="Q204">
        <v>0</v>
      </c>
      <c r="R204">
        <v>11</v>
      </c>
      <c r="S204">
        <v>6.8</v>
      </c>
      <c r="T204">
        <v>3</v>
      </c>
      <c r="U204">
        <v>0.4</v>
      </c>
      <c r="V204">
        <v>0</v>
      </c>
      <c r="W204">
        <v>0.3</v>
      </c>
      <c r="X204">
        <v>80</v>
      </c>
      <c r="Y204">
        <v>150</v>
      </c>
      <c r="Z204">
        <v>110</v>
      </c>
      <c r="AA204">
        <v>12</v>
      </c>
      <c r="AB204">
        <v>0.1</v>
      </c>
      <c r="AC204">
        <v>0.4</v>
      </c>
      <c r="AD204">
        <v>0.5</v>
      </c>
      <c r="AE204">
        <v>6</v>
      </c>
      <c r="AF204">
        <v>0</v>
      </c>
      <c r="AG204">
        <v>0</v>
      </c>
      <c r="AH204">
        <v>0</v>
      </c>
      <c r="AI204">
        <v>60</v>
      </c>
      <c r="AJ204">
        <v>14.4</v>
      </c>
      <c r="AK204" t="s">
        <v>66</v>
      </c>
      <c r="AL204" t="s">
        <v>87</v>
      </c>
      <c r="AM204" t="s">
        <v>87</v>
      </c>
      <c r="AN204" t="s">
        <v>67</v>
      </c>
      <c r="AO204" t="s">
        <v>68</v>
      </c>
      <c r="AP204" t="s">
        <v>67</v>
      </c>
      <c r="AQ204" t="s">
        <v>70</v>
      </c>
      <c r="AR204" t="s">
        <v>71</v>
      </c>
      <c r="AS204" t="s">
        <v>530</v>
      </c>
      <c r="AT204" t="s">
        <v>1148</v>
      </c>
    </row>
    <row r="205" spans="1:46" x14ac:dyDescent="0.2">
      <c r="A205">
        <v>1721</v>
      </c>
      <c r="B205" t="s">
        <v>1281</v>
      </c>
      <c r="C205" t="s">
        <v>1203</v>
      </c>
      <c r="D205" t="s">
        <v>1279</v>
      </c>
      <c r="E205" t="s">
        <v>1280</v>
      </c>
      <c r="F205" t="s">
        <v>63</v>
      </c>
      <c r="G205" t="s">
        <v>603</v>
      </c>
      <c r="H205" t="b">
        <f>FALSE()</f>
        <v>0</v>
      </c>
      <c r="I205" t="b">
        <f>TRUE()</f>
        <v>1</v>
      </c>
      <c r="J205" t="b">
        <f>FALSE()</f>
        <v>0</v>
      </c>
      <c r="K205" t="s">
        <v>65</v>
      </c>
      <c r="L205">
        <v>100</v>
      </c>
      <c r="M205">
        <v>207</v>
      </c>
      <c r="N205">
        <v>3.5</v>
      </c>
      <c r="O205">
        <v>24</v>
      </c>
      <c r="P205">
        <v>21</v>
      </c>
      <c r="Q205">
        <v>0</v>
      </c>
      <c r="R205">
        <v>11</v>
      </c>
      <c r="S205">
        <v>6.8</v>
      </c>
      <c r="T205">
        <v>3</v>
      </c>
      <c r="U205">
        <v>0.4</v>
      </c>
      <c r="V205">
        <v>0</v>
      </c>
      <c r="W205">
        <v>0.3</v>
      </c>
      <c r="X205">
        <v>80</v>
      </c>
      <c r="Y205">
        <v>150</v>
      </c>
      <c r="Z205">
        <v>110</v>
      </c>
      <c r="AA205">
        <v>12</v>
      </c>
      <c r="AB205">
        <v>0.1</v>
      </c>
      <c r="AC205">
        <v>0.4</v>
      </c>
      <c r="AD205">
        <v>0.5</v>
      </c>
      <c r="AE205">
        <v>6</v>
      </c>
      <c r="AF205">
        <v>0</v>
      </c>
      <c r="AG205">
        <v>0</v>
      </c>
      <c r="AH205">
        <v>0</v>
      </c>
      <c r="AI205">
        <v>60</v>
      </c>
      <c r="AJ205">
        <v>14.4</v>
      </c>
      <c r="AK205" t="s">
        <v>66</v>
      </c>
      <c r="AL205" t="s">
        <v>87</v>
      </c>
      <c r="AM205" t="s">
        <v>87</v>
      </c>
      <c r="AN205" t="s">
        <v>67</v>
      </c>
      <c r="AO205" t="s">
        <v>68</v>
      </c>
      <c r="AP205" t="s">
        <v>67</v>
      </c>
      <c r="AQ205" t="s">
        <v>70</v>
      </c>
      <c r="AR205" t="s">
        <v>71</v>
      </c>
      <c r="AS205" t="s">
        <v>530</v>
      </c>
      <c r="AT205" t="s">
        <v>1148</v>
      </c>
    </row>
    <row r="206" spans="1:46" x14ac:dyDescent="0.2">
      <c r="A206">
        <v>1722</v>
      </c>
      <c r="B206" t="s">
        <v>1282</v>
      </c>
      <c r="C206" t="s">
        <v>1203</v>
      </c>
      <c r="D206" t="s">
        <v>1279</v>
      </c>
      <c r="E206" t="s">
        <v>1280</v>
      </c>
      <c r="F206" t="s">
        <v>63</v>
      </c>
      <c r="G206" t="s">
        <v>603</v>
      </c>
      <c r="H206" t="b">
        <f>FALSE()</f>
        <v>0</v>
      </c>
      <c r="I206" t="b">
        <f>TRUE()</f>
        <v>1</v>
      </c>
      <c r="J206" t="b">
        <f>FALSE()</f>
        <v>0</v>
      </c>
      <c r="K206" t="s">
        <v>65</v>
      </c>
      <c r="L206">
        <v>100</v>
      </c>
      <c r="M206">
        <v>207</v>
      </c>
      <c r="N206">
        <v>3.5</v>
      </c>
      <c r="O206">
        <v>24</v>
      </c>
      <c r="P206">
        <v>21</v>
      </c>
      <c r="Q206">
        <v>0</v>
      </c>
      <c r="R206">
        <v>11</v>
      </c>
      <c r="S206">
        <v>6.8</v>
      </c>
      <c r="T206">
        <v>3</v>
      </c>
      <c r="U206">
        <v>0.4</v>
      </c>
      <c r="V206">
        <v>0</v>
      </c>
      <c r="W206">
        <v>0.3</v>
      </c>
      <c r="X206">
        <v>80</v>
      </c>
      <c r="Y206">
        <v>150</v>
      </c>
      <c r="Z206">
        <v>110</v>
      </c>
      <c r="AA206">
        <v>12</v>
      </c>
      <c r="AB206">
        <v>0.1</v>
      </c>
      <c r="AC206">
        <v>0.4</v>
      </c>
      <c r="AD206">
        <v>0.5</v>
      </c>
      <c r="AE206">
        <v>6</v>
      </c>
      <c r="AF206">
        <v>0</v>
      </c>
      <c r="AG206">
        <v>0</v>
      </c>
      <c r="AH206">
        <v>0</v>
      </c>
      <c r="AI206">
        <v>60</v>
      </c>
      <c r="AJ206">
        <v>14.4</v>
      </c>
      <c r="AK206" t="s">
        <v>66</v>
      </c>
      <c r="AL206" t="s">
        <v>87</v>
      </c>
      <c r="AM206" t="s">
        <v>87</v>
      </c>
      <c r="AN206" t="s">
        <v>67</v>
      </c>
      <c r="AO206" t="s">
        <v>68</v>
      </c>
      <c r="AP206" t="s">
        <v>67</v>
      </c>
      <c r="AQ206" t="s">
        <v>70</v>
      </c>
      <c r="AR206" t="s">
        <v>71</v>
      </c>
      <c r="AS206" t="s">
        <v>530</v>
      </c>
      <c r="AT206" t="s">
        <v>1148</v>
      </c>
    </row>
    <row r="207" spans="1:46" x14ac:dyDescent="0.2">
      <c r="A207">
        <v>1723</v>
      </c>
      <c r="B207" t="s">
        <v>1283</v>
      </c>
      <c r="C207" t="s">
        <v>1203</v>
      </c>
      <c r="D207" t="s">
        <v>1279</v>
      </c>
      <c r="E207" t="s">
        <v>1280</v>
      </c>
      <c r="F207" t="s">
        <v>63</v>
      </c>
      <c r="G207" t="s">
        <v>603</v>
      </c>
      <c r="H207" t="b">
        <f>FALSE()</f>
        <v>0</v>
      </c>
      <c r="I207" t="b">
        <f>TRUE()</f>
        <v>1</v>
      </c>
      <c r="J207" t="b">
        <f>FALSE()</f>
        <v>0</v>
      </c>
      <c r="K207" t="s">
        <v>65</v>
      </c>
      <c r="L207">
        <v>100</v>
      </c>
      <c r="M207">
        <v>216</v>
      </c>
      <c r="N207">
        <v>3.8</v>
      </c>
      <c r="O207">
        <v>28</v>
      </c>
      <c r="P207">
        <v>24</v>
      </c>
      <c r="Q207">
        <v>0</v>
      </c>
      <c r="R207">
        <v>11</v>
      </c>
      <c r="S207">
        <v>6.5</v>
      </c>
      <c r="T207">
        <v>3.2</v>
      </c>
      <c r="U207">
        <v>0.5</v>
      </c>
      <c r="V207">
        <v>0</v>
      </c>
      <c r="W207">
        <v>0.3</v>
      </c>
      <c r="X207">
        <v>75</v>
      </c>
      <c r="Y207">
        <v>150</v>
      </c>
      <c r="Z207">
        <v>110</v>
      </c>
      <c r="AA207">
        <v>12</v>
      </c>
      <c r="AB207">
        <v>0.1</v>
      </c>
      <c r="AC207">
        <v>0.4</v>
      </c>
      <c r="AD207">
        <v>0.5</v>
      </c>
      <c r="AE207">
        <v>6</v>
      </c>
      <c r="AF207">
        <v>0</v>
      </c>
      <c r="AG207">
        <v>0</v>
      </c>
      <c r="AH207">
        <v>0</v>
      </c>
      <c r="AI207">
        <v>60</v>
      </c>
      <c r="AJ207">
        <v>16.8</v>
      </c>
      <c r="AK207" t="s">
        <v>66</v>
      </c>
      <c r="AL207" t="s">
        <v>87</v>
      </c>
      <c r="AM207" t="s">
        <v>87</v>
      </c>
      <c r="AN207" t="s">
        <v>67</v>
      </c>
      <c r="AO207" t="s">
        <v>68</v>
      </c>
      <c r="AP207" t="s">
        <v>67</v>
      </c>
      <c r="AQ207" t="s">
        <v>70</v>
      </c>
      <c r="AR207" t="s">
        <v>71</v>
      </c>
      <c r="AS207" t="s">
        <v>530</v>
      </c>
      <c r="AT207" t="s">
        <v>1148</v>
      </c>
    </row>
    <row r="208" spans="1:46" x14ac:dyDescent="0.2">
      <c r="A208">
        <v>1724</v>
      </c>
      <c r="B208" t="s">
        <v>1284</v>
      </c>
      <c r="C208" t="s">
        <v>1203</v>
      </c>
      <c r="D208" t="s">
        <v>1279</v>
      </c>
      <c r="E208" t="s">
        <v>1280</v>
      </c>
      <c r="F208" t="s">
        <v>63</v>
      </c>
      <c r="G208" t="s">
        <v>603</v>
      </c>
      <c r="H208" t="b">
        <f>FALSE()</f>
        <v>0</v>
      </c>
      <c r="I208" t="b">
        <f>TRUE()</f>
        <v>1</v>
      </c>
      <c r="J208" t="b">
        <f>FALSE()</f>
        <v>0</v>
      </c>
      <c r="K208" t="s">
        <v>65</v>
      </c>
      <c r="L208">
        <v>100</v>
      </c>
      <c r="M208">
        <v>216</v>
      </c>
      <c r="N208">
        <v>3.8</v>
      </c>
      <c r="O208">
        <v>28</v>
      </c>
      <c r="P208">
        <v>24</v>
      </c>
      <c r="Q208">
        <v>0</v>
      </c>
      <c r="R208">
        <v>11</v>
      </c>
      <c r="S208">
        <v>6.5</v>
      </c>
      <c r="T208">
        <v>3.2</v>
      </c>
      <c r="U208">
        <v>0.5</v>
      </c>
      <c r="V208">
        <v>0</v>
      </c>
      <c r="W208">
        <v>0.3</v>
      </c>
      <c r="X208">
        <v>75</v>
      </c>
      <c r="Y208">
        <v>150</v>
      </c>
      <c r="Z208">
        <v>110</v>
      </c>
      <c r="AA208">
        <v>12</v>
      </c>
      <c r="AB208">
        <v>0.1</v>
      </c>
      <c r="AC208">
        <v>0.4</v>
      </c>
      <c r="AD208">
        <v>0.5</v>
      </c>
      <c r="AE208">
        <v>6</v>
      </c>
      <c r="AF208">
        <v>0</v>
      </c>
      <c r="AG208">
        <v>0</v>
      </c>
      <c r="AH208">
        <v>0</v>
      </c>
      <c r="AI208">
        <v>60</v>
      </c>
      <c r="AJ208">
        <v>16.8</v>
      </c>
      <c r="AK208" t="s">
        <v>66</v>
      </c>
      <c r="AL208" t="s">
        <v>87</v>
      </c>
      <c r="AM208" t="s">
        <v>87</v>
      </c>
      <c r="AN208" t="s">
        <v>67</v>
      </c>
      <c r="AO208" t="s">
        <v>68</v>
      </c>
      <c r="AP208" t="s">
        <v>67</v>
      </c>
      <c r="AQ208" t="s">
        <v>70</v>
      </c>
      <c r="AR208" t="s">
        <v>71</v>
      </c>
      <c r="AS208" t="s">
        <v>530</v>
      </c>
      <c r="AT208" t="s">
        <v>1148</v>
      </c>
    </row>
    <row r="209" spans="1:46" x14ac:dyDescent="0.2">
      <c r="A209">
        <v>1725</v>
      </c>
      <c r="B209" t="s">
        <v>1285</v>
      </c>
      <c r="C209" t="s">
        <v>1203</v>
      </c>
      <c r="D209" t="s">
        <v>1279</v>
      </c>
      <c r="E209" t="s">
        <v>1280</v>
      </c>
      <c r="F209" t="s">
        <v>63</v>
      </c>
      <c r="G209" t="s">
        <v>603</v>
      </c>
      <c r="H209" t="b">
        <f>FALSE()</f>
        <v>0</v>
      </c>
      <c r="I209" t="b">
        <f>TRUE()</f>
        <v>1</v>
      </c>
      <c r="J209" t="b">
        <f>FALSE()</f>
        <v>0</v>
      </c>
      <c r="K209" t="s">
        <v>65</v>
      </c>
      <c r="L209">
        <v>100</v>
      </c>
      <c r="M209">
        <v>216</v>
      </c>
      <c r="N209">
        <v>3.8</v>
      </c>
      <c r="O209">
        <v>28</v>
      </c>
      <c r="P209">
        <v>24</v>
      </c>
      <c r="Q209">
        <v>0</v>
      </c>
      <c r="R209">
        <v>11</v>
      </c>
      <c r="S209">
        <v>6.5</v>
      </c>
      <c r="T209">
        <v>3.2</v>
      </c>
      <c r="U209">
        <v>0.5</v>
      </c>
      <c r="V209">
        <v>0</v>
      </c>
      <c r="W209">
        <v>0.3</v>
      </c>
      <c r="X209">
        <v>75</v>
      </c>
      <c r="Y209">
        <v>150</v>
      </c>
      <c r="Z209">
        <v>110</v>
      </c>
      <c r="AA209">
        <v>12</v>
      </c>
      <c r="AB209">
        <v>0.1</v>
      </c>
      <c r="AC209">
        <v>0.4</v>
      </c>
      <c r="AD209">
        <v>0.5</v>
      </c>
      <c r="AE209">
        <v>6</v>
      </c>
      <c r="AF209">
        <v>0</v>
      </c>
      <c r="AG209">
        <v>0</v>
      </c>
      <c r="AH209">
        <v>0</v>
      </c>
      <c r="AI209">
        <v>60</v>
      </c>
      <c r="AJ209">
        <v>16.8</v>
      </c>
      <c r="AK209" t="s">
        <v>66</v>
      </c>
      <c r="AL209" t="s">
        <v>87</v>
      </c>
      <c r="AM209" t="s">
        <v>87</v>
      </c>
      <c r="AN209" t="s">
        <v>67</v>
      </c>
      <c r="AO209" t="s">
        <v>68</v>
      </c>
      <c r="AP209" t="s">
        <v>67</v>
      </c>
      <c r="AQ209" t="s">
        <v>70</v>
      </c>
      <c r="AR209" t="s">
        <v>71</v>
      </c>
      <c r="AS209" t="s">
        <v>530</v>
      </c>
      <c r="AT209" t="s">
        <v>1148</v>
      </c>
    </row>
    <row r="210" spans="1:46" x14ac:dyDescent="0.2">
      <c r="A210">
        <v>1726</v>
      </c>
      <c r="B210" t="s">
        <v>1286</v>
      </c>
      <c r="C210" t="s">
        <v>1203</v>
      </c>
      <c r="D210" t="s">
        <v>1279</v>
      </c>
      <c r="E210" t="s">
        <v>1280</v>
      </c>
      <c r="F210" t="s">
        <v>63</v>
      </c>
      <c r="G210" t="s">
        <v>603</v>
      </c>
      <c r="H210" t="b">
        <f>FALSE()</f>
        <v>0</v>
      </c>
      <c r="I210" t="b">
        <f>TRUE()</f>
        <v>1</v>
      </c>
      <c r="J210" t="b">
        <f>FALSE()</f>
        <v>0</v>
      </c>
      <c r="K210" t="s">
        <v>65</v>
      </c>
      <c r="L210">
        <v>100</v>
      </c>
      <c r="M210">
        <v>192</v>
      </c>
      <c r="N210">
        <v>3.2</v>
      </c>
      <c r="O210">
        <v>26</v>
      </c>
      <c r="P210">
        <v>23</v>
      </c>
      <c r="Q210">
        <v>0</v>
      </c>
      <c r="R210">
        <v>9</v>
      </c>
      <c r="S210">
        <v>5.5</v>
      </c>
      <c r="T210">
        <v>2.6</v>
      </c>
      <c r="U210">
        <v>0.3</v>
      </c>
      <c r="V210">
        <v>0</v>
      </c>
      <c r="W210">
        <v>0.3</v>
      </c>
      <c r="X210">
        <v>70</v>
      </c>
      <c r="Y210">
        <v>150</v>
      </c>
      <c r="Z210">
        <v>110</v>
      </c>
      <c r="AA210">
        <v>12</v>
      </c>
      <c r="AB210">
        <v>0.1</v>
      </c>
      <c r="AC210">
        <v>0.4</v>
      </c>
      <c r="AD210">
        <v>0.5</v>
      </c>
      <c r="AE210">
        <v>6</v>
      </c>
      <c r="AF210">
        <v>0</v>
      </c>
      <c r="AG210">
        <v>0</v>
      </c>
      <c r="AH210">
        <v>0</v>
      </c>
      <c r="AI210">
        <v>60</v>
      </c>
      <c r="AJ210">
        <v>15.6</v>
      </c>
      <c r="AK210" t="s">
        <v>66</v>
      </c>
      <c r="AL210" t="s">
        <v>87</v>
      </c>
      <c r="AM210" t="s">
        <v>87</v>
      </c>
      <c r="AN210" t="s">
        <v>67</v>
      </c>
      <c r="AO210" t="s">
        <v>68</v>
      </c>
      <c r="AP210" t="s">
        <v>67</v>
      </c>
      <c r="AQ210" t="s">
        <v>70</v>
      </c>
      <c r="AR210" t="s">
        <v>71</v>
      </c>
      <c r="AS210" t="s">
        <v>530</v>
      </c>
      <c r="AT210" t="s">
        <v>1148</v>
      </c>
    </row>
    <row r="211" spans="1:46" x14ac:dyDescent="0.2">
      <c r="A211">
        <v>1727</v>
      </c>
      <c r="B211" t="s">
        <v>1287</v>
      </c>
      <c r="C211" t="s">
        <v>1203</v>
      </c>
      <c r="D211" t="s">
        <v>1279</v>
      </c>
      <c r="E211" t="s">
        <v>1280</v>
      </c>
      <c r="F211" t="s">
        <v>63</v>
      </c>
      <c r="G211" t="s">
        <v>603</v>
      </c>
      <c r="H211" t="b">
        <f>FALSE()</f>
        <v>0</v>
      </c>
      <c r="I211" t="b">
        <f>TRUE()</f>
        <v>1</v>
      </c>
      <c r="J211" t="b">
        <f>FALSE()</f>
        <v>0</v>
      </c>
      <c r="K211" t="s">
        <v>65</v>
      </c>
      <c r="L211">
        <v>100</v>
      </c>
      <c r="M211">
        <v>192</v>
      </c>
      <c r="N211">
        <v>3.2</v>
      </c>
      <c r="O211">
        <v>26</v>
      </c>
      <c r="P211">
        <v>23</v>
      </c>
      <c r="Q211">
        <v>0</v>
      </c>
      <c r="R211">
        <v>9</v>
      </c>
      <c r="S211">
        <v>5.5</v>
      </c>
      <c r="T211">
        <v>2.6</v>
      </c>
      <c r="U211">
        <v>0.3</v>
      </c>
      <c r="V211">
        <v>0</v>
      </c>
      <c r="W211">
        <v>0.3</v>
      </c>
      <c r="X211">
        <v>70</v>
      </c>
      <c r="Y211">
        <v>150</v>
      </c>
      <c r="Z211">
        <v>110</v>
      </c>
      <c r="AA211">
        <v>12</v>
      </c>
      <c r="AB211">
        <v>0.1</v>
      </c>
      <c r="AC211">
        <v>0.4</v>
      </c>
      <c r="AD211">
        <v>0.5</v>
      </c>
      <c r="AE211">
        <v>6</v>
      </c>
      <c r="AF211">
        <v>0</v>
      </c>
      <c r="AG211">
        <v>0</v>
      </c>
      <c r="AH211">
        <v>0</v>
      </c>
      <c r="AI211">
        <v>60</v>
      </c>
      <c r="AJ211">
        <v>15.6</v>
      </c>
      <c r="AK211" t="s">
        <v>66</v>
      </c>
      <c r="AL211" t="s">
        <v>87</v>
      </c>
      <c r="AM211" t="s">
        <v>87</v>
      </c>
      <c r="AN211" t="s">
        <v>67</v>
      </c>
      <c r="AO211" t="s">
        <v>68</v>
      </c>
      <c r="AP211" t="s">
        <v>67</v>
      </c>
      <c r="AQ211" t="s">
        <v>70</v>
      </c>
      <c r="AR211" t="s">
        <v>71</v>
      </c>
      <c r="AS211" t="s">
        <v>530</v>
      </c>
      <c r="AT211" t="s">
        <v>1148</v>
      </c>
    </row>
    <row r="212" spans="1:46" x14ac:dyDescent="0.2">
      <c r="A212">
        <v>1728</v>
      </c>
      <c r="B212" t="s">
        <v>1288</v>
      </c>
      <c r="C212" t="s">
        <v>1203</v>
      </c>
      <c r="D212" t="s">
        <v>1279</v>
      </c>
      <c r="E212" t="s">
        <v>1280</v>
      </c>
      <c r="F212" t="s">
        <v>63</v>
      </c>
      <c r="G212" t="s">
        <v>603</v>
      </c>
      <c r="H212" t="b">
        <f>FALSE()</f>
        <v>0</v>
      </c>
      <c r="I212" t="b">
        <f>TRUE()</f>
        <v>1</v>
      </c>
      <c r="J212" t="b">
        <f>FALSE()</f>
        <v>0</v>
      </c>
      <c r="K212" t="s">
        <v>65</v>
      </c>
      <c r="L212">
        <v>100</v>
      </c>
      <c r="M212">
        <v>192</v>
      </c>
      <c r="N212">
        <v>3.2</v>
      </c>
      <c r="O212">
        <v>26</v>
      </c>
      <c r="P212">
        <v>23</v>
      </c>
      <c r="Q212">
        <v>0</v>
      </c>
      <c r="R212">
        <v>9</v>
      </c>
      <c r="S212">
        <v>5.5</v>
      </c>
      <c r="T212">
        <v>2.6</v>
      </c>
      <c r="U212">
        <v>0.3</v>
      </c>
      <c r="V212">
        <v>0</v>
      </c>
      <c r="W212">
        <v>0.3</v>
      </c>
      <c r="X212">
        <v>70</v>
      </c>
      <c r="Y212">
        <v>150</v>
      </c>
      <c r="Z212">
        <v>110</v>
      </c>
      <c r="AA212">
        <v>12</v>
      </c>
      <c r="AB212">
        <v>0.1</v>
      </c>
      <c r="AC212">
        <v>0.4</v>
      </c>
      <c r="AD212">
        <v>0.5</v>
      </c>
      <c r="AE212">
        <v>6</v>
      </c>
      <c r="AF212">
        <v>0</v>
      </c>
      <c r="AG212">
        <v>0</v>
      </c>
      <c r="AH212">
        <v>0</v>
      </c>
      <c r="AI212">
        <v>60</v>
      </c>
      <c r="AJ212">
        <v>15.6</v>
      </c>
      <c r="AK212" t="s">
        <v>66</v>
      </c>
      <c r="AL212" t="s">
        <v>87</v>
      </c>
      <c r="AM212" t="s">
        <v>87</v>
      </c>
      <c r="AN212" t="s">
        <v>67</v>
      </c>
      <c r="AO212" t="s">
        <v>68</v>
      </c>
      <c r="AP212" t="s">
        <v>67</v>
      </c>
      <c r="AQ212" t="s">
        <v>70</v>
      </c>
      <c r="AR212" t="s">
        <v>71</v>
      </c>
      <c r="AS212" t="s">
        <v>530</v>
      </c>
      <c r="AT212" t="s">
        <v>1148</v>
      </c>
    </row>
    <row r="213" spans="1:46" x14ac:dyDescent="0.2">
      <c r="A213">
        <v>1729</v>
      </c>
      <c r="B213" t="s">
        <v>1289</v>
      </c>
      <c r="C213" t="s">
        <v>1203</v>
      </c>
      <c r="D213" t="s">
        <v>1279</v>
      </c>
      <c r="E213" t="s">
        <v>1280</v>
      </c>
      <c r="F213" t="s">
        <v>63</v>
      </c>
      <c r="G213" t="s">
        <v>603</v>
      </c>
      <c r="H213" t="b">
        <f>FALSE()</f>
        <v>0</v>
      </c>
      <c r="I213" t="b">
        <f>TRUE()</f>
        <v>1</v>
      </c>
      <c r="J213" t="b">
        <f>FALSE()</f>
        <v>0</v>
      </c>
      <c r="K213" t="s">
        <v>65</v>
      </c>
      <c r="L213">
        <v>100</v>
      </c>
      <c r="M213">
        <v>210</v>
      </c>
      <c r="N213">
        <v>3.5</v>
      </c>
      <c r="O213">
        <v>23</v>
      </c>
      <c r="P213">
        <v>20</v>
      </c>
      <c r="Q213">
        <v>0</v>
      </c>
      <c r="R213">
        <v>12</v>
      </c>
      <c r="S213">
        <v>7.5</v>
      </c>
      <c r="T213">
        <v>3.4</v>
      </c>
      <c r="U213">
        <v>0.3</v>
      </c>
      <c r="V213">
        <v>0</v>
      </c>
      <c r="W213">
        <v>0.3</v>
      </c>
      <c r="X213">
        <v>85</v>
      </c>
      <c r="Y213">
        <v>150</v>
      </c>
      <c r="Z213">
        <v>110</v>
      </c>
      <c r="AA213">
        <v>12</v>
      </c>
      <c r="AB213">
        <v>0.1</v>
      </c>
      <c r="AC213">
        <v>0.4</v>
      </c>
      <c r="AD213">
        <v>0.5</v>
      </c>
      <c r="AE213">
        <v>6</v>
      </c>
      <c r="AF213">
        <v>0</v>
      </c>
      <c r="AG213">
        <v>0</v>
      </c>
      <c r="AH213">
        <v>0</v>
      </c>
      <c r="AI213">
        <v>60</v>
      </c>
      <c r="AJ213">
        <v>13.8</v>
      </c>
      <c r="AK213" t="s">
        <v>66</v>
      </c>
      <c r="AL213" t="s">
        <v>87</v>
      </c>
      <c r="AM213" t="s">
        <v>87</v>
      </c>
      <c r="AN213" t="s">
        <v>67</v>
      </c>
      <c r="AO213" t="s">
        <v>68</v>
      </c>
      <c r="AP213" t="s">
        <v>67</v>
      </c>
      <c r="AQ213" t="s">
        <v>70</v>
      </c>
      <c r="AR213" t="s">
        <v>71</v>
      </c>
      <c r="AS213" t="s">
        <v>530</v>
      </c>
      <c r="AT213" t="s">
        <v>1148</v>
      </c>
    </row>
    <row r="214" spans="1:46" x14ac:dyDescent="0.2">
      <c r="A214">
        <v>1730</v>
      </c>
      <c r="B214" t="s">
        <v>1290</v>
      </c>
      <c r="C214" t="s">
        <v>1203</v>
      </c>
      <c r="D214" t="s">
        <v>1279</v>
      </c>
      <c r="E214" t="s">
        <v>1280</v>
      </c>
      <c r="F214" t="s">
        <v>63</v>
      </c>
      <c r="G214" t="s">
        <v>603</v>
      </c>
      <c r="H214" t="b">
        <f>FALSE()</f>
        <v>0</v>
      </c>
      <c r="I214" t="b">
        <f>TRUE()</f>
        <v>1</v>
      </c>
      <c r="J214" t="b">
        <f>FALSE()</f>
        <v>0</v>
      </c>
      <c r="K214" t="s">
        <v>65</v>
      </c>
      <c r="L214">
        <v>100</v>
      </c>
      <c r="M214">
        <v>210</v>
      </c>
      <c r="N214">
        <v>3.5</v>
      </c>
      <c r="O214">
        <v>23</v>
      </c>
      <c r="P214">
        <v>20</v>
      </c>
      <c r="Q214">
        <v>0</v>
      </c>
      <c r="R214">
        <v>12</v>
      </c>
      <c r="S214">
        <v>7.5</v>
      </c>
      <c r="T214">
        <v>3.4</v>
      </c>
      <c r="U214">
        <v>0.3</v>
      </c>
      <c r="V214">
        <v>0</v>
      </c>
      <c r="W214">
        <v>0.3</v>
      </c>
      <c r="X214">
        <v>85</v>
      </c>
      <c r="Y214">
        <v>150</v>
      </c>
      <c r="Z214">
        <v>110</v>
      </c>
      <c r="AA214">
        <v>12</v>
      </c>
      <c r="AB214">
        <v>0.1</v>
      </c>
      <c r="AC214">
        <v>0.4</v>
      </c>
      <c r="AD214">
        <v>0.5</v>
      </c>
      <c r="AE214">
        <v>6</v>
      </c>
      <c r="AF214">
        <v>0</v>
      </c>
      <c r="AG214">
        <v>0</v>
      </c>
      <c r="AH214">
        <v>0</v>
      </c>
      <c r="AI214">
        <v>60</v>
      </c>
      <c r="AJ214">
        <v>13.8</v>
      </c>
      <c r="AK214" t="s">
        <v>66</v>
      </c>
      <c r="AL214" t="s">
        <v>87</v>
      </c>
      <c r="AM214" t="s">
        <v>87</v>
      </c>
      <c r="AN214" t="s">
        <v>67</v>
      </c>
      <c r="AO214" t="s">
        <v>68</v>
      </c>
      <c r="AP214" t="s">
        <v>67</v>
      </c>
      <c r="AQ214" t="s">
        <v>70</v>
      </c>
      <c r="AR214" t="s">
        <v>71</v>
      </c>
      <c r="AS214" t="s">
        <v>530</v>
      </c>
      <c r="AT214" t="s">
        <v>1148</v>
      </c>
    </row>
    <row r="215" spans="1:46" x14ac:dyDescent="0.2">
      <c r="A215">
        <v>1731</v>
      </c>
      <c r="B215" t="s">
        <v>1291</v>
      </c>
      <c r="C215" t="s">
        <v>1203</v>
      </c>
      <c r="D215" t="s">
        <v>1279</v>
      </c>
      <c r="E215" t="s">
        <v>1280</v>
      </c>
      <c r="F215" t="s">
        <v>63</v>
      </c>
      <c r="G215" t="s">
        <v>603</v>
      </c>
      <c r="H215" t="b">
        <f>FALSE()</f>
        <v>0</v>
      </c>
      <c r="I215" t="b">
        <f>TRUE()</f>
        <v>1</v>
      </c>
      <c r="J215" t="b">
        <f>FALSE()</f>
        <v>0</v>
      </c>
      <c r="K215" t="s">
        <v>65</v>
      </c>
      <c r="L215">
        <v>100</v>
      </c>
      <c r="M215">
        <v>210</v>
      </c>
      <c r="N215">
        <v>3.5</v>
      </c>
      <c r="O215">
        <v>23</v>
      </c>
      <c r="P215">
        <v>20</v>
      </c>
      <c r="Q215">
        <v>0</v>
      </c>
      <c r="R215">
        <v>12</v>
      </c>
      <c r="S215">
        <v>7.5</v>
      </c>
      <c r="T215">
        <v>3.4</v>
      </c>
      <c r="U215">
        <v>0.3</v>
      </c>
      <c r="V215">
        <v>0</v>
      </c>
      <c r="W215">
        <v>0.3</v>
      </c>
      <c r="X215">
        <v>85</v>
      </c>
      <c r="Y215">
        <v>150</v>
      </c>
      <c r="Z215">
        <v>110</v>
      </c>
      <c r="AA215">
        <v>12</v>
      </c>
      <c r="AB215">
        <v>0.1</v>
      </c>
      <c r="AC215">
        <v>0.4</v>
      </c>
      <c r="AD215">
        <v>0.5</v>
      </c>
      <c r="AE215">
        <v>6</v>
      </c>
      <c r="AF215">
        <v>0</v>
      </c>
      <c r="AG215">
        <v>0</v>
      </c>
      <c r="AH215">
        <v>0</v>
      </c>
      <c r="AI215">
        <v>60</v>
      </c>
      <c r="AJ215">
        <v>13.8</v>
      </c>
      <c r="AK215" t="s">
        <v>66</v>
      </c>
      <c r="AL215" t="s">
        <v>87</v>
      </c>
      <c r="AM215" t="s">
        <v>87</v>
      </c>
      <c r="AN215" t="s">
        <v>67</v>
      </c>
      <c r="AO215" t="s">
        <v>68</v>
      </c>
      <c r="AP215" t="s">
        <v>67</v>
      </c>
      <c r="AQ215" t="s">
        <v>70</v>
      </c>
      <c r="AR215" t="s">
        <v>71</v>
      </c>
      <c r="AS215" t="s">
        <v>530</v>
      </c>
      <c r="AT215" t="s">
        <v>1148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README</vt:lpstr>
      <vt:lpstr>alimentos_master</vt:lpstr>
      <vt:lpstr>raciones</vt:lpstr>
      <vt:lpstr>equivalencias</vt:lpstr>
      <vt:lpstr>calculadora</vt:lpstr>
      <vt:lpstr>fuentes_y_criterios</vt:lpstr>
      <vt:lpstr>control_calidad</vt:lpstr>
      <vt:lpstr>nuevos_salsas_platos_carnes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Clara Llorens</cp:lastModifiedBy>
  <cp:revision>0</cp:revision>
  <dcterms:created xsi:type="dcterms:W3CDTF">2026-05-05T15:13:47Z</dcterms:created>
  <dcterms:modified xsi:type="dcterms:W3CDTF">2026-07-28T15:47:18Z</dcterms:modified>
  <dc:language>en-US</dc:language>
</cp:coreProperties>
</file>